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s/slicer2.xml" ContentType="application/vnd.ms-excel.slicer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/>
  <bookViews>
    <workbookView xWindow="-120" yWindow="-120" windowWidth="23256" windowHeight="13176" activeTab="4"/>
  </bookViews>
  <sheets>
    <sheet name="Consolidado a Pagar" sheetId="1" r:id="rId1"/>
    <sheet name="Por Supervisor" sheetId="3" r:id="rId2"/>
    <sheet name="Pesquisa" sheetId="2" r:id="rId3"/>
    <sheet name="Consolidado gerencial" sheetId="6" r:id="rId4"/>
    <sheet name="Controle mensal" sheetId="9" r:id="rId5"/>
    <sheet name="HISTORICO" sheetId="12" state="hidden" r:id="rId6"/>
  </sheets>
  <definedNames>
    <definedName name="_xlnm._FilterDatabase" localSheetId="3" hidden="1">'Consolidado gerencial'!$A$3:$H$89</definedName>
    <definedName name="_xlnm._FilterDatabase" localSheetId="5" hidden="1">HISTORICO!$A$71:$L$84</definedName>
    <definedName name="SegmentaçãodeDados_Mês">#N/A</definedName>
    <definedName name="SegmentaçãodeDados_Mês1">#N/A</definedName>
    <definedName name="SegmentaçãodeDados_Mês2">#N/A</definedName>
    <definedName name="SegmentaçãodeDados_Quinzena">#N/A</definedName>
    <definedName name="SegmentaçãodeDados_Quinzena1">#N/A</definedName>
    <definedName name="SegmentaçãodeDados_Selecione_o_Usuário">#N/A</definedName>
    <definedName name="SegmentaçãodeDados_Selecione_o_Usuário1">#N/A</definedName>
  </definedNames>
  <calcPr calcId="145621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2"/>
        <x14:slicerCache r:id="rId13"/>
        <x14:slicerCache r:id="rId14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85" i="2" l="1"/>
  <c r="V585" i="2" s="1"/>
  <c r="U586" i="2"/>
  <c r="V586" i="2" s="1"/>
  <c r="U589" i="2"/>
  <c r="V589" i="2" s="1"/>
  <c r="U590" i="2"/>
  <c r="V590" i="2" s="1"/>
  <c r="U593" i="2"/>
  <c r="V593" i="2" s="1"/>
  <c r="U595" i="2"/>
  <c r="V595" i="2" s="1"/>
  <c r="U596" i="2"/>
  <c r="V596" i="2" s="1"/>
  <c r="U598" i="2"/>
  <c r="V598" i="2" s="1"/>
  <c r="U599" i="2"/>
  <c r="V599" i="2" s="1"/>
  <c r="U600" i="2"/>
  <c r="V600" i="2" s="1"/>
  <c r="U603" i="2"/>
  <c r="V603" i="2" s="1"/>
  <c r="U604" i="2"/>
  <c r="V604" i="2" s="1"/>
  <c r="U605" i="2"/>
  <c r="V605" i="2" s="1"/>
  <c r="U587" i="2"/>
  <c r="V587" i="2" s="1"/>
  <c r="U591" i="2"/>
  <c r="V591" i="2" s="1"/>
  <c r="U606" i="2"/>
  <c r="V606" i="2" s="1"/>
  <c r="U609" i="2"/>
  <c r="V609" i="2" s="1"/>
  <c r="U611" i="2"/>
  <c r="V611" i="2" s="1"/>
  <c r="U612" i="2"/>
  <c r="V612" i="2" s="1"/>
  <c r="U614" i="2"/>
  <c r="V614" i="2" s="1"/>
  <c r="U588" i="2"/>
  <c r="V588" i="2" s="1"/>
  <c r="U601" i="2"/>
  <c r="V601" i="2" s="1"/>
  <c r="U607" i="2"/>
  <c r="V607" i="2" s="1"/>
  <c r="U610" i="2"/>
  <c r="V610" i="2" s="1"/>
  <c r="U613" i="2"/>
  <c r="V613" i="2" s="1"/>
  <c r="U615" i="2"/>
  <c r="V615" i="2" s="1"/>
  <c r="U592" i="2"/>
  <c r="V592" i="2" s="1"/>
  <c r="U594" i="2"/>
  <c r="V594" i="2" s="1"/>
  <c r="U597" i="2"/>
  <c r="V597" i="2" s="1"/>
  <c r="U602" i="2"/>
  <c r="V602" i="2" s="1"/>
  <c r="U608" i="2"/>
  <c r="V608" i="2" s="1"/>
  <c r="U616" i="2"/>
  <c r="V616" i="2" s="1"/>
  <c r="U617" i="2"/>
  <c r="V617" i="2" s="1"/>
  <c r="U618" i="2"/>
  <c r="V618" i="2" s="1"/>
  <c r="U619" i="2"/>
  <c r="V619" i="2" s="1"/>
  <c r="U620" i="2"/>
  <c r="V620" i="2" s="1"/>
  <c r="W585" i="2"/>
  <c r="W586" i="2"/>
  <c r="W589" i="2"/>
  <c r="W590" i="2"/>
  <c r="W593" i="2"/>
  <c r="W595" i="2"/>
  <c r="W596" i="2"/>
  <c r="W598" i="2"/>
  <c r="W599" i="2"/>
  <c r="W600" i="2"/>
  <c r="W603" i="2"/>
  <c r="W604" i="2"/>
  <c r="W605" i="2"/>
  <c r="W587" i="2"/>
  <c r="W591" i="2"/>
  <c r="W606" i="2"/>
  <c r="W609" i="2"/>
  <c r="W611" i="2"/>
  <c r="W612" i="2"/>
  <c r="W614" i="2"/>
  <c r="W588" i="2"/>
  <c r="W601" i="2"/>
  <c r="W607" i="2"/>
  <c r="W610" i="2"/>
  <c r="W613" i="2"/>
  <c r="W615" i="2"/>
  <c r="W592" i="2"/>
  <c r="W594" i="2"/>
  <c r="W597" i="2"/>
  <c r="W602" i="2"/>
  <c r="W608" i="2"/>
  <c r="W616" i="2"/>
  <c r="W617" i="2"/>
  <c r="W618" i="2"/>
  <c r="W619" i="2"/>
  <c r="W620" i="2"/>
  <c r="X585" i="2"/>
  <c r="X586" i="2"/>
  <c r="X589" i="2"/>
  <c r="X590" i="2"/>
  <c r="X593" i="2"/>
  <c r="X595" i="2"/>
  <c r="X596" i="2"/>
  <c r="X598" i="2"/>
  <c r="X599" i="2"/>
  <c r="X600" i="2"/>
  <c r="X603" i="2"/>
  <c r="X604" i="2"/>
  <c r="X605" i="2"/>
  <c r="X587" i="2"/>
  <c r="X591" i="2"/>
  <c r="X606" i="2"/>
  <c r="X609" i="2"/>
  <c r="X611" i="2"/>
  <c r="X612" i="2"/>
  <c r="X614" i="2"/>
  <c r="X588" i="2"/>
  <c r="X601" i="2"/>
  <c r="X607" i="2"/>
  <c r="X610" i="2"/>
  <c r="X613" i="2"/>
  <c r="X615" i="2"/>
  <c r="X592" i="2"/>
  <c r="X594" i="2"/>
  <c r="X597" i="2"/>
  <c r="X602" i="2"/>
  <c r="X608" i="2"/>
  <c r="X616" i="2"/>
  <c r="X617" i="2"/>
  <c r="X618" i="2"/>
  <c r="X619" i="2"/>
  <c r="X620" i="2"/>
  <c r="Y585" i="2"/>
  <c r="Y586" i="2"/>
  <c r="Y589" i="2"/>
  <c r="Y590" i="2"/>
  <c r="Y593" i="2"/>
  <c r="Y595" i="2"/>
  <c r="Y596" i="2"/>
  <c r="Y598" i="2"/>
  <c r="Y599" i="2"/>
  <c r="Y600" i="2"/>
  <c r="Y603" i="2"/>
  <c r="Y604" i="2"/>
  <c r="Y605" i="2"/>
  <c r="Y587" i="2"/>
  <c r="Y591" i="2"/>
  <c r="Y606" i="2"/>
  <c r="Y609" i="2"/>
  <c r="Y611" i="2"/>
  <c r="Y612" i="2"/>
  <c r="Y614" i="2"/>
  <c r="Y588" i="2"/>
  <c r="Y601" i="2"/>
  <c r="Y607" i="2"/>
  <c r="Y610" i="2"/>
  <c r="Y613" i="2"/>
  <c r="Y615" i="2"/>
  <c r="Y592" i="2"/>
  <c r="Y594" i="2"/>
  <c r="Y597" i="2"/>
  <c r="Y602" i="2"/>
  <c r="Y608" i="2"/>
  <c r="Y616" i="2"/>
  <c r="Y617" i="2"/>
  <c r="Y618" i="2"/>
  <c r="Y619" i="2"/>
  <c r="Y620" i="2"/>
  <c r="Z585" i="2"/>
  <c r="Z586" i="2"/>
  <c r="Z589" i="2"/>
  <c r="Z590" i="2"/>
  <c r="Z593" i="2"/>
  <c r="Z595" i="2"/>
  <c r="Z596" i="2"/>
  <c r="Z598" i="2"/>
  <c r="Z599" i="2"/>
  <c r="Z600" i="2"/>
  <c r="Z603" i="2"/>
  <c r="Z604" i="2"/>
  <c r="Z605" i="2"/>
  <c r="Z587" i="2"/>
  <c r="Z591" i="2"/>
  <c r="Z606" i="2"/>
  <c r="Z609" i="2"/>
  <c r="Z611" i="2"/>
  <c r="Z612" i="2"/>
  <c r="Z614" i="2"/>
  <c r="Z588" i="2"/>
  <c r="Z601" i="2"/>
  <c r="Z607" i="2"/>
  <c r="Z610" i="2"/>
  <c r="Z613" i="2"/>
  <c r="Z615" i="2"/>
  <c r="Z592" i="2"/>
  <c r="Z594" i="2"/>
  <c r="Z597" i="2"/>
  <c r="Z602" i="2"/>
  <c r="Z608" i="2"/>
  <c r="Z616" i="2"/>
  <c r="Z617" i="2"/>
  <c r="Z618" i="2"/>
  <c r="Z619" i="2"/>
  <c r="Z620" i="2"/>
  <c r="AA585" i="2"/>
  <c r="AA586" i="2"/>
  <c r="AA589" i="2"/>
  <c r="AA590" i="2"/>
  <c r="AA593" i="2"/>
  <c r="AA595" i="2"/>
  <c r="AA596" i="2"/>
  <c r="AA598" i="2"/>
  <c r="AA599" i="2"/>
  <c r="AA600" i="2"/>
  <c r="AA603" i="2"/>
  <c r="AA604" i="2"/>
  <c r="AA605" i="2"/>
  <c r="AA587" i="2"/>
  <c r="AA591" i="2"/>
  <c r="AA606" i="2"/>
  <c r="AA609" i="2"/>
  <c r="AA611" i="2"/>
  <c r="AA612" i="2"/>
  <c r="AA614" i="2"/>
  <c r="AA588" i="2"/>
  <c r="AA601" i="2"/>
  <c r="AA607" i="2"/>
  <c r="AA610" i="2"/>
  <c r="AA613" i="2"/>
  <c r="AA615" i="2"/>
  <c r="AA592" i="2"/>
  <c r="AA594" i="2"/>
  <c r="AA597" i="2"/>
  <c r="AA602" i="2"/>
  <c r="AA608" i="2"/>
  <c r="AA616" i="2"/>
  <c r="AA617" i="2"/>
  <c r="AA618" i="2"/>
  <c r="AA619" i="2"/>
  <c r="AA620" i="2"/>
  <c r="AB585" i="2"/>
  <c r="AB586" i="2"/>
  <c r="AB589" i="2"/>
  <c r="AB590" i="2"/>
  <c r="AB593" i="2"/>
  <c r="AB595" i="2"/>
  <c r="AB596" i="2"/>
  <c r="AB598" i="2"/>
  <c r="AB599" i="2"/>
  <c r="AB600" i="2"/>
  <c r="AB603" i="2"/>
  <c r="AB604" i="2"/>
  <c r="AB605" i="2"/>
  <c r="AB587" i="2"/>
  <c r="AB591" i="2"/>
  <c r="AB606" i="2"/>
  <c r="AB609" i="2"/>
  <c r="AB611" i="2"/>
  <c r="AB612" i="2"/>
  <c r="AB614" i="2"/>
  <c r="AB588" i="2"/>
  <c r="AB601" i="2"/>
  <c r="AB607" i="2"/>
  <c r="AB610" i="2"/>
  <c r="AB613" i="2"/>
  <c r="AB615" i="2"/>
  <c r="AB592" i="2"/>
  <c r="AB594" i="2"/>
  <c r="AB597" i="2"/>
  <c r="AB602" i="2"/>
  <c r="AB608" i="2"/>
  <c r="AB616" i="2"/>
  <c r="AB617" i="2"/>
  <c r="AB618" i="2"/>
  <c r="AB619" i="2"/>
  <c r="AB620" i="2"/>
  <c r="AC596" i="2"/>
  <c r="AC612" i="2"/>
  <c r="AC602" i="2"/>
  <c r="AC585" i="2"/>
  <c r="AC617" i="2"/>
  <c r="AC589" i="2"/>
  <c r="AC587" i="2"/>
  <c r="AC593" i="2"/>
  <c r="AC595" i="2"/>
  <c r="AC599" i="2"/>
  <c r="AC588" i="2"/>
  <c r="AC607" i="2"/>
  <c r="AC606" i="2"/>
  <c r="AC594" i="2"/>
  <c r="AC611" i="2"/>
  <c r="AC598" i="2"/>
  <c r="AC614" i="2"/>
  <c r="AC586" i="2"/>
  <c r="AC592" i="2"/>
  <c r="AC608" i="2"/>
  <c r="AC618" i="2"/>
  <c r="AC616" i="2"/>
  <c r="AC619" i="2"/>
  <c r="AC610" i="2"/>
  <c r="AC591" i="2"/>
  <c r="AC605" i="2"/>
  <c r="AC609" i="2"/>
  <c r="AC590" i="2"/>
  <c r="AC597" i="2"/>
  <c r="AC620" i="2"/>
  <c r="AC600" i="2"/>
  <c r="AC601" i="2"/>
  <c r="AC603" i="2"/>
  <c r="AC604" i="2"/>
  <c r="AC613" i="2"/>
  <c r="AC615" i="2"/>
  <c r="U559" i="2" l="1"/>
  <c r="V559" i="2" s="1"/>
  <c r="U560" i="2"/>
  <c r="V560" i="2" s="1"/>
  <c r="U563" i="2"/>
  <c r="V563" i="2" s="1"/>
  <c r="U564" i="2"/>
  <c r="V564" i="2" s="1"/>
  <c r="U567" i="2"/>
  <c r="V567" i="2" s="1"/>
  <c r="U570" i="2"/>
  <c r="V570" i="2" s="1"/>
  <c r="U571" i="2"/>
  <c r="V571" i="2" s="1"/>
  <c r="U572" i="2"/>
  <c r="V572" i="2" s="1"/>
  <c r="U576" i="2"/>
  <c r="V576" i="2" s="1"/>
  <c r="U573" i="2"/>
  <c r="V573" i="2" s="1"/>
  <c r="U577" i="2"/>
  <c r="V577" i="2" s="1"/>
  <c r="U578" i="2"/>
  <c r="V578" i="2" s="1"/>
  <c r="U580" i="2"/>
  <c r="V580" i="2" s="1"/>
  <c r="U584" i="2"/>
  <c r="V584" i="2" s="1"/>
  <c r="U558" i="2"/>
  <c r="V558" i="2" s="1"/>
  <c r="U561" i="2"/>
  <c r="V561" i="2" s="1"/>
  <c r="U565" i="2"/>
  <c r="V565" i="2" s="1"/>
  <c r="U574" i="2"/>
  <c r="V574" i="2" s="1"/>
  <c r="U579" i="2"/>
  <c r="V579" i="2" s="1"/>
  <c r="U581" i="2"/>
  <c r="V581" i="2" s="1"/>
  <c r="U568" i="2"/>
  <c r="V568" i="2" s="1"/>
  <c r="U575" i="2"/>
  <c r="V575" i="2" s="1"/>
  <c r="U582" i="2"/>
  <c r="V582" i="2" s="1"/>
  <c r="U562" i="2"/>
  <c r="V562" i="2" s="1"/>
  <c r="U566" i="2"/>
  <c r="V566" i="2" s="1"/>
  <c r="U569" i="2"/>
  <c r="V569" i="2" s="1"/>
  <c r="U583" i="2"/>
  <c r="V583" i="2" s="1"/>
  <c r="W559" i="2"/>
  <c r="W560" i="2"/>
  <c r="W563" i="2"/>
  <c r="W564" i="2"/>
  <c r="W567" i="2"/>
  <c r="W570" i="2"/>
  <c r="W571" i="2"/>
  <c r="W572" i="2"/>
  <c r="W576" i="2"/>
  <c r="W573" i="2"/>
  <c r="W577" i="2"/>
  <c r="W578" i="2"/>
  <c r="W580" i="2"/>
  <c r="W584" i="2"/>
  <c r="W558" i="2"/>
  <c r="W561" i="2"/>
  <c r="W565" i="2"/>
  <c r="W574" i="2"/>
  <c r="W579" i="2"/>
  <c r="W581" i="2"/>
  <c r="W568" i="2"/>
  <c r="W575" i="2"/>
  <c r="W582" i="2"/>
  <c r="W562" i="2"/>
  <c r="W566" i="2"/>
  <c r="W569" i="2"/>
  <c r="W583" i="2"/>
  <c r="X559" i="2"/>
  <c r="X560" i="2"/>
  <c r="X563" i="2"/>
  <c r="X564" i="2"/>
  <c r="X567" i="2"/>
  <c r="X570" i="2"/>
  <c r="X571" i="2"/>
  <c r="X572" i="2"/>
  <c r="X576" i="2"/>
  <c r="X573" i="2"/>
  <c r="X577" i="2"/>
  <c r="X578" i="2"/>
  <c r="X580" i="2"/>
  <c r="X584" i="2"/>
  <c r="X558" i="2"/>
  <c r="X561" i="2"/>
  <c r="X565" i="2"/>
  <c r="X574" i="2"/>
  <c r="X579" i="2"/>
  <c r="X581" i="2"/>
  <c r="X568" i="2"/>
  <c r="X575" i="2"/>
  <c r="X582" i="2"/>
  <c r="X562" i="2"/>
  <c r="X566" i="2"/>
  <c r="X569" i="2"/>
  <c r="X583" i="2"/>
  <c r="Y559" i="2"/>
  <c r="Y560" i="2"/>
  <c r="Y563" i="2"/>
  <c r="Y564" i="2"/>
  <c r="Y567" i="2"/>
  <c r="Y570" i="2"/>
  <c r="Y571" i="2"/>
  <c r="Y572" i="2"/>
  <c r="Y576" i="2"/>
  <c r="Y573" i="2"/>
  <c r="Y577" i="2"/>
  <c r="Y578" i="2"/>
  <c r="Y580" i="2"/>
  <c r="Y584" i="2"/>
  <c r="Y558" i="2"/>
  <c r="Y561" i="2"/>
  <c r="Y565" i="2"/>
  <c r="Y574" i="2"/>
  <c r="Y579" i="2"/>
  <c r="Y581" i="2"/>
  <c r="Y568" i="2"/>
  <c r="Y575" i="2"/>
  <c r="Y582" i="2"/>
  <c r="Y562" i="2"/>
  <c r="Y566" i="2"/>
  <c r="Y569" i="2"/>
  <c r="Y583" i="2"/>
  <c r="Z559" i="2"/>
  <c r="Z560" i="2"/>
  <c r="Z563" i="2"/>
  <c r="Z564" i="2"/>
  <c r="Z567" i="2"/>
  <c r="Z570" i="2"/>
  <c r="Z571" i="2"/>
  <c r="Z572" i="2"/>
  <c r="Z576" i="2"/>
  <c r="Z573" i="2"/>
  <c r="Z577" i="2"/>
  <c r="Z578" i="2"/>
  <c r="Z580" i="2"/>
  <c r="Z584" i="2"/>
  <c r="Z558" i="2"/>
  <c r="Z561" i="2"/>
  <c r="Z565" i="2"/>
  <c r="Z574" i="2"/>
  <c r="Z579" i="2"/>
  <c r="Z581" i="2"/>
  <c r="Z568" i="2"/>
  <c r="Z575" i="2"/>
  <c r="Z582" i="2"/>
  <c r="Z562" i="2"/>
  <c r="Z566" i="2"/>
  <c r="Z569" i="2"/>
  <c r="Z583" i="2"/>
  <c r="AA559" i="2"/>
  <c r="AA560" i="2"/>
  <c r="AA563" i="2"/>
  <c r="AA564" i="2"/>
  <c r="AA567" i="2"/>
  <c r="AA570" i="2"/>
  <c r="AA571" i="2"/>
  <c r="AA572" i="2"/>
  <c r="AA576" i="2"/>
  <c r="AA573" i="2"/>
  <c r="AA577" i="2"/>
  <c r="AA578" i="2"/>
  <c r="AA580" i="2"/>
  <c r="AA584" i="2"/>
  <c r="AA558" i="2"/>
  <c r="AA561" i="2"/>
  <c r="AA565" i="2"/>
  <c r="AA574" i="2"/>
  <c r="AA579" i="2"/>
  <c r="AA581" i="2"/>
  <c r="AA568" i="2"/>
  <c r="AA575" i="2"/>
  <c r="AA582" i="2"/>
  <c r="AA562" i="2"/>
  <c r="AA566" i="2"/>
  <c r="AA569" i="2"/>
  <c r="AA583" i="2"/>
  <c r="AB559" i="2"/>
  <c r="AB560" i="2"/>
  <c r="AB563" i="2"/>
  <c r="AB564" i="2"/>
  <c r="AB567" i="2"/>
  <c r="AB570" i="2"/>
  <c r="AB571" i="2"/>
  <c r="AB572" i="2"/>
  <c r="AB576" i="2"/>
  <c r="AB573" i="2"/>
  <c r="AB577" i="2"/>
  <c r="AB578" i="2"/>
  <c r="AB580" i="2"/>
  <c r="AB584" i="2"/>
  <c r="AB558" i="2"/>
  <c r="AB561" i="2"/>
  <c r="AB565" i="2"/>
  <c r="AB574" i="2"/>
  <c r="AB579" i="2"/>
  <c r="AB581" i="2"/>
  <c r="AB568" i="2"/>
  <c r="AB575" i="2"/>
  <c r="AB582" i="2"/>
  <c r="AB562" i="2"/>
  <c r="AB566" i="2"/>
  <c r="AB569" i="2"/>
  <c r="AB583" i="2"/>
  <c r="AC560" i="2"/>
  <c r="AC579" i="2"/>
  <c r="AC574" i="2"/>
  <c r="AC558" i="2"/>
  <c r="AC571" i="2"/>
  <c r="AC563" i="2"/>
  <c r="AC569" i="2"/>
  <c r="AC567" i="2"/>
  <c r="AC575" i="2"/>
  <c r="AC561" i="2"/>
  <c r="AC562" i="2"/>
  <c r="AC577" i="2"/>
  <c r="AC576" i="2"/>
  <c r="AC564" i="2"/>
  <c r="AC584" i="2"/>
  <c r="AC581" i="2"/>
  <c r="AC578" i="2"/>
  <c r="AC573" i="2"/>
  <c r="AC568" i="2"/>
  <c r="AC580" i="2"/>
  <c r="AC582" i="2"/>
  <c r="AC559" i="2"/>
  <c r="AC583" i="2"/>
  <c r="AC570" i="2"/>
  <c r="AC572" i="2"/>
  <c r="AC565" i="2"/>
  <c r="AC566" i="2"/>
  <c r="U525" i="2" l="1"/>
  <c r="V525" i="2" s="1"/>
  <c r="U526" i="2"/>
  <c r="V526" i="2" s="1"/>
  <c r="U528" i="2"/>
  <c r="V528" i="2" s="1"/>
  <c r="U529" i="2"/>
  <c r="V529" i="2" s="1"/>
  <c r="U530" i="2"/>
  <c r="U533" i="2"/>
  <c r="V533" i="2" s="1"/>
  <c r="U534" i="2"/>
  <c r="V534" i="2" s="1"/>
  <c r="U535" i="2"/>
  <c r="V535" i="2" s="1"/>
  <c r="U536" i="2"/>
  <c r="V536" i="2" s="1"/>
  <c r="U539" i="2"/>
  <c r="V539" i="2" s="1"/>
  <c r="U540" i="2"/>
  <c r="V540" i="2" s="1"/>
  <c r="U543" i="2"/>
  <c r="V543" i="2" s="1"/>
  <c r="U544" i="2"/>
  <c r="V544" i="2" s="1"/>
  <c r="U548" i="2"/>
  <c r="V548" i="2" s="1"/>
  <c r="U549" i="2"/>
  <c r="V549" i="2" s="1"/>
  <c r="U552" i="2"/>
  <c r="V552" i="2" s="1"/>
  <c r="U553" i="2"/>
  <c r="V553" i="2" s="1"/>
  <c r="U554" i="2"/>
  <c r="V554" i="2" s="1"/>
  <c r="U547" i="2"/>
  <c r="V547" i="2" s="1"/>
  <c r="U555" i="2"/>
  <c r="V555" i="2" s="1"/>
  <c r="U531" i="2"/>
  <c r="V531" i="2" s="1"/>
  <c r="U537" i="2"/>
  <c r="V537" i="2" s="1"/>
  <c r="U527" i="2"/>
  <c r="V527" i="2" s="1"/>
  <c r="U541" i="2"/>
  <c r="V541" i="2" s="1"/>
  <c r="U550" i="2"/>
  <c r="V550" i="2" s="1"/>
  <c r="U557" i="2"/>
  <c r="V557" i="2" s="1"/>
  <c r="U538" i="2"/>
  <c r="V538" i="2" s="1"/>
  <c r="U542" i="2"/>
  <c r="V542" i="2" s="1"/>
  <c r="U545" i="2"/>
  <c r="V545" i="2" s="1"/>
  <c r="U532" i="2"/>
  <c r="V532" i="2" s="1"/>
  <c r="U546" i="2"/>
  <c r="V546" i="2" s="1"/>
  <c r="U551" i="2"/>
  <c r="V551" i="2" s="1"/>
  <c r="U556" i="2"/>
  <c r="V556" i="2" s="1"/>
  <c r="V530" i="2"/>
  <c r="W525" i="2"/>
  <c r="W526" i="2"/>
  <c r="W528" i="2"/>
  <c r="W529" i="2"/>
  <c r="W530" i="2"/>
  <c r="W533" i="2"/>
  <c r="W534" i="2"/>
  <c r="W535" i="2"/>
  <c r="W536" i="2"/>
  <c r="W539" i="2"/>
  <c r="W540" i="2"/>
  <c r="W543" i="2"/>
  <c r="W544" i="2"/>
  <c r="W548" i="2"/>
  <c r="W549" i="2"/>
  <c r="W552" i="2"/>
  <c r="W553" i="2"/>
  <c r="W554" i="2"/>
  <c r="W547" i="2"/>
  <c r="W555" i="2"/>
  <c r="W531" i="2"/>
  <c r="W537" i="2"/>
  <c r="W527" i="2"/>
  <c r="W541" i="2"/>
  <c r="W550" i="2"/>
  <c r="W557" i="2"/>
  <c r="W538" i="2"/>
  <c r="W542" i="2"/>
  <c r="W545" i="2"/>
  <c r="W532" i="2"/>
  <c r="W546" i="2"/>
  <c r="W551" i="2"/>
  <c r="W556" i="2"/>
  <c r="X525" i="2"/>
  <c r="X526" i="2"/>
  <c r="X528" i="2"/>
  <c r="X529" i="2"/>
  <c r="X530" i="2"/>
  <c r="X533" i="2"/>
  <c r="X534" i="2"/>
  <c r="X535" i="2"/>
  <c r="X536" i="2"/>
  <c r="X539" i="2"/>
  <c r="X540" i="2"/>
  <c r="X543" i="2"/>
  <c r="X544" i="2"/>
  <c r="X548" i="2"/>
  <c r="X549" i="2"/>
  <c r="X552" i="2"/>
  <c r="X553" i="2"/>
  <c r="X554" i="2"/>
  <c r="X547" i="2"/>
  <c r="X555" i="2"/>
  <c r="X531" i="2"/>
  <c r="X537" i="2"/>
  <c r="X527" i="2"/>
  <c r="X541" i="2"/>
  <c r="X550" i="2"/>
  <c r="X557" i="2"/>
  <c r="X538" i="2"/>
  <c r="X542" i="2"/>
  <c r="X545" i="2"/>
  <c r="X532" i="2"/>
  <c r="X546" i="2"/>
  <c r="X551" i="2"/>
  <c r="X556" i="2"/>
  <c r="Y525" i="2"/>
  <c r="Y526" i="2"/>
  <c r="Y528" i="2"/>
  <c r="Y529" i="2"/>
  <c r="Y530" i="2"/>
  <c r="Y533" i="2"/>
  <c r="Y534" i="2"/>
  <c r="Y535" i="2"/>
  <c r="Y536" i="2"/>
  <c r="Y539" i="2"/>
  <c r="Y540" i="2"/>
  <c r="Y543" i="2"/>
  <c r="Y544" i="2"/>
  <c r="Y548" i="2"/>
  <c r="Y549" i="2"/>
  <c r="Y552" i="2"/>
  <c r="Y553" i="2"/>
  <c r="Y554" i="2"/>
  <c r="Y547" i="2"/>
  <c r="Y555" i="2"/>
  <c r="Y531" i="2"/>
  <c r="Y537" i="2"/>
  <c r="Y527" i="2"/>
  <c r="Y541" i="2"/>
  <c r="Y550" i="2"/>
  <c r="Y557" i="2"/>
  <c r="Y538" i="2"/>
  <c r="Y542" i="2"/>
  <c r="Y545" i="2"/>
  <c r="Y532" i="2"/>
  <c r="Y546" i="2"/>
  <c r="Y551" i="2"/>
  <c r="Y556" i="2"/>
  <c r="Z525" i="2"/>
  <c r="Z526" i="2"/>
  <c r="Z528" i="2"/>
  <c r="Z529" i="2"/>
  <c r="Z530" i="2"/>
  <c r="Z533" i="2"/>
  <c r="Z534" i="2"/>
  <c r="Z535" i="2"/>
  <c r="Z536" i="2"/>
  <c r="Z539" i="2"/>
  <c r="Z540" i="2"/>
  <c r="Z543" i="2"/>
  <c r="Z544" i="2"/>
  <c r="Z548" i="2"/>
  <c r="Z549" i="2"/>
  <c r="Z552" i="2"/>
  <c r="Z553" i="2"/>
  <c r="Z554" i="2"/>
  <c r="Z547" i="2"/>
  <c r="Z555" i="2"/>
  <c r="Z531" i="2"/>
  <c r="Z537" i="2"/>
  <c r="Z527" i="2"/>
  <c r="Z541" i="2"/>
  <c r="Z550" i="2"/>
  <c r="Z557" i="2"/>
  <c r="Z538" i="2"/>
  <c r="Z542" i="2"/>
  <c r="Z545" i="2"/>
  <c r="Z532" i="2"/>
  <c r="Z546" i="2"/>
  <c r="Z551" i="2"/>
  <c r="Z556" i="2"/>
  <c r="AA525" i="2"/>
  <c r="AA526" i="2"/>
  <c r="AA528" i="2"/>
  <c r="AA529" i="2"/>
  <c r="AA530" i="2"/>
  <c r="AA533" i="2"/>
  <c r="AA534" i="2"/>
  <c r="AA535" i="2"/>
  <c r="AA536" i="2"/>
  <c r="AA539" i="2"/>
  <c r="AA540" i="2"/>
  <c r="AA543" i="2"/>
  <c r="AA544" i="2"/>
  <c r="AA548" i="2"/>
  <c r="AA549" i="2"/>
  <c r="AA552" i="2"/>
  <c r="AA553" i="2"/>
  <c r="AA554" i="2"/>
  <c r="AA547" i="2"/>
  <c r="AA555" i="2"/>
  <c r="AA531" i="2"/>
  <c r="AA537" i="2"/>
  <c r="AA527" i="2"/>
  <c r="AA541" i="2"/>
  <c r="AA550" i="2"/>
  <c r="AA557" i="2"/>
  <c r="AA538" i="2"/>
  <c r="AA542" i="2"/>
  <c r="AA545" i="2"/>
  <c r="AA532" i="2"/>
  <c r="AA546" i="2"/>
  <c r="AA551" i="2"/>
  <c r="AA556" i="2"/>
  <c r="AB525" i="2"/>
  <c r="AB526" i="2"/>
  <c r="AB528" i="2"/>
  <c r="AB529" i="2"/>
  <c r="AB530" i="2"/>
  <c r="AB533" i="2"/>
  <c r="AB534" i="2"/>
  <c r="AB535" i="2"/>
  <c r="AB536" i="2"/>
  <c r="AB539" i="2"/>
  <c r="AB540" i="2"/>
  <c r="AB543" i="2"/>
  <c r="AB544" i="2"/>
  <c r="AB548" i="2"/>
  <c r="AB549" i="2"/>
  <c r="AB552" i="2"/>
  <c r="AB553" i="2"/>
  <c r="AB554" i="2"/>
  <c r="AB547" i="2"/>
  <c r="AB555" i="2"/>
  <c r="AB531" i="2"/>
  <c r="AB537" i="2"/>
  <c r="AB527" i="2"/>
  <c r="AB541" i="2"/>
  <c r="AB550" i="2"/>
  <c r="AB557" i="2"/>
  <c r="AB538" i="2"/>
  <c r="AB542" i="2"/>
  <c r="AB545" i="2"/>
  <c r="AB532" i="2"/>
  <c r="AB546" i="2"/>
  <c r="AB551" i="2"/>
  <c r="AB556" i="2"/>
  <c r="AC527" i="2"/>
  <c r="AC544" i="2"/>
  <c r="AC538" i="2"/>
  <c r="AC539" i="2"/>
  <c r="AC530" i="2"/>
  <c r="AC546" i="2"/>
  <c r="AC545" i="2"/>
  <c r="AC531" i="2"/>
  <c r="AC526" i="2"/>
  <c r="AC553" i="2"/>
  <c r="AC541" i="2"/>
  <c r="AC535" i="2"/>
  <c r="AC547" i="2"/>
  <c r="AC554" i="2"/>
  <c r="AC529" i="2"/>
  <c r="AC537" i="2"/>
  <c r="AC532" i="2"/>
  <c r="AC528" i="2"/>
  <c r="AC550" i="2"/>
  <c r="AC557" i="2"/>
  <c r="AC555" i="2"/>
  <c r="AC551" i="2"/>
  <c r="AC540" i="2"/>
  <c r="AC552" i="2"/>
  <c r="AC556" i="2"/>
  <c r="AC543" i="2"/>
  <c r="AC533" i="2"/>
  <c r="AC525" i="2"/>
  <c r="AC542" i="2"/>
  <c r="AC534" i="2"/>
  <c r="AC536" i="2"/>
  <c r="AC549" i="2"/>
  <c r="AC548" i="2"/>
  <c r="U490" i="2" l="1"/>
  <c r="V490" i="2" s="1"/>
  <c r="U488" i="2"/>
  <c r="V488" i="2" s="1"/>
  <c r="U489" i="2"/>
  <c r="V489" i="2" s="1"/>
  <c r="U491" i="2"/>
  <c r="V491" i="2" s="1"/>
  <c r="U493" i="2"/>
  <c r="V493" i="2" s="1"/>
  <c r="U494" i="2"/>
  <c r="V494" i="2" s="1"/>
  <c r="U492" i="2"/>
  <c r="V492" i="2" s="1"/>
  <c r="U495" i="2"/>
  <c r="V495" i="2" s="1"/>
  <c r="U496" i="2"/>
  <c r="V496" i="2" s="1"/>
  <c r="U497" i="2"/>
  <c r="V497" i="2" s="1"/>
  <c r="U498" i="2"/>
  <c r="V498" i="2" s="1"/>
  <c r="U500" i="2"/>
  <c r="V500" i="2" s="1"/>
  <c r="U499" i="2"/>
  <c r="V499" i="2" s="1"/>
  <c r="U501" i="2"/>
  <c r="V501" i="2" s="1"/>
  <c r="U502" i="2"/>
  <c r="V502" i="2" s="1"/>
  <c r="U504" i="2"/>
  <c r="V504" i="2" s="1"/>
  <c r="U503" i="2"/>
  <c r="V503" i="2" s="1"/>
  <c r="U506" i="2"/>
  <c r="V506" i="2" s="1"/>
  <c r="U505" i="2"/>
  <c r="V505" i="2" s="1"/>
  <c r="U509" i="2"/>
  <c r="V509" i="2" s="1"/>
  <c r="U507" i="2"/>
  <c r="V507" i="2" s="1"/>
  <c r="U508" i="2"/>
  <c r="V508" i="2" s="1"/>
  <c r="U510" i="2"/>
  <c r="V510" i="2" s="1"/>
  <c r="U511" i="2"/>
  <c r="V511" i="2" s="1"/>
  <c r="U512" i="2"/>
  <c r="V512" i="2" s="1"/>
  <c r="U513" i="2"/>
  <c r="V513" i="2" s="1"/>
  <c r="U514" i="2"/>
  <c r="V514" i="2" s="1"/>
  <c r="U517" i="2"/>
  <c r="V517" i="2" s="1"/>
  <c r="U515" i="2"/>
  <c r="V515" i="2" s="1"/>
  <c r="U520" i="2"/>
  <c r="V520" i="2" s="1"/>
  <c r="U518" i="2"/>
  <c r="V518" i="2" s="1"/>
  <c r="U516" i="2"/>
  <c r="V516" i="2" s="1"/>
  <c r="U519" i="2"/>
  <c r="V519" i="2" s="1"/>
  <c r="U522" i="2"/>
  <c r="V522" i="2" s="1"/>
  <c r="U521" i="2"/>
  <c r="V521" i="2" s="1"/>
  <c r="U523" i="2"/>
  <c r="V523" i="2" s="1"/>
  <c r="U524" i="2"/>
  <c r="V524" i="2" s="1"/>
  <c r="W490" i="2"/>
  <c r="W488" i="2"/>
  <c r="W489" i="2"/>
  <c r="W491" i="2"/>
  <c r="W493" i="2"/>
  <c r="W494" i="2"/>
  <c r="W492" i="2"/>
  <c r="W495" i="2"/>
  <c r="W496" i="2"/>
  <c r="W497" i="2"/>
  <c r="W498" i="2"/>
  <c r="W500" i="2"/>
  <c r="W499" i="2"/>
  <c r="W501" i="2"/>
  <c r="W502" i="2"/>
  <c r="W504" i="2"/>
  <c r="W503" i="2"/>
  <c r="W506" i="2"/>
  <c r="W505" i="2"/>
  <c r="W509" i="2"/>
  <c r="W507" i="2"/>
  <c r="W508" i="2"/>
  <c r="W510" i="2"/>
  <c r="W511" i="2"/>
  <c r="W512" i="2"/>
  <c r="W513" i="2"/>
  <c r="W514" i="2"/>
  <c r="W517" i="2"/>
  <c r="W515" i="2"/>
  <c r="W520" i="2"/>
  <c r="W518" i="2"/>
  <c r="W516" i="2"/>
  <c r="W519" i="2"/>
  <c r="W522" i="2"/>
  <c r="W521" i="2"/>
  <c r="W523" i="2"/>
  <c r="W524" i="2"/>
  <c r="X490" i="2"/>
  <c r="X488" i="2"/>
  <c r="X489" i="2"/>
  <c r="X491" i="2"/>
  <c r="X493" i="2"/>
  <c r="X494" i="2"/>
  <c r="X492" i="2"/>
  <c r="X495" i="2"/>
  <c r="X496" i="2"/>
  <c r="X497" i="2"/>
  <c r="X498" i="2"/>
  <c r="X500" i="2"/>
  <c r="X499" i="2"/>
  <c r="X501" i="2"/>
  <c r="X502" i="2"/>
  <c r="X504" i="2"/>
  <c r="X503" i="2"/>
  <c r="X506" i="2"/>
  <c r="X505" i="2"/>
  <c r="X509" i="2"/>
  <c r="X507" i="2"/>
  <c r="X508" i="2"/>
  <c r="X510" i="2"/>
  <c r="X511" i="2"/>
  <c r="X512" i="2"/>
  <c r="X513" i="2"/>
  <c r="X514" i="2"/>
  <c r="X517" i="2"/>
  <c r="X515" i="2"/>
  <c r="X520" i="2"/>
  <c r="X518" i="2"/>
  <c r="X516" i="2"/>
  <c r="X519" i="2"/>
  <c r="X522" i="2"/>
  <c r="X521" i="2"/>
  <c r="X523" i="2"/>
  <c r="X524" i="2"/>
  <c r="Y490" i="2"/>
  <c r="Y488" i="2"/>
  <c r="Y489" i="2"/>
  <c r="Y491" i="2"/>
  <c r="Y493" i="2"/>
  <c r="Y494" i="2"/>
  <c r="Y492" i="2"/>
  <c r="Y495" i="2"/>
  <c r="Y496" i="2"/>
  <c r="Y497" i="2"/>
  <c r="Y498" i="2"/>
  <c r="Y500" i="2"/>
  <c r="Y499" i="2"/>
  <c r="Y501" i="2"/>
  <c r="Y502" i="2"/>
  <c r="Y504" i="2"/>
  <c r="Y503" i="2"/>
  <c r="Y506" i="2"/>
  <c r="Y505" i="2"/>
  <c r="Y509" i="2"/>
  <c r="Y507" i="2"/>
  <c r="Y508" i="2"/>
  <c r="Y510" i="2"/>
  <c r="Y511" i="2"/>
  <c r="Y512" i="2"/>
  <c r="Y513" i="2"/>
  <c r="Y514" i="2"/>
  <c r="Y517" i="2"/>
  <c r="Y515" i="2"/>
  <c r="Y520" i="2"/>
  <c r="Y518" i="2"/>
  <c r="Y516" i="2"/>
  <c r="Y519" i="2"/>
  <c r="Y522" i="2"/>
  <c r="Y521" i="2"/>
  <c r="Y523" i="2"/>
  <c r="Y524" i="2"/>
  <c r="Z490" i="2"/>
  <c r="Z488" i="2"/>
  <c r="Z489" i="2"/>
  <c r="Z491" i="2"/>
  <c r="Z493" i="2"/>
  <c r="Z494" i="2"/>
  <c r="Z492" i="2"/>
  <c r="Z495" i="2"/>
  <c r="Z496" i="2"/>
  <c r="Z497" i="2"/>
  <c r="Z498" i="2"/>
  <c r="Z500" i="2"/>
  <c r="Z499" i="2"/>
  <c r="Z501" i="2"/>
  <c r="Z502" i="2"/>
  <c r="Z504" i="2"/>
  <c r="Z503" i="2"/>
  <c r="Z506" i="2"/>
  <c r="Z505" i="2"/>
  <c r="Z509" i="2"/>
  <c r="Z507" i="2"/>
  <c r="Z508" i="2"/>
  <c r="Z510" i="2"/>
  <c r="Z511" i="2"/>
  <c r="Z512" i="2"/>
  <c r="Z513" i="2"/>
  <c r="Z514" i="2"/>
  <c r="Z517" i="2"/>
  <c r="Z515" i="2"/>
  <c r="Z520" i="2"/>
  <c r="Z518" i="2"/>
  <c r="Z516" i="2"/>
  <c r="Z519" i="2"/>
  <c r="Z522" i="2"/>
  <c r="Z521" i="2"/>
  <c r="Z523" i="2"/>
  <c r="Z524" i="2"/>
  <c r="AA490" i="2"/>
  <c r="AA488" i="2"/>
  <c r="AA489" i="2"/>
  <c r="AA491" i="2"/>
  <c r="AA493" i="2"/>
  <c r="AA494" i="2"/>
  <c r="AA492" i="2"/>
  <c r="AA495" i="2"/>
  <c r="AA496" i="2"/>
  <c r="AA497" i="2"/>
  <c r="AA498" i="2"/>
  <c r="AA500" i="2"/>
  <c r="AA499" i="2"/>
  <c r="AA501" i="2"/>
  <c r="AA502" i="2"/>
  <c r="AA504" i="2"/>
  <c r="AA503" i="2"/>
  <c r="AA506" i="2"/>
  <c r="AA505" i="2"/>
  <c r="AA509" i="2"/>
  <c r="AA507" i="2"/>
  <c r="AA508" i="2"/>
  <c r="AA510" i="2"/>
  <c r="AA511" i="2"/>
  <c r="AA512" i="2"/>
  <c r="AA513" i="2"/>
  <c r="AA514" i="2"/>
  <c r="AA517" i="2"/>
  <c r="AA515" i="2"/>
  <c r="AA520" i="2"/>
  <c r="AA518" i="2"/>
  <c r="AA516" i="2"/>
  <c r="AA519" i="2"/>
  <c r="AA522" i="2"/>
  <c r="AA521" i="2"/>
  <c r="AA523" i="2"/>
  <c r="AA524" i="2"/>
  <c r="AB490" i="2"/>
  <c r="AB488" i="2"/>
  <c r="AB489" i="2"/>
  <c r="AB491" i="2"/>
  <c r="AB493" i="2"/>
  <c r="AB494" i="2"/>
  <c r="AB492" i="2"/>
  <c r="AB495" i="2"/>
  <c r="AB496" i="2"/>
  <c r="AB497" i="2"/>
  <c r="AB498" i="2"/>
  <c r="AB500" i="2"/>
  <c r="AB499" i="2"/>
  <c r="AB501" i="2"/>
  <c r="AB502" i="2"/>
  <c r="AB504" i="2"/>
  <c r="AB503" i="2"/>
  <c r="AB506" i="2"/>
  <c r="AB505" i="2"/>
  <c r="AB509" i="2"/>
  <c r="AB507" i="2"/>
  <c r="AB508" i="2"/>
  <c r="AB510" i="2"/>
  <c r="AB511" i="2"/>
  <c r="AB512" i="2"/>
  <c r="AB513" i="2"/>
  <c r="AB514" i="2"/>
  <c r="AB517" i="2"/>
  <c r="AB515" i="2"/>
  <c r="AB520" i="2"/>
  <c r="AB518" i="2"/>
  <c r="AB516" i="2"/>
  <c r="AB519" i="2"/>
  <c r="AB522" i="2"/>
  <c r="AB521" i="2"/>
  <c r="AB523" i="2"/>
  <c r="AB524" i="2"/>
  <c r="AC500" i="2"/>
  <c r="AC490" i="2"/>
  <c r="AC502" i="2"/>
  <c r="AC489" i="2"/>
  <c r="AC510" i="2"/>
  <c r="AC515" i="2"/>
  <c r="AC504" i="2"/>
  <c r="AC512" i="2"/>
  <c r="AC519" i="2"/>
  <c r="AC499" i="2"/>
  <c r="AC496" i="2"/>
  <c r="AC513" i="2"/>
  <c r="AC508" i="2"/>
  <c r="AC523" i="2"/>
  <c r="AC509" i="2"/>
  <c r="AC517" i="2"/>
  <c r="AC514" i="2"/>
  <c r="AC495" i="2"/>
  <c r="AC498" i="2"/>
  <c r="AC494" i="2"/>
  <c r="AC516" i="2"/>
  <c r="AC493" i="2"/>
  <c r="AC497" i="2"/>
  <c r="AC521" i="2"/>
  <c r="AC511" i="2"/>
  <c r="AC520" i="2"/>
  <c r="AC492" i="2"/>
  <c r="AC522" i="2"/>
  <c r="AC488" i="2"/>
  <c r="AC505" i="2"/>
  <c r="AC503" i="2"/>
  <c r="AC524" i="2"/>
  <c r="AC507" i="2"/>
  <c r="AC518" i="2"/>
  <c r="AC501" i="2"/>
  <c r="AC491" i="2"/>
  <c r="AC506" i="2"/>
  <c r="U449" i="2" l="1"/>
  <c r="V449" i="2" s="1"/>
  <c r="U448" i="2"/>
  <c r="V448" i="2" s="1"/>
  <c r="U453" i="2"/>
  <c r="V453" i="2" s="1"/>
  <c r="U452" i="2"/>
  <c r="V452" i="2" s="1"/>
  <c r="U447" i="2"/>
  <c r="V447" i="2" s="1"/>
  <c r="U455" i="2"/>
  <c r="V455" i="2" s="1"/>
  <c r="U459" i="2"/>
  <c r="V459" i="2" s="1"/>
  <c r="U456" i="2"/>
  <c r="V456" i="2" s="1"/>
  <c r="U463" i="2"/>
  <c r="V463" i="2" s="1"/>
  <c r="U457" i="2"/>
  <c r="V457" i="2" s="1"/>
  <c r="U464" i="2"/>
  <c r="V464" i="2" s="1"/>
  <c r="U465" i="2"/>
  <c r="V465" i="2" s="1"/>
  <c r="U468" i="2"/>
  <c r="V468" i="2" s="1"/>
  <c r="U472" i="2"/>
  <c r="V472" i="2" s="1"/>
  <c r="U471" i="2"/>
  <c r="V471" i="2" s="1"/>
  <c r="U475" i="2"/>
  <c r="V475" i="2" s="1"/>
  <c r="U461" i="2"/>
  <c r="V461" i="2" s="1"/>
  <c r="U476" i="2"/>
  <c r="V476" i="2" s="1"/>
  <c r="U450" i="2"/>
  <c r="V450" i="2" s="1"/>
  <c r="U454" i="2"/>
  <c r="V454" i="2" s="1"/>
  <c r="U460" i="2"/>
  <c r="V460" i="2" s="1"/>
  <c r="U466" i="2"/>
  <c r="V466" i="2" s="1"/>
  <c r="U470" i="2"/>
  <c r="V470" i="2" s="1"/>
  <c r="U473" i="2"/>
  <c r="V473" i="2" s="1"/>
  <c r="U469" i="2"/>
  <c r="V469" i="2" s="1"/>
  <c r="U478" i="2"/>
  <c r="V478" i="2" s="1"/>
  <c r="U480" i="2"/>
  <c r="V480" i="2" s="1"/>
  <c r="U483" i="2"/>
  <c r="V483" i="2" s="1"/>
  <c r="U482" i="2"/>
  <c r="V482" i="2" s="1"/>
  <c r="U486" i="2"/>
  <c r="V486" i="2" s="1"/>
  <c r="U467" i="2"/>
  <c r="V467" i="2" s="1"/>
  <c r="U477" i="2"/>
  <c r="V477" i="2" s="1"/>
  <c r="U479" i="2"/>
  <c r="V479" i="2" s="1"/>
  <c r="U485" i="2"/>
  <c r="V485" i="2" s="1"/>
  <c r="U487" i="2"/>
  <c r="V487" i="2" s="1"/>
  <c r="U451" i="2"/>
  <c r="V451" i="2" s="1"/>
  <c r="U462" i="2"/>
  <c r="V462" i="2" s="1"/>
  <c r="U474" i="2"/>
  <c r="V474" i="2" s="1"/>
  <c r="U484" i="2"/>
  <c r="V484" i="2" s="1"/>
  <c r="U458" i="2"/>
  <c r="V458" i="2" s="1"/>
  <c r="U481" i="2"/>
  <c r="V481" i="2" s="1"/>
  <c r="W449" i="2"/>
  <c r="W448" i="2"/>
  <c r="W453" i="2"/>
  <c r="W452" i="2"/>
  <c r="W447" i="2"/>
  <c r="W455" i="2"/>
  <c r="W459" i="2"/>
  <c r="W456" i="2"/>
  <c r="W463" i="2"/>
  <c r="W457" i="2"/>
  <c r="W464" i="2"/>
  <c r="W465" i="2"/>
  <c r="W468" i="2"/>
  <c r="W472" i="2"/>
  <c r="W471" i="2"/>
  <c r="W475" i="2"/>
  <c r="W461" i="2"/>
  <c r="W476" i="2"/>
  <c r="W450" i="2"/>
  <c r="W454" i="2"/>
  <c r="W460" i="2"/>
  <c r="W466" i="2"/>
  <c r="W470" i="2"/>
  <c r="W473" i="2"/>
  <c r="W469" i="2"/>
  <c r="W478" i="2"/>
  <c r="W480" i="2"/>
  <c r="W483" i="2"/>
  <c r="W482" i="2"/>
  <c r="W486" i="2"/>
  <c r="W467" i="2"/>
  <c r="W477" i="2"/>
  <c r="W479" i="2"/>
  <c r="W485" i="2"/>
  <c r="W487" i="2"/>
  <c r="W451" i="2"/>
  <c r="W462" i="2"/>
  <c r="W474" i="2"/>
  <c r="W484" i="2"/>
  <c r="W458" i="2"/>
  <c r="W481" i="2"/>
  <c r="X449" i="2"/>
  <c r="X448" i="2"/>
  <c r="X453" i="2"/>
  <c r="X452" i="2"/>
  <c r="X447" i="2"/>
  <c r="X455" i="2"/>
  <c r="X459" i="2"/>
  <c r="X456" i="2"/>
  <c r="X463" i="2"/>
  <c r="X457" i="2"/>
  <c r="X464" i="2"/>
  <c r="X465" i="2"/>
  <c r="X468" i="2"/>
  <c r="X472" i="2"/>
  <c r="X471" i="2"/>
  <c r="X475" i="2"/>
  <c r="X461" i="2"/>
  <c r="X476" i="2"/>
  <c r="X450" i="2"/>
  <c r="X454" i="2"/>
  <c r="X460" i="2"/>
  <c r="X466" i="2"/>
  <c r="X470" i="2"/>
  <c r="X473" i="2"/>
  <c r="X469" i="2"/>
  <c r="X478" i="2"/>
  <c r="X480" i="2"/>
  <c r="X483" i="2"/>
  <c r="X482" i="2"/>
  <c r="X486" i="2"/>
  <c r="X467" i="2"/>
  <c r="X477" i="2"/>
  <c r="X479" i="2"/>
  <c r="X485" i="2"/>
  <c r="X487" i="2"/>
  <c r="X451" i="2"/>
  <c r="X462" i="2"/>
  <c r="X474" i="2"/>
  <c r="X484" i="2"/>
  <c r="X458" i="2"/>
  <c r="X481" i="2"/>
  <c r="Y449" i="2"/>
  <c r="Y448" i="2"/>
  <c r="Y453" i="2"/>
  <c r="Y452" i="2"/>
  <c r="Y447" i="2"/>
  <c r="Y455" i="2"/>
  <c r="Y459" i="2"/>
  <c r="Y456" i="2"/>
  <c r="Y463" i="2"/>
  <c r="Y457" i="2"/>
  <c r="Y464" i="2"/>
  <c r="Y465" i="2"/>
  <c r="Y468" i="2"/>
  <c r="Y472" i="2"/>
  <c r="Y471" i="2"/>
  <c r="Y475" i="2"/>
  <c r="Y461" i="2"/>
  <c r="Y476" i="2"/>
  <c r="Y450" i="2"/>
  <c r="Y454" i="2"/>
  <c r="Y460" i="2"/>
  <c r="Y466" i="2"/>
  <c r="Y470" i="2"/>
  <c r="Y473" i="2"/>
  <c r="Y469" i="2"/>
  <c r="Y478" i="2"/>
  <c r="Y480" i="2"/>
  <c r="Y483" i="2"/>
  <c r="Y482" i="2"/>
  <c r="Y486" i="2"/>
  <c r="Y467" i="2"/>
  <c r="Y477" i="2"/>
  <c r="Y479" i="2"/>
  <c r="Y485" i="2"/>
  <c r="Y487" i="2"/>
  <c r="Y451" i="2"/>
  <c r="Y462" i="2"/>
  <c r="Y474" i="2"/>
  <c r="Y484" i="2"/>
  <c r="Y458" i="2"/>
  <c r="Y481" i="2"/>
  <c r="Z449" i="2"/>
  <c r="Z448" i="2"/>
  <c r="Z453" i="2"/>
  <c r="Z452" i="2"/>
  <c r="Z447" i="2"/>
  <c r="Z455" i="2"/>
  <c r="Z459" i="2"/>
  <c r="Z456" i="2"/>
  <c r="Z463" i="2"/>
  <c r="Z457" i="2"/>
  <c r="Z464" i="2"/>
  <c r="Z465" i="2"/>
  <c r="Z468" i="2"/>
  <c r="Z472" i="2"/>
  <c r="Z471" i="2"/>
  <c r="Z475" i="2"/>
  <c r="Z461" i="2"/>
  <c r="Z476" i="2"/>
  <c r="Z450" i="2"/>
  <c r="Z454" i="2"/>
  <c r="Z460" i="2"/>
  <c r="Z466" i="2"/>
  <c r="Z470" i="2"/>
  <c r="Z473" i="2"/>
  <c r="Z469" i="2"/>
  <c r="Z478" i="2"/>
  <c r="Z480" i="2"/>
  <c r="Z483" i="2"/>
  <c r="Z482" i="2"/>
  <c r="Z486" i="2"/>
  <c r="Z467" i="2"/>
  <c r="Z477" i="2"/>
  <c r="Z479" i="2"/>
  <c r="Z485" i="2"/>
  <c r="Z487" i="2"/>
  <c r="Z451" i="2"/>
  <c r="Z462" i="2"/>
  <c r="Z474" i="2"/>
  <c r="Z484" i="2"/>
  <c r="Z458" i="2"/>
  <c r="Z481" i="2"/>
  <c r="AA449" i="2"/>
  <c r="AA448" i="2"/>
  <c r="AA453" i="2"/>
  <c r="AA452" i="2"/>
  <c r="AA447" i="2"/>
  <c r="AA455" i="2"/>
  <c r="AA459" i="2"/>
  <c r="AA456" i="2"/>
  <c r="AA463" i="2"/>
  <c r="AA457" i="2"/>
  <c r="AA464" i="2"/>
  <c r="AA465" i="2"/>
  <c r="AA468" i="2"/>
  <c r="AA472" i="2"/>
  <c r="AA471" i="2"/>
  <c r="AA475" i="2"/>
  <c r="AA461" i="2"/>
  <c r="AA476" i="2"/>
  <c r="AA450" i="2"/>
  <c r="AA454" i="2"/>
  <c r="AA460" i="2"/>
  <c r="AA466" i="2"/>
  <c r="AA470" i="2"/>
  <c r="AA473" i="2"/>
  <c r="AA469" i="2"/>
  <c r="AA478" i="2"/>
  <c r="AA480" i="2"/>
  <c r="AA483" i="2"/>
  <c r="AA482" i="2"/>
  <c r="AA486" i="2"/>
  <c r="AA467" i="2"/>
  <c r="AA477" i="2"/>
  <c r="AA479" i="2"/>
  <c r="AA485" i="2"/>
  <c r="AA487" i="2"/>
  <c r="AA451" i="2"/>
  <c r="AA462" i="2"/>
  <c r="AA474" i="2"/>
  <c r="AA484" i="2"/>
  <c r="AA458" i="2"/>
  <c r="AA481" i="2"/>
  <c r="AB449" i="2"/>
  <c r="AB448" i="2"/>
  <c r="AB453" i="2"/>
  <c r="AB452" i="2"/>
  <c r="AB447" i="2"/>
  <c r="AB455" i="2"/>
  <c r="AB459" i="2"/>
  <c r="AB456" i="2"/>
  <c r="AB463" i="2"/>
  <c r="AB457" i="2"/>
  <c r="AB464" i="2"/>
  <c r="AB465" i="2"/>
  <c r="AB468" i="2"/>
  <c r="AB472" i="2"/>
  <c r="AB471" i="2"/>
  <c r="AB475" i="2"/>
  <c r="AB461" i="2"/>
  <c r="AB476" i="2"/>
  <c r="AB450" i="2"/>
  <c r="AB454" i="2"/>
  <c r="AB460" i="2"/>
  <c r="AB466" i="2"/>
  <c r="AB470" i="2"/>
  <c r="AB473" i="2"/>
  <c r="AB469" i="2"/>
  <c r="AB478" i="2"/>
  <c r="AB480" i="2"/>
  <c r="AB483" i="2"/>
  <c r="AB482" i="2"/>
  <c r="AB486" i="2"/>
  <c r="AB467" i="2"/>
  <c r="AB477" i="2"/>
  <c r="AB479" i="2"/>
  <c r="AB485" i="2"/>
  <c r="AB487" i="2"/>
  <c r="AB451" i="2"/>
  <c r="AB462" i="2"/>
  <c r="AB474" i="2"/>
  <c r="AB484" i="2"/>
  <c r="AB458" i="2"/>
  <c r="AB481" i="2"/>
  <c r="F6" i="1"/>
  <c r="G6" i="1"/>
  <c r="H6" i="1"/>
  <c r="I6" i="1"/>
  <c r="K6" i="1"/>
  <c r="AC464" i="2"/>
  <c r="AC456" i="2"/>
  <c r="AC471" i="2"/>
  <c r="AC448" i="2"/>
  <c r="AC476" i="2"/>
  <c r="AC480" i="2"/>
  <c r="AC458" i="2"/>
  <c r="AC457" i="2"/>
  <c r="AC465" i="2"/>
  <c r="AC459" i="2"/>
  <c r="AC453" i="2"/>
  <c r="AC485" i="2"/>
  <c r="AC468" i="2"/>
  <c r="AC473" i="2"/>
  <c r="AC479" i="2"/>
  <c r="AC451" i="2"/>
  <c r="AC472" i="2"/>
  <c r="AC463" i="2"/>
  <c r="AC483" i="2"/>
  <c r="AC469" i="2"/>
  <c r="AC487" i="2"/>
  <c r="AC454" i="2"/>
  <c r="AC478" i="2"/>
  <c r="AC462" i="2"/>
  <c r="AC450" i="2"/>
  <c r="AC475" i="2"/>
  <c r="AC481" i="2"/>
  <c r="AC449" i="2"/>
  <c r="AC466" i="2"/>
  <c r="AC455" i="2"/>
  <c r="AC447" i="2"/>
  <c r="AC486" i="2"/>
  <c r="AC482" i="2"/>
  <c r="AC474" i="2"/>
  <c r="AC452" i="2"/>
  <c r="AC470" i="2"/>
  <c r="AC477" i="2"/>
  <c r="AC460" i="2"/>
  <c r="AC467" i="2"/>
  <c r="AC484" i="2"/>
  <c r="AC461" i="2"/>
  <c r="J6" i="1" l="1"/>
  <c r="M6" i="1" s="1"/>
  <c r="C37" i="9"/>
  <c r="D37" i="9"/>
  <c r="E37" i="9"/>
  <c r="F37" i="9"/>
  <c r="G37" i="9"/>
  <c r="H37" i="9"/>
  <c r="I37" i="9"/>
  <c r="J37" i="9"/>
  <c r="K37" i="9"/>
  <c r="L37" i="9"/>
  <c r="M37" i="9"/>
  <c r="N37" i="9"/>
  <c r="U423" i="2"/>
  <c r="V423" i="2" s="1"/>
  <c r="U424" i="2"/>
  <c r="V424" i="2" s="1"/>
  <c r="U422" i="2"/>
  <c r="V422" i="2" s="1"/>
  <c r="U428" i="2"/>
  <c r="V428" i="2" s="1"/>
  <c r="U427" i="2"/>
  <c r="V427" i="2" s="1"/>
  <c r="U426" i="2"/>
  <c r="V426" i="2" s="1"/>
  <c r="U425" i="2"/>
  <c r="V425" i="2" s="1"/>
  <c r="U429" i="2"/>
  <c r="V429" i="2" s="1"/>
  <c r="U430" i="2"/>
  <c r="V430" i="2" s="1"/>
  <c r="U431" i="2"/>
  <c r="V431" i="2" s="1"/>
  <c r="U433" i="2"/>
  <c r="V433" i="2" s="1"/>
  <c r="U434" i="2"/>
  <c r="V434" i="2" s="1"/>
  <c r="U437" i="2"/>
  <c r="V437" i="2" s="1"/>
  <c r="U439" i="2"/>
  <c r="V439" i="2" s="1"/>
  <c r="U441" i="2"/>
  <c r="V441" i="2" s="1"/>
  <c r="U435" i="2"/>
  <c r="V435" i="2" s="1"/>
  <c r="U438" i="2"/>
  <c r="V438" i="2" s="1"/>
  <c r="U440" i="2"/>
  <c r="V440" i="2" s="1"/>
  <c r="U442" i="2"/>
  <c r="V442" i="2" s="1"/>
  <c r="U443" i="2"/>
  <c r="V443" i="2" s="1"/>
  <c r="U445" i="2"/>
  <c r="V445" i="2" s="1"/>
  <c r="U444" i="2"/>
  <c r="V444" i="2" s="1"/>
  <c r="U432" i="2"/>
  <c r="V432" i="2" s="1"/>
  <c r="U446" i="2"/>
  <c r="V446" i="2" s="1"/>
  <c r="U436" i="2"/>
  <c r="V436" i="2" s="1"/>
  <c r="W423" i="2"/>
  <c r="W424" i="2"/>
  <c r="W422" i="2"/>
  <c r="W428" i="2"/>
  <c r="W427" i="2"/>
  <c r="W426" i="2"/>
  <c r="W425" i="2"/>
  <c r="W429" i="2"/>
  <c r="W430" i="2"/>
  <c r="W431" i="2"/>
  <c r="W433" i="2"/>
  <c r="W434" i="2"/>
  <c r="W437" i="2"/>
  <c r="W439" i="2"/>
  <c r="W441" i="2"/>
  <c r="W435" i="2"/>
  <c r="W438" i="2"/>
  <c r="W440" i="2"/>
  <c r="W442" i="2"/>
  <c r="W443" i="2"/>
  <c r="W445" i="2"/>
  <c r="W444" i="2"/>
  <c r="W432" i="2"/>
  <c r="W446" i="2"/>
  <c r="W436" i="2"/>
  <c r="X423" i="2"/>
  <c r="X424" i="2"/>
  <c r="X422" i="2"/>
  <c r="X428" i="2"/>
  <c r="X427" i="2"/>
  <c r="X426" i="2"/>
  <c r="X425" i="2"/>
  <c r="X429" i="2"/>
  <c r="X430" i="2"/>
  <c r="X431" i="2"/>
  <c r="X433" i="2"/>
  <c r="X434" i="2"/>
  <c r="X437" i="2"/>
  <c r="X439" i="2"/>
  <c r="X441" i="2"/>
  <c r="X435" i="2"/>
  <c r="X438" i="2"/>
  <c r="X440" i="2"/>
  <c r="X442" i="2"/>
  <c r="X443" i="2"/>
  <c r="X445" i="2"/>
  <c r="X444" i="2"/>
  <c r="X432" i="2"/>
  <c r="X446" i="2"/>
  <c r="X436" i="2"/>
  <c r="Y423" i="2"/>
  <c r="Y424" i="2"/>
  <c r="Y422" i="2"/>
  <c r="Y428" i="2"/>
  <c r="Y427" i="2"/>
  <c r="Y426" i="2"/>
  <c r="Y425" i="2"/>
  <c r="Y429" i="2"/>
  <c r="Y430" i="2"/>
  <c r="Y431" i="2"/>
  <c r="Y433" i="2"/>
  <c r="Y434" i="2"/>
  <c r="Y437" i="2"/>
  <c r="Y439" i="2"/>
  <c r="Y441" i="2"/>
  <c r="Y435" i="2"/>
  <c r="Y438" i="2"/>
  <c r="Y440" i="2"/>
  <c r="Y442" i="2"/>
  <c r="Y443" i="2"/>
  <c r="Y445" i="2"/>
  <c r="Y444" i="2"/>
  <c r="Y432" i="2"/>
  <c r="Y446" i="2"/>
  <c r="Y436" i="2"/>
  <c r="Z423" i="2"/>
  <c r="Z424" i="2"/>
  <c r="Z422" i="2"/>
  <c r="Z428" i="2"/>
  <c r="Z427" i="2"/>
  <c r="Z426" i="2"/>
  <c r="Z425" i="2"/>
  <c r="Z429" i="2"/>
  <c r="Z430" i="2"/>
  <c r="Z431" i="2"/>
  <c r="Z433" i="2"/>
  <c r="Z434" i="2"/>
  <c r="Z437" i="2"/>
  <c r="Z439" i="2"/>
  <c r="Z441" i="2"/>
  <c r="Z435" i="2"/>
  <c r="Z438" i="2"/>
  <c r="Z440" i="2"/>
  <c r="Z442" i="2"/>
  <c r="Z443" i="2"/>
  <c r="Z445" i="2"/>
  <c r="Z444" i="2"/>
  <c r="Z432" i="2"/>
  <c r="Z446" i="2"/>
  <c r="Z436" i="2"/>
  <c r="AA423" i="2"/>
  <c r="AA424" i="2"/>
  <c r="AA422" i="2"/>
  <c r="AA428" i="2"/>
  <c r="AA427" i="2"/>
  <c r="AA426" i="2"/>
  <c r="AA425" i="2"/>
  <c r="AA429" i="2"/>
  <c r="AA430" i="2"/>
  <c r="AA431" i="2"/>
  <c r="AA433" i="2"/>
  <c r="AA434" i="2"/>
  <c r="AA437" i="2"/>
  <c r="AA439" i="2"/>
  <c r="AA441" i="2"/>
  <c r="AA435" i="2"/>
  <c r="AA438" i="2"/>
  <c r="AA440" i="2"/>
  <c r="AA442" i="2"/>
  <c r="AA443" i="2"/>
  <c r="AA445" i="2"/>
  <c r="AA444" i="2"/>
  <c r="AA432" i="2"/>
  <c r="AA446" i="2"/>
  <c r="AA436" i="2"/>
  <c r="AB423" i="2"/>
  <c r="AB424" i="2"/>
  <c r="AB422" i="2"/>
  <c r="AB428" i="2"/>
  <c r="AB427" i="2"/>
  <c r="AB426" i="2"/>
  <c r="AB425" i="2"/>
  <c r="AB429" i="2"/>
  <c r="AB430" i="2"/>
  <c r="AB431" i="2"/>
  <c r="AB433" i="2"/>
  <c r="AB434" i="2"/>
  <c r="AB437" i="2"/>
  <c r="AB439" i="2"/>
  <c r="AB441" i="2"/>
  <c r="AB435" i="2"/>
  <c r="AB438" i="2"/>
  <c r="AB440" i="2"/>
  <c r="AB442" i="2"/>
  <c r="AB443" i="2"/>
  <c r="AB445" i="2"/>
  <c r="AB444" i="2"/>
  <c r="AB432" i="2"/>
  <c r="AB446" i="2"/>
  <c r="AB436" i="2"/>
  <c r="AC423" i="2"/>
  <c r="AC441" i="2"/>
  <c r="AC422" i="2"/>
  <c r="AC443" i="2"/>
  <c r="AC426" i="2"/>
  <c r="AC425" i="2"/>
  <c r="AC445" i="2"/>
  <c r="AC436" i="2"/>
  <c r="AC435" i="2"/>
  <c r="AC434" i="2"/>
  <c r="AC430" i="2"/>
  <c r="AC442" i="2"/>
  <c r="AC432" i="2"/>
  <c r="AC440" i="2"/>
  <c r="AC429" i="2"/>
  <c r="AC437" i="2"/>
  <c r="AC438" i="2"/>
  <c r="AC427" i="2"/>
  <c r="AC428" i="2"/>
  <c r="AC446" i="2"/>
  <c r="AC431" i="2"/>
  <c r="AC439" i="2"/>
  <c r="AC424" i="2"/>
  <c r="AC433" i="2"/>
  <c r="AC444" i="2"/>
  <c r="C36" i="9" l="1"/>
  <c r="D36" i="9"/>
  <c r="E36" i="9"/>
  <c r="F36" i="9"/>
  <c r="G36" i="9"/>
  <c r="H36" i="9"/>
  <c r="I36" i="9"/>
  <c r="J36" i="9"/>
  <c r="K36" i="9"/>
  <c r="L36" i="9"/>
  <c r="M36" i="9"/>
  <c r="N36" i="9"/>
  <c r="F7" i="1"/>
  <c r="G7" i="1"/>
  <c r="H7" i="1"/>
  <c r="I7" i="1"/>
  <c r="K7" i="1"/>
  <c r="J7" i="1" l="1"/>
  <c r="M7" i="1" s="1"/>
  <c r="U383" i="2" l="1"/>
  <c r="V383" i="2" s="1"/>
  <c r="U387" i="2"/>
  <c r="V387" i="2" s="1"/>
  <c r="U386" i="2"/>
  <c r="V386" i="2" s="1"/>
  <c r="U392" i="2"/>
  <c r="V392" i="2" s="1"/>
  <c r="U382" i="2"/>
  <c r="V382" i="2" s="1"/>
  <c r="U385" i="2"/>
  <c r="V385" i="2" s="1"/>
  <c r="U391" i="2"/>
  <c r="V391" i="2" s="1"/>
  <c r="U397" i="2"/>
  <c r="V397" i="2" s="1"/>
  <c r="U384" i="2"/>
  <c r="V384" i="2" s="1"/>
  <c r="U393" i="2"/>
  <c r="V393" i="2" s="1"/>
  <c r="U398" i="2"/>
  <c r="V398" i="2" s="1"/>
  <c r="U388" i="2"/>
  <c r="V388" i="2" s="1"/>
  <c r="U401" i="2"/>
  <c r="V401" i="2" s="1"/>
  <c r="U400" i="2"/>
  <c r="V400" i="2" s="1"/>
  <c r="U404" i="2"/>
  <c r="V404" i="2" s="1"/>
  <c r="U411" i="2"/>
  <c r="V411" i="2" s="1"/>
  <c r="U410" i="2"/>
  <c r="V410" i="2" s="1"/>
  <c r="U405" i="2"/>
  <c r="V405" i="2" s="1"/>
  <c r="U412" i="2"/>
  <c r="V412" i="2" s="1"/>
  <c r="U416" i="2"/>
  <c r="V416" i="2" s="1"/>
  <c r="U406" i="2"/>
  <c r="V406" i="2" s="1"/>
  <c r="U413" i="2"/>
  <c r="V413" i="2" s="1"/>
  <c r="U417" i="2"/>
  <c r="V417" i="2" s="1"/>
  <c r="U415" i="2"/>
  <c r="V415" i="2" s="1"/>
  <c r="U409" i="2"/>
  <c r="V409" i="2" s="1"/>
  <c r="U420" i="2"/>
  <c r="V420" i="2" s="1"/>
  <c r="U390" i="2"/>
  <c r="V390" i="2" s="1"/>
  <c r="U395" i="2"/>
  <c r="V395" i="2" s="1"/>
  <c r="U396" i="2"/>
  <c r="V396" i="2" s="1"/>
  <c r="U399" i="2"/>
  <c r="V399" i="2" s="1"/>
  <c r="U402" i="2"/>
  <c r="V402" i="2" s="1"/>
  <c r="U403" i="2"/>
  <c r="V403" i="2" s="1"/>
  <c r="U408" i="2"/>
  <c r="V408" i="2" s="1"/>
  <c r="U414" i="2"/>
  <c r="V414" i="2" s="1"/>
  <c r="U419" i="2"/>
  <c r="V419" i="2" s="1"/>
  <c r="U389" i="2"/>
  <c r="V389" i="2" s="1"/>
  <c r="U394" i="2"/>
  <c r="V394" i="2" s="1"/>
  <c r="U407" i="2"/>
  <c r="V407" i="2" s="1"/>
  <c r="U418" i="2"/>
  <c r="V418" i="2" s="1"/>
  <c r="U421" i="2"/>
  <c r="V421" i="2" s="1"/>
  <c r="W383" i="2"/>
  <c r="W387" i="2"/>
  <c r="W386" i="2"/>
  <c r="W392" i="2"/>
  <c r="W382" i="2"/>
  <c r="W385" i="2"/>
  <c r="W391" i="2"/>
  <c r="W397" i="2"/>
  <c r="W384" i="2"/>
  <c r="W393" i="2"/>
  <c r="W398" i="2"/>
  <c r="W388" i="2"/>
  <c r="W401" i="2"/>
  <c r="W400" i="2"/>
  <c r="W404" i="2"/>
  <c r="W411" i="2"/>
  <c r="W410" i="2"/>
  <c r="W405" i="2"/>
  <c r="W412" i="2"/>
  <c r="W416" i="2"/>
  <c r="W406" i="2"/>
  <c r="W413" i="2"/>
  <c r="W417" i="2"/>
  <c r="W415" i="2"/>
  <c r="W409" i="2"/>
  <c r="W420" i="2"/>
  <c r="W390" i="2"/>
  <c r="W395" i="2"/>
  <c r="W396" i="2"/>
  <c r="W399" i="2"/>
  <c r="W402" i="2"/>
  <c r="W403" i="2"/>
  <c r="W408" i="2"/>
  <c r="W414" i="2"/>
  <c r="W419" i="2"/>
  <c r="W389" i="2"/>
  <c r="W394" i="2"/>
  <c r="W407" i="2"/>
  <c r="W418" i="2"/>
  <c r="W421" i="2"/>
  <c r="X383" i="2"/>
  <c r="X387" i="2"/>
  <c r="X386" i="2"/>
  <c r="X392" i="2"/>
  <c r="X382" i="2"/>
  <c r="X385" i="2"/>
  <c r="X391" i="2"/>
  <c r="X397" i="2"/>
  <c r="X384" i="2"/>
  <c r="X393" i="2"/>
  <c r="X398" i="2"/>
  <c r="X388" i="2"/>
  <c r="X401" i="2"/>
  <c r="X400" i="2"/>
  <c r="X404" i="2"/>
  <c r="X411" i="2"/>
  <c r="X410" i="2"/>
  <c r="X405" i="2"/>
  <c r="X412" i="2"/>
  <c r="X416" i="2"/>
  <c r="X406" i="2"/>
  <c r="X413" i="2"/>
  <c r="X417" i="2"/>
  <c r="X415" i="2"/>
  <c r="X409" i="2"/>
  <c r="X420" i="2"/>
  <c r="X390" i="2"/>
  <c r="X395" i="2"/>
  <c r="X396" i="2"/>
  <c r="X399" i="2"/>
  <c r="X402" i="2"/>
  <c r="X403" i="2"/>
  <c r="X408" i="2"/>
  <c r="X414" i="2"/>
  <c r="X419" i="2"/>
  <c r="X389" i="2"/>
  <c r="X394" i="2"/>
  <c r="X407" i="2"/>
  <c r="X418" i="2"/>
  <c r="X421" i="2"/>
  <c r="Y383" i="2"/>
  <c r="Y387" i="2"/>
  <c r="Y386" i="2"/>
  <c r="Y392" i="2"/>
  <c r="Y382" i="2"/>
  <c r="Y385" i="2"/>
  <c r="Y391" i="2"/>
  <c r="Y397" i="2"/>
  <c r="Y384" i="2"/>
  <c r="Y393" i="2"/>
  <c r="Y398" i="2"/>
  <c r="Y388" i="2"/>
  <c r="Y401" i="2"/>
  <c r="Y400" i="2"/>
  <c r="Y404" i="2"/>
  <c r="Y411" i="2"/>
  <c r="Y410" i="2"/>
  <c r="Y405" i="2"/>
  <c r="Y412" i="2"/>
  <c r="Y416" i="2"/>
  <c r="Y406" i="2"/>
  <c r="Y413" i="2"/>
  <c r="Y417" i="2"/>
  <c r="Y415" i="2"/>
  <c r="Y409" i="2"/>
  <c r="Y420" i="2"/>
  <c r="Y390" i="2"/>
  <c r="Y395" i="2"/>
  <c r="Y396" i="2"/>
  <c r="Y399" i="2"/>
  <c r="Y402" i="2"/>
  <c r="Y403" i="2"/>
  <c r="Y408" i="2"/>
  <c r="Y414" i="2"/>
  <c r="Y419" i="2"/>
  <c r="Y389" i="2"/>
  <c r="Y394" i="2"/>
  <c r="Y407" i="2"/>
  <c r="Y418" i="2"/>
  <c r="Y421" i="2"/>
  <c r="Z383" i="2"/>
  <c r="Z387" i="2"/>
  <c r="Z386" i="2"/>
  <c r="Z392" i="2"/>
  <c r="Z382" i="2"/>
  <c r="Z385" i="2"/>
  <c r="Z391" i="2"/>
  <c r="Z397" i="2"/>
  <c r="Z384" i="2"/>
  <c r="Z393" i="2"/>
  <c r="Z398" i="2"/>
  <c r="Z388" i="2"/>
  <c r="Z401" i="2"/>
  <c r="Z400" i="2"/>
  <c r="Z404" i="2"/>
  <c r="Z411" i="2"/>
  <c r="Z410" i="2"/>
  <c r="Z405" i="2"/>
  <c r="Z412" i="2"/>
  <c r="Z416" i="2"/>
  <c r="Z406" i="2"/>
  <c r="Z413" i="2"/>
  <c r="Z417" i="2"/>
  <c r="Z415" i="2"/>
  <c r="Z409" i="2"/>
  <c r="Z420" i="2"/>
  <c r="Z390" i="2"/>
  <c r="Z395" i="2"/>
  <c r="Z396" i="2"/>
  <c r="Z399" i="2"/>
  <c r="Z402" i="2"/>
  <c r="Z403" i="2"/>
  <c r="Z408" i="2"/>
  <c r="Z414" i="2"/>
  <c r="Z419" i="2"/>
  <c r="Z389" i="2"/>
  <c r="Z394" i="2"/>
  <c r="Z407" i="2"/>
  <c r="Z418" i="2"/>
  <c r="Z421" i="2"/>
  <c r="AA383" i="2"/>
  <c r="AA387" i="2"/>
  <c r="AA386" i="2"/>
  <c r="AA392" i="2"/>
  <c r="AA382" i="2"/>
  <c r="AA385" i="2"/>
  <c r="AA391" i="2"/>
  <c r="AA397" i="2"/>
  <c r="AA384" i="2"/>
  <c r="AA393" i="2"/>
  <c r="AA398" i="2"/>
  <c r="AA388" i="2"/>
  <c r="AA401" i="2"/>
  <c r="AA400" i="2"/>
  <c r="AA404" i="2"/>
  <c r="AA411" i="2"/>
  <c r="AA410" i="2"/>
  <c r="AA405" i="2"/>
  <c r="AA412" i="2"/>
  <c r="AA416" i="2"/>
  <c r="AA406" i="2"/>
  <c r="AA413" i="2"/>
  <c r="AA417" i="2"/>
  <c r="AA415" i="2"/>
  <c r="AA409" i="2"/>
  <c r="AA420" i="2"/>
  <c r="AA390" i="2"/>
  <c r="AA395" i="2"/>
  <c r="AA396" i="2"/>
  <c r="AA399" i="2"/>
  <c r="AA402" i="2"/>
  <c r="AA403" i="2"/>
  <c r="AA408" i="2"/>
  <c r="AA414" i="2"/>
  <c r="AA419" i="2"/>
  <c r="AA389" i="2"/>
  <c r="AA394" i="2"/>
  <c r="AA407" i="2"/>
  <c r="AA418" i="2"/>
  <c r="AA421" i="2"/>
  <c r="AB383" i="2"/>
  <c r="AB387" i="2"/>
  <c r="AB386" i="2"/>
  <c r="AB392" i="2"/>
  <c r="AB382" i="2"/>
  <c r="AB385" i="2"/>
  <c r="AB391" i="2"/>
  <c r="AB397" i="2"/>
  <c r="AB384" i="2"/>
  <c r="AB393" i="2"/>
  <c r="AB398" i="2"/>
  <c r="AB388" i="2"/>
  <c r="AB401" i="2"/>
  <c r="AB400" i="2"/>
  <c r="AB404" i="2"/>
  <c r="AB411" i="2"/>
  <c r="AB410" i="2"/>
  <c r="AB405" i="2"/>
  <c r="AB412" i="2"/>
  <c r="AB416" i="2"/>
  <c r="AB406" i="2"/>
  <c r="AB413" i="2"/>
  <c r="AB417" i="2"/>
  <c r="AB415" i="2"/>
  <c r="AB409" i="2"/>
  <c r="AB420" i="2"/>
  <c r="AB390" i="2"/>
  <c r="AB395" i="2"/>
  <c r="AB396" i="2"/>
  <c r="AB399" i="2"/>
  <c r="AB402" i="2"/>
  <c r="AB403" i="2"/>
  <c r="AB408" i="2"/>
  <c r="AB414" i="2"/>
  <c r="AB419" i="2"/>
  <c r="AB389" i="2"/>
  <c r="AB394" i="2"/>
  <c r="AB407" i="2"/>
  <c r="AB418" i="2"/>
  <c r="AB421" i="2"/>
  <c r="AC391" i="2"/>
  <c r="AC409" i="2"/>
  <c r="AC417" i="2"/>
  <c r="AC420" i="2"/>
  <c r="AC384" i="2"/>
  <c r="AC395" i="2"/>
  <c r="AC419" i="2"/>
  <c r="AC407" i="2"/>
  <c r="AC401" i="2"/>
  <c r="AC415" i="2"/>
  <c r="AC403" i="2"/>
  <c r="AC421" i="2"/>
  <c r="AC398" i="2"/>
  <c r="AC418" i="2"/>
  <c r="AC382" i="2"/>
  <c r="AC400" i="2"/>
  <c r="AC412" i="2"/>
  <c r="AC405" i="2"/>
  <c r="AC406" i="2"/>
  <c r="AC388" i="2"/>
  <c r="AC408" i="2"/>
  <c r="AC397" i="2"/>
  <c r="AC416" i="2"/>
  <c r="AC413" i="2"/>
  <c r="AC392" i="2"/>
  <c r="AC390" i="2"/>
  <c r="AC402" i="2"/>
  <c r="AC414" i="2"/>
  <c r="AC411" i="2"/>
  <c r="AC396" i="2"/>
  <c r="AC410" i="2"/>
  <c r="AC385" i="2"/>
  <c r="AC393" i="2"/>
  <c r="AC404" i="2"/>
  <c r="AC394" i="2"/>
  <c r="AC389" i="2"/>
  <c r="AC386" i="2"/>
  <c r="AC383" i="2"/>
  <c r="AC387" i="2"/>
  <c r="AC399" i="2"/>
  <c r="U353" i="2" l="1"/>
  <c r="V353" i="2" s="1"/>
  <c r="U357" i="2"/>
  <c r="V357" i="2" s="1"/>
  <c r="U355" i="2"/>
  <c r="V355" i="2" s="1"/>
  <c r="U360" i="2"/>
  <c r="V360" i="2" s="1"/>
  <c r="U363" i="2"/>
  <c r="V363" i="2" s="1"/>
  <c r="U365" i="2"/>
  <c r="V365" i="2" s="1"/>
  <c r="U368" i="2"/>
  <c r="V368" i="2" s="1"/>
  <c r="U354" i="2"/>
  <c r="V354" i="2" s="1"/>
  <c r="U356" i="2"/>
  <c r="V356" i="2" s="1"/>
  <c r="U362" i="2"/>
  <c r="V362" i="2" s="1"/>
  <c r="U366" i="2"/>
  <c r="V366" i="2" s="1"/>
  <c r="U369" i="2"/>
  <c r="V369" i="2" s="1"/>
  <c r="U371" i="2"/>
  <c r="V371" i="2" s="1"/>
  <c r="U374" i="2"/>
  <c r="V374" i="2" s="1"/>
  <c r="U375" i="2"/>
  <c r="V375" i="2" s="1"/>
  <c r="U370" i="2"/>
  <c r="V370" i="2" s="1"/>
  <c r="U377" i="2"/>
  <c r="V377" i="2" s="1"/>
  <c r="U380" i="2"/>
  <c r="V380" i="2" s="1"/>
  <c r="U358" i="2"/>
  <c r="V358" i="2" s="1"/>
  <c r="U361" i="2"/>
  <c r="V361" i="2" s="1"/>
  <c r="U367" i="2"/>
  <c r="V367" i="2" s="1"/>
  <c r="U372" i="2"/>
  <c r="V372" i="2" s="1"/>
  <c r="U378" i="2"/>
  <c r="V378" i="2" s="1"/>
  <c r="U379" i="2"/>
  <c r="V379" i="2" s="1"/>
  <c r="U381" i="2"/>
  <c r="V381" i="2" s="1"/>
  <c r="U359" i="2"/>
  <c r="V359" i="2" s="1"/>
  <c r="U364" i="2"/>
  <c r="V364" i="2" s="1"/>
  <c r="U373" i="2"/>
  <c r="V373" i="2" s="1"/>
  <c r="U376" i="2"/>
  <c r="V376" i="2" s="1"/>
  <c r="W353" i="2"/>
  <c r="W357" i="2"/>
  <c r="W355" i="2"/>
  <c r="W360" i="2"/>
  <c r="W363" i="2"/>
  <c r="W365" i="2"/>
  <c r="W368" i="2"/>
  <c r="W354" i="2"/>
  <c r="W356" i="2"/>
  <c r="W362" i="2"/>
  <c r="W366" i="2"/>
  <c r="W369" i="2"/>
  <c r="W371" i="2"/>
  <c r="W374" i="2"/>
  <c r="W375" i="2"/>
  <c r="W370" i="2"/>
  <c r="W377" i="2"/>
  <c r="W380" i="2"/>
  <c r="W358" i="2"/>
  <c r="W361" i="2"/>
  <c r="W367" i="2"/>
  <c r="W372" i="2"/>
  <c r="W378" i="2"/>
  <c r="W379" i="2"/>
  <c r="W381" i="2"/>
  <c r="W359" i="2"/>
  <c r="W364" i="2"/>
  <c r="W373" i="2"/>
  <c r="W376" i="2"/>
  <c r="X353" i="2"/>
  <c r="X357" i="2"/>
  <c r="X355" i="2"/>
  <c r="X360" i="2"/>
  <c r="X363" i="2"/>
  <c r="X365" i="2"/>
  <c r="X368" i="2"/>
  <c r="X354" i="2"/>
  <c r="X356" i="2"/>
  <c r="X362" i="2"/>
  <c r="X366" i="2"/>
  <c r="X369" i="2"/>
  <c r="X371" i="2"/>
  <c r="X374" i="2"/>
  <c r="X375" i="2"/>
  <c r="X370" i="2"/>
  <c r="X377" i="2"/>
  <c r="X380" i="2"/>
  <c r="X358" i="2"/>
  <c r="X361" i="2"/>
  <c r="X367" i="2"/>
  <c r="X372" i="2"/>
  <c r="X378" i="2"/>
  <c r="X379" i="2"/>
  <c r="X381" i="2"/>
  <c r="X359" i="2"/>
  <c r="X364" i="2"/>
  <c r="X373" i="2"/>
  <c r="X376" i="2"/>
  <c r="Y353" i="2"/>
  <c r="Y357" i="2"/>
  <c r="Y355" i="2"/>
  <c r="Y360" i="2"/>
  <c r="Y363" i="2"/>
  <c r="Y365" i="2"/>
  <c r="Y368" i="2"/>
  <c r="Y354" i="2"/>
  <c r="Y356" i="2"/>
  <c r="Y362" i="2"/>
  <c r="Y366" i="2"/>
  <c r="Y369" i="2"/>
  <c r="Y371" i="2"/>
  <c r="Y374" i="2"/>
  <c r="Y375" i="2"/>
  <c r="Y370" i="2"/>
  <c r="Y377" i="2"/>
  <c r="Y380" i="2"/>
  <c r="Y358" i="2"/>
  <c r="Y361" i="2"/>
  <c r="Y367" i="2"/>
  <c r="Y372" i="2"/>
  <c r="Y378" i="2"/>
  <c r="Y379" i="2"/>
  <c r="Y381" i="2"/>
  <c r="Y359" i="2"/>
  <c r="Y364" i="2"/>
  <c r="Y373" i="2"/>
  <c r="Y376" i="2"/>
  <c r="Z353" i="2"/>
  <c r="Z357" i="2"/>
  <c r="Z355" i="2"/>
  <c r="Z360" i="2"/>
  <c r="Z363" i="2"/>
  <c r="Z365" i="2"/>
  <c r="Z368" i="2"/>
  <c r="Z354" i="2"/>
  <c r="Z356" i="2"/>
  <c r="Z362" i="2"/>
  <c r="Z366" i="2"/>
  <c r="Z369" i="2"/>
  <c r="Z371" i="2"/>
  <c r="Z374" i="2"/>
  <c r="Z375" i="2"/>
  <c r="Z370" i="2"/>
  <c r="Z377" i="2"/>
  <c r="Z380" i="2"/>
  <c r="Z358" i="2"/>
  <c r="Z361" i="2"/>
  <c r="Z367" i="2"/>
  <c r="Z372" i="2"/>
  <c r="Z378" i="2"/>
  <c r="Z379" i="2"/>
  <c r="Z381" i="2"/>
  <c r="Z359" i="2"/>
  <c r="Z364" i="2"/>
  <c r="Z373" i="2"/>
  <c r="Z376" i="2"/>
  <c r="AA353" i="2"/>
  <c r="AA357" i="2"/>
  <c r="AA355" i="2"/>
  <c r="AA360" i="2"/>
  <c r="AA363" i="2"/>
  <c r="AA365" i="2"/>
  <c r="AA368" i="2"/>
  <c r="AA354" i="2"/>
  <c r="AA356" i="2"/>
  <c r="AA362" i="2"/>
  <c r="AA366" i="2"/>
  <c r="AA369" i="2"/>
  <c r="AA371" i="2"/>
  <c r="AA374" i="2"/>
  <c r="AA375" i="2"/>
  <c r="AA370" i="2"/>
  <c r="AA377" i="2"/>
  <c r="AA380" i="2"/>
  <c r="AA358" i="2"/>
  <c r="AA361" i="2"/>
  <c r="AA367" i="2"/>
  <c r="AA372" i="2"/>
  <c r="AA378" i="2"/>
  <c r="AA379" i="2"/>
  <c r="AA381" i="2"/>
  <c r="AA359" i="2"/>
  <c r="AA364" i="2"/>
  <c r="AA373" i="2"/>
  <c r="AA376" i="2"/>
  <c r="AB353" i="2"/>
  <c r="AB357" i="2"/>
  <c r="AB355" i="2"/>
  <c r="AB360" i="2"/>
  <c r="AB363" i="2"/>
  <c r="AB365" i="2"/>
  <c r="AB368" i="2"/>
  <c r="AB354" i="2"/>
  <c r="AB356" i="2"/>
  <c r="AB362" i="2"/>
  <c r="AB366" i="2"/>
  <c r="AB369" i="2"/>
  <c r="AB371" i="2"/>
  <c r="AB374" i="2"/>
  <c r="AB375" i="2"/>
  <c r="AB370" i="2"/>
  <c r="AB377" i="2"/>
  <c r="AB380" i="2"/>
  <c r="AB358" i="2"/>
  <c r="AB361" i="2"/>
  <c r="AB367" i="2"/>
  <c r="AB372" i="2"/>
  <c r="AB378" i="2"/>
  <c r="AB379" i="2"/>
  <c r="AB381" i="2"/>
  <c r="AB359" i="2"/>
  <c r="AB364" i="2"/>
  <c r="AB373" i="2"/>
  <c r="AB376" i="2"/>
  <c r="AC377" i="2"/>
  <c r="AC356" i="2"/>
  <c r="AC358" i="2"/>
  <c r="AC363" i="2"/>
  <c r="AC374" i="2"/>
  <c r="AC361" i="2"/>
  <c r="AC381" i="2"/>
  <c r="AC365" i="2"/>
  <c r="AC373" i="2"/>
  <c r="AC360" i="2"/>
  <c r="AC353" i="2"/>
  <c r="AC362" i="2"/>
  <c r="AC357" i="2"/>
  <c r="AC378" i="2"/>
  <c r="AC380" i="2"/>
  <c r="AC369" i="2"/>
  <c r="AC379" i="2"/>
  <c r="AC355" i="2"/>
  <c r="AC364" i="2"/>
  <c r="AC375" i="2"/>
  <c r="AC372" i="2"/>
  <c r="AC366" i="2"/>
  <c r="AC367" i="2"/>
  <c r="AC376" i="2"/>
  <c r="AC368" i="2"/>
  <c r="AC359" i="2"/>
  <c r="AC371" i="2"/>
  <c r="AC354" i="2"/>
  <c r="AC370" i="2"/>
  <c r="U337" i="2" l="1"/>
  <c r="V337" i="2" s="1"/>
  <c r="U343" i="2"/>
  <c r="V343" i="2" s="1"/>
  <c r="U347" i="2"/>
  <c r="V347" i="2" s="1"/>
  <c r="U351" i="2"/>
  <c r="V351" i="2" s="1"/>
  <c r="W337" i="2"/>
  <c r="W343" i="2"/>
  <c r="W347" i="2"/>
  <c r="W351" i="2"/>
  <c r="X337" i="2"/>
  <c r="X343" i="2"/>
  <c r="X347" i="2"/>
  <c r="X351" i="2"/>
  <c r="Y337" i="2"/>
  <c r="Y343" i="2"/>
  <c r="Y347" i="2"/>
  <c r="Y351" i="2"/>
  <c r="Z337" i="2"/>
  <c r="Z343" i="2"/>
  <c r="Z347" i="2"/>
  <c r="Z351" i="2"/>
  <c r="AA337" i="2"/>
  <c r="AA343" i="2"/>
  <c r="AA347" i="2"/>
  <c r="AA351" i="2"/>
  <c r="AB337" i="2"/>
  <c r="AB343" i="2"/>
  <c r="AB347" i="2"/>
  <c r="AB351" i="2"/>
  <c r="U312" i="2"/>
  <c r="V312" i="2" s="1"/>
  <c r="U313" i="2"/>
  <c r="V313" i="2" s="1"/>
  <c r="U316" i="2"/>
  <c r="V316" i="2" s="1"/>
  <c r="U314" i="2"/>
  <c r="V314" i="2" s="1"/>
  <c r="U317" i="2"/>
  <c r="V317" i="2" s="1"/>
  <c r="U315" i="2"/>
  <c r="V315" i="2" s="1"/>
  <c r="U319" i="2"/>
  <c r="V319" i="2" s="1"/>
  <c r="U320" i="2"/>
  <c r="V320" i="2" s="1"/>
  <c r="U318" i="2"/>
  <c r="V318" i="2" s="1"/>
  <c r="U321" i="2"/>
  <c r="V321" i="2" s="1"/>
  <c r="U322" i="2"/>
  <c r="V322" i="2" s="1"/>
  <c r="U324" i="2"/>
  <c r="V324" i="2" s="1"/>
  <c r="U323" i="2"/>
  <c r="V323" i="2" s="1"/>
  <c r="U326" i="2"/>
  <c r="V326" i="2" s="1"/>
  <c r="U325" i="2"/>
  <c r="V325" i="2" s="1"/>
  <c r="U330" i="2"/>
  <c r="V330" i="2" s="1"/>
  <c r="U329" i="2"/>
  <c r="V329" i="2" s="1"/>
  <c r="U327" i="2"/>
  <c r="V327" i="2" s="1"/>
  <c r="U332" i="2"/>
  <c r="V332" i="2" s="1"/>
  <c r="U331" i="2"/>
  <c r="V331" i="2" s="1"/>
  <c r="U334" i="2"/>
  <c r="V334" i="2" s="1"/>
  <c r="U333" i="2"/>
  <c r="V333" i="2" s="1"/>
  <c r="U338" i="2"/>
  <c r="V338" i="2" s="1"/>
  <c r="U336" i="2"/>
  <c r="V336" i="2" s="1"/>
  <c r="U335" i="2"/>
  <c r="V335" i="2" s="1"/>
  <c r="U340" i="2"/>
  <c r="V340" i="2" s="1"/>
  <c r="U339" i="2"/>
  <c r="V339" i="2" s="1"/>
  <c r="U342" i="2"/>
  <c r="V342" i="2" s="1"/>
  <c r="U344" i="2"/>
  <c r="V344" i="2" s="1"/>
  <c r="U341" i="2"/>
  <c r="V341" i="2" s="1"/>
  <c r="U345" i="2"/>
  <c r="V345" i="2" s="1"/>
  <c r="U349" i="2"/>
  <c r="V349" i="2" s="1"/>
  <c r="U348" i="2"/>
  <c r="V348" i="2" s="1"/>
  <c r="U346" i="2"/>
  <c r="V346" i="2" s="1"/>
  <c r="U352" i="2"/>
  <c r="V352" i="2" s="1"/>
  <c r="U350" i="2"/>
  <c r="V350" i="2" s="1"/>
  <c r="U328" i="2"/>
  <c r="V328" i="2" s="1"/>
  <c r="W312" i="2"/>
  <c r="W313" i="2"/>
  <c r="W316" i="2"/>
  <c r="W314" i="2"/>
  <c r="W317" i="2"/>
  <c r="W315" i="2"/>
  <c r="W319" i="2"/>
  <c r="W320" i="2"/>
  <c r="W318" i="2"/>
  <c r="W321" i="2"/>
  <c r="W322" i="2"/>
  <c r="W324" i="2"/>
  <c r="W323" i="2"/>
  <c r="W326" i="2"/>
  <c r="W325" i="2"/>
  <c r="W330" i="2"/>
  <c r="W329" i="2"/>
  <c r="W327" i="2"/>
  <c r="W332" i="2"/>
  <c r="W331" i="2"/>
  <c r="W334" i="2"/>
  <c r="W333" i="2"/>
  <c r="W338" i="2"/>
  <c r="W336" i="2"/>
  <c r="W335" i="2"/>
  <c r="W340" i="2"/>
  <c r="W339" i="2"/>
  <c r="W342" i="2"/>
  <c r="W344" i="2"/>
  <c r="W341" i="2"/>
  <c r="W345" i="2"/>
  <c r="W349" i="2"/>
  <c r="W348" i="2"/>
  <c r="W346" i="2"/>
  <c r="W352" i="2"/>
  <c r="W350" i="2"/>
  <c r="W328" i="2"/>
  <c r="X312" i="2"/>
  <c r="X313" i="2"/>
  <c r="X316" i="2"/>
  <c r="X314" i="2"/>
  <c r="X317" i="2"/>
  <c r="X315" i="2"/>
  <c r="X319" i="2"/>
  <c r="X320" i="2"/>
  <c r="X318" i="2"/>
  <c r="X321" i="2"/>
  <c r="X322" i="2"/>
  <c r="X324" i="2"/>
  <c r="X323" i="2"/>
  <c r="X326" i="2"/>
  <c r="X325" i="2"/>
  <c r="X330" i="2"/>
  <c r="X329" i="2"/>
  <c r="X327" i="2"/>
  <c r="X332" i="2"/>
  <c r="X331" i="2"/>
  <c r="X334" i="2"/>
  <c r="X333" i="2"/>
  <c r="X338" i="2"/>
  <c r="X336" i="2"/>
  <c r="X335" i="2"/>
  <c r="X340" i="2"/>
  <c r="X339" i="2"/>
  <c r="X342" i="2"/>
  <c r="X344" i="2"/>
  <c r="X341" i="2"/>
  <c r="X345" i="2"/>
  <c r="X349" i="2"/>
  <c r="X348" i="2"/>
  <c r="X346" i="2"/>
  <c r="X352" i="2"/>
  <c r="X350" i="2"/>
  <c r="X328" i="2"/>
  <c r="Y312" i="2"/>
  <c r="Y313" i="2"/>
  <c r="Y316" i="2"/>
  <c r="Y314" i="2"/>
  <c r="Y317" i="2"/>
  <c r="Y315" i="2"/>
  <c r="Y319" i="2"/>
  <c r="Y320" i="2"/>
  <c r="Y318" i="2"/>
  <c r="Y321" i="2"/>
  <c r="Y322" i="2"/>
  <c r="Y324" i="2"/>
  <c r="Y323" i="2"/>
  <c r="Y326" i="2"/>
  <c r="Y325" i="2"/>
  <c r="Y330" i="2"/>
  <c r="Y329" i="2"/>
  <c r="Y327" i="2"/>
  <c r="Y332" i="2"/>
  <c r="Y331" i="2"/>
  <c r="Y334" i="2"/>
  <c r="Y333" i="2"/>
  <c r="Y338" i="2"/>
  <c r="Y336" i="2"/>
  <c r="Y335" i="2"/>
  <c r="Y340" i="2"/>
  <c r="Y339" i="2"/>
  <c r="Y342" i="2"/>
  <c r="Y344" i="2"/>
  <c r="Y341" i="2"/>
  <c r="Y345" i="2"/>
  <c r="Y349" i="2"/>
  <c r="Y348" i="2"/>
  <c r="Y346" i="2"/>
  <c r="Y352" i="2"/>
  <c r="Y350" i="2"/>
  <c r="Y328" i="2"/>
  <c r="Z312" i="2"/>
  <c r="Z313" i="2"/>
  <c r="Z316" i="2"/>
  <c r="Z314" i="2"/>
  <c r="Z317" i="2"/>
  <c r="Z315" i="2"/>
  <c r="Z319" i="2"/>
  <c r="Z320" i="2"/>
  <c r="Z318" i="2"/>
  <c r="Z321" i="2"/>
  <c r="Z322" i="2"/>
  <c r="Z324" i="2"/>
  <c r="Z323" i="2"/>
  <c r="Z326" i="2"/>
  <c r="Z325" i="2"/>
  <c r="Z330" i="2"/>
  <c r="Z329" i="2"/>
  <c r="Z327" i="2"/>
  <c r="Z332" i="2"/>
  <c r="Z331" i="2"/>
  <c r="Z334" i="2"/>
  <c r="Z333" i="2"/>
  <c r="Z338" i="2"/>
  <c r="Z336" i="2"/>
  <c r="Z335" i="2"/>
  <c r="Z340" i="2"/>
  <c r="Z339" i="2"/>
  <c r="Z342" i="2"/>
  <c r="Z344" i="2"/>
  <c r="Z341" i="2"/>
  <c r="Z345" i="2"/>
  <c r="Z349" i="2"/>
  <c r="Z348" i="2"/>
  <c r="Z346" i="2"/>
  <c r="Z352" i="2"/>
  <c r="Z350" i="2"/>
  <c r="Z328" i="2"/>
  <c r="AA312" i="2"/>
  <c r="AA313" i="2"/>
  <c r="AA316" i="2"/>
  <c r="AA314" i="2"/>
  <c r="AA317" i="2"/>
  <c r="AA315" i="2"/>
  <c r="AA319" i="2"/>
  <c r="AA320" i="2"/>
  <c r="AA318" i="2"/>
  <c r="AA321" i="2"/>
  <c r="AA322" i="2"/>
  <c r="AA324" i="2"/>
  <c r="AA323" i="2"/>
  <c r="AA326" i="2"/>
  <c r="AA325" i="2"/>
  <c r="AA330" i="2"/>
  <c r="AA329" i="2"/>
  <c r="AA327" i="2"/>
  <c r="AA332" i="2"/>
  <c r="AA331" i="2"/>
  <c r="AA334" i="2"/>
  <c r="AA333" i="2"/>
  <c r="AA338" i="2"/>
  <c r="AA336" i="2"/>
  <c r="AA335" i="2"/>
  <c r="AA340" i="2"/>
  <c r="AA339" i="2"/>
  <c r="AA342" i="2"/>
  <c r="AA344" i="2"/>
  <c r="AA341" i="2"/>
  <c r="AA345" i="2"/>
  <c r="AA349" i="2"/>
  <c r="AA348" i="2"/>
  <c r="AA346" i="2"/>
  <c r="AA352" i="2"/>
  <c r="AA350" i="2"/>
  <c r="AA328" i="2"/>
  <c r="AB312" i="2"/>
  <c r="AB313" i="2"/>
  <c r="AB316" i="2"/>
  <c r="AB314" i="2"/>
  <c r="AB317" i="2"/>
  <c r="AB315" i="2"/>
  <c r="AB319" i="2"/>
  <c r="AB320" i="2"/>
  <c r="AB318" i="2"/>
  <c r="AB321" i="2"/>
  <c r="AB322" i="2"/>
  <c r="AB324" i="2"/>
  <c r="AB323" i="2"/>
  <c r="AB326" i="2"/>
  <c r="AB325" i="2"/>
  <c r="AB330" i="2"/>
  <c r="AB329" i="2"/>
  <c r="AB327" i="2"/>
  <c r="AB332" i="2"/>
  <c r="AB331" i="2"/>
  <c r="AB334" i="2"/>
  <c r="AB333" i="2"/>
  <c r="AB338" i="2"/>
  <c r="AB336" i="2"/>
  <c r="AB335" i="2"/>
  <c r="AB340" i="2"/>
  <c r="AB339" i="2"/>
  <c r="AB342" i="2"/>
  <c r="AB344" i="2"/>
  <c r="AB341" i="2"/>
  <c r="AB345" i="2"/>
  <c r="AB349" i="2"/>
  <c r="AB348" i="2"/>
  <c r="AB346" i="2"/>
  <c r="AB352" i="2"/>
  <c r="AB350" i="2"/>
  <c r="AB328" i="2"/>
  <c r="AC317" i="2"/>
  <c r="AC318" i="2"/>
  <c r="AC315" i="2"/>
  <c r="AC350" i="2"/>
  <c r="AC345" i="2"/>
  <c r="AC320" i="2"/>
  <c r="AC333" i="2"/>
  <c r="AC332" i="2"/>
  <c r="AC330" i="2"/>
  <c r="AC329" i="2"/>
  <c r="AC352" i="2"/>
  <c r="AC341" i="2"/>
  <c r="AC342" i="2"/>
  <c r="AC327" i="2"/>
  <c r="AC319" i="2"/>
  <c r="AC343" i="2"/>
  <c r="AC340" i="2"/>
  <c r="AC351" i="2"/>
  <c r="AC314" i="2"/>
  <c r="AC336" i="2"/>
  <c r="AC348" i="2"/>
  <c r="AC312" i="2"/>
  <c r="AC334" i="2"/>
  <c r="AC335" i="2"/>
  <c r="AC337" i="2"/>
  <c r="AC321" i="2"/>
  <c r="AC344" i="2"/>
  <c r="AC347" i="2"/>
  <c r="AC323" i="2"/>
  <c r="AC326" i="2"/>
  <c r="AC349" i="2"/>
  <c r="AC339" i="2"/>
  <c r="AC328" i="2"/>
  <c r="AC322" i="2"/>
  <c r="AC331" i="2"/>
  <c r="AC316" i="2"/>
  <c r="AC313" i="2"/>
  <c r="AC324" i="2"/>
  <c r="AC325" i="2"/>
  <c r="AC346" i="2"/>
  <c r="AC338" i="2"/>
  <c r="U287" i="2" l="1"/>
  <c r="V287" i="2" s="1"/>
  <c r="U284" i="2"/>
  <c r="V284" i="2" s="1"/>
  <c r="U286" i="2"/>
  <c r="V286" i="2" s="1"/>
  <c r="U290" i="2"/>
  <c r="V290" i="2" s="1"/>
  <c r="U285" i="2"/>
  <c r="V285" i="2" s="1"/>
  <c r="U294" i="2"/>
  <c r="V294" i="2" s="1"/>
  <c r="U293" i="2"/>
  <c r="V293" i="2" s="1"/>
  <c r="U292" i="2"/>
  <c r="V292" i="2" s="1"/>
  <c r="U299" i="2"/>
  <c r="V299" i="2" s="1"/>
  <c r="U289" i="2"/>
  <c r="V289" i="2" s="1"/>
  <c r="U291" i="2"/>
  <c r="V291" i="2" s="1"/>
  <c r="U301" i="2"/>
  <c r="V301" i="2" s="1"/>
  <c r="U302" i="2"/>
  <c r="V302" i="2" s="1"/>
  <c r="U305" i="2"/>
  <c r="V305" i="2" s="1"/>
  <c r="U306" i="2"/>
  <c r="V306" i="2" s="1"/>
  <c r="U304" i="2"/>
  <c r="V304" i="2" s="1"/>
  <c r="U307" i="2"/>
  <c r="V307" i="2" s="1"/>
  <c r="U288" i="2"/>
  <c r="V288" i="2" s="1"/>
  <c r="U296" i="2"/>
  <c r="V296" i="2" s="1"/>
  <c r="U297" i="2"/>
  <c r="V297" i="2" s="1"/>
  <c r="U303" i="2"/>
  <c r="V303" i="2" s="1"/>
  <c r="U308" i="2"/>
  <c r="V308" i="2" s="1"/>
  <c r="U295" i="2"/>
  <c r="V295" i="2" s="1"/>
  <c r="U298" i="2"/>
  <c r="V298" i="2" s="1"/>
  <c r="U300" i="2"/>
  <c r="V300" i="2" s="1"/>
  <c r="U310" i="2"/>
  <c r="V310" i="2" s="1"/>
  <c r="U311" i="2"/>
  <c r="V311" i="2" s="1"/>
  <c r="U309" i="2"/>
  <c r="V309" i="2" s="1"/>
  <c r="W287" i="2"/>
  <c r="W284" i="2"/>
  <c r="W286" i="2"/>
  <c r="W290" i="2"/>
  <c r="W285" i="2"/>
  <c r="W294" i="2"/>
  <c r="W293" i="2"/>
  <c r="W292" i="2"/>
  <c r="W299" i="2"/>
  <c r="W289" i="2"/>
  <c r="W291" i="2"/>
  <c r="W301" i="2"/>
  <c r="W302" i="2"/>
  <c r="W305" i="2"/>
  <c r="W306" i="2"/>
  <c r="W304" i="2"/>
  <c r="W307" i="2"/>
  <c r="W288" i="2"/>
  <c r="W296" i="2"/>
  <c r="W297" i="2"/>
  <c r="W303" i="2"/>
  <c r="W308" i="2"/>
  <c r="W295" i="2"/>
  <c r="W298" i="2"/>
  <c r="W300" i="2"/>
  <c r="W310" i="2"/>
  <c r="W311" i="2"/>
  <c r="W309" i="2"/>
  <c r="X287" i="2"/>
  <c r="X284" i="2"/>
  <c r="X286" i="2"/>
  <c r="X290" i="2"/>
  <c r="X285" i="2"/>
  <c r="X294" i="2"/>
  <c r="X293" i="2"/>
  <c r="X292" i="2"/>
  <c r="X299" i="2"/>
  <c r="X289" i="2"/>
  <c r="X291" i="2"/>
  <c r="X301" i="2"/>
  <c r="X302" i="2"/>
  <c r="X305" i="2"/>
  <c r="X306" i="2"/>
  <c r="X304" i="2"/>
  <c r="X307" i="2"/>
  <c r="X288" i="2"/>
  <c r="X296" i="2"/>
  <c r="X297" i="2"/>
  <c r="X303" i="2"/>
  <c r="X308" i="2"/>
  <c r="X295" i="2"/>
  <c r="X298" i="2"/>
  <c r="X300" i="2"/>
  <c r="X310" i="2"/>
  <c r="X311" i="2"/>
  <c r="X309" i="2"/>
  <c r="Y287" i="2"/>
  <c r="Y284" i="2"/>
  <c r="Y286" i="2"/>
  <c r="Y290" i="2"/>
  <c r="Y285" i="2"/>
  <c r="Y294" i="2"/>
  <c r="Y293" i="2"/>
  <c r="Y292" i="2"/>
  <c r="Y299" i="2"/>
  <c r="Y289" i="2"/>
  <c r="Y291" i="2"/>
  <c r="Y301" i="2"/>
  <c r="Y302" i="2"/>
  <c r="Y305" i="2"/>
  <c r="Y306" i="2"/>
  <c r="Y304" i="2"/>
  <c r="Y307" i="2"/>
  <c r="Y288" i="2"/>
  <c r="Y296" i="2"/>
  <c r="Y297" i="2"/>
  <c r="Y303" i="2"/>
  <c r="Y308" i="2"/>
  <c r="Y295" i="2"/>
  <c r="Y298" i="2"/>
  <c r="Y300" i="2"/>
  <c r="Y310" i="2"/>
  <c r="Y311" i="2"/>
  <c r="Y309" i="2"/>
  <c r="Z287" i="2"/>
  <c r="Z284" i="2"/>
  <c r="Z286" i="2"/>
  <c r="Z290" i="2"/>
  <c r="Z285" i="2"/>
  <c r="Z294" i="2"/>
  <c r="Z293" i="2"/>
  <c r="Z292" i="2"/>
  <c r="Z299" i="2"/>
  <c r="Z289" i="2"/>
  <c r="Z291" i="2"/>
  <c r="Z301" i="2"/>
  <c r="Z302" i="2"/>
  <c r="Z305" i="2"/>
  <c r="Z306" i="2"/>
  <c r="Z304" i="2"/>
  <c r="Z307" i="2"/>
  <c r="Z288" i="2"/>
  <c r="Z296" i="2"/>
  <c r="Z297" i="2"/>
  <c r="Z303" i="2"/>
  <c r="Z308" i="2"/>
  <c r="Z295" i="2"/>
  <c r="Z298" i="2"/>
  <c r="Z300" i="2"/>
  <c r="Z310" i="2"/>
  <c r="Z311" i="2"/>
  <c r="Z309" i="2"/>
  <c r="AA287" i="2"/>
  <c r="AA284" i="2"/>
  <c r="AA286" i="2"/>
  <c r="AA290" i="2"/>
  <c r="AA285" i="2"/>
  <c r="AA294" i="2"/>
  <c r="AA293" i="2"/>
  <c r="AA292" i="2"/>
  <c r="AA299" i="2"/>
  <c r="AA289" i="2"/>
  <c r="AA291" i="2"/>
  <c r="AA301" i="2"/>
  <c r="AA302" i="2"/>
  <c r="AA305" i="2"/>
  <c r="AA306" i="2"/>
  <c r="AA304" i="2"/>
  <c r="AA307" i="2"/>
  <c r="AA288" i="2"/>
  <c r="AA296" i="2"/>
  <c r="AA297" i="2"/>
  <c r="AA303" i="2"/>
  <c r="AA308" i="2"/>
  <c r="AA295" i="2"/>
  <c r="AA298" i="2"/>
  <c r="AA300" i="2"/>
  <c r="AA310" i="2"/>
  <c r="AA311" i="2"/>
  <c r="AA309" i="2"/>
  <c r="AB287" i="2"/>
  <c r="AB284" i="2"/>
  <c r="AB286" i="2"/>
  <c r="AB290" i="2"/>
  <c r="AB285" i="2"/>
  <c r="AB294" i="2"/>
  <c r="AB293" i="2"/>
  <c r="AB292" i="2"/>
  <c r="AB299" i="2"/>
  <c r="AB289" i="2"/>
  <c r="AB291" i="2"/>
  <c r="AB301" i="2"/>
  <c r="AB302" i="2"/>
  <c r="AB305" i="2"/>
  <c r="AB306" i="2"/>
  <c r="AB304" i="2"/>
  <c r="AB307" i="2"/>
  <c r="AB288" i="2"/>
  <c r="AB296" i="2"/>
  <c r="AB297" i="2"/>
  <c r="AB303" i="2"/>
  <c r="AB308" i="2"/>
  <c r="AB295" i="2"/>
  <c r="AB298" i="2"/>
  <c r="AB300" i="2"/>
  <c r="AB310" i="2"/>
  <c r="AB311" i="2"/>
  <c r="AB309" i="2"/>
  <c r="AC305" i="2"/>
  <c r="AC285" i="2"/>
  <c r="AC309" i="2"/>
  <c r="AC289" i="2"/>
  <c r="AC292" i="2"/>
  <c r="AC291" i="2"/>
  <c r="AC284" i="2"/>
  <c r="AC301" i="2"/>
  <c r="AC311" i="2"/>
  <c r="AC302" i="2"/>
  <c r="AC297" i="2"/>
  <c r="AC303" i="2"/>
  <c r="AC298" i="2"/>
  <c r="AC296" i="2"/>
  <c r="AC308" i="2"/>
  <c r="AC290" i="2"/>
  <c r="AC306" i="2"/>
  <c r="AC299" i="2"/>
  <c r="AC288" i="2"/>
  <c r="AC295" i="2"/>
  <c r="AC304" i="2"/>
  <c r="AC307" i="2"/>
  <c r="AC300" i="2"/>
  <c r="AC310" i="2"/>
  <c r="AC287" i="2"/>
  <c r="AC286" i="2"/>
  <c r="AC293" i="2"/>
  <c r="AC294" i="2"/>
  <c r="D33" i="9" l="1"/>
  <c r="U247" i="2" l="1"/>
  <c r="V247" i="2" s="1"/>
  <c r="U245" i="2"/>
  <c r="V245" i="2" s="1"/>
  <c r="U244" i="2"/>
  <c r="V244" i="2" s="1"/>
  <c r="U250" i="2"/>
  <c r="V250" i="2" s="1"/>
  <c r="U253" i="2"/>
  <c r="U249" i="2"/>
  <c r="V249" i="2" s="1"/>
  <c r="U252" i="2"/>
  <c r="V252" i="2" s="1"/>
  <c r="U254" i="2"/>
  <c r="V254" i="2" s="1"/>
  <c r="U258" i="2"/>
  <c r="V258" i="2" s="1"/>
  <c r="U257" i="2"/>
  <c r="V257" i="2" s="1"/>
  <c r="U262" i="2"/>
  <c r="V262" i="2" s="1"/>
  <c r="U246" i="2"/>
  <c r="V246" i="2" s="1"/>
  <c r="U251" i="2"/>
  <c r="V251" i="2" s="1"/>
  <c r="U255" i="2"/>
  <c r="V255" i="2" s="1"/>
  <c r="U259" i="2"/>
  <c r="V259" i="2" s="1"/>
  <c r="U263" i="2"/>
  <c r="V263" i="2" s="1"/>
  <c r="U268" i="2"/>
  <c r="V268" i="2" s="1"/>
  <c r="U256" i="2"/>
  <c r="V256" i="2" s="1"/>
  <c r="U261" i="2"/>
  <c r="V261" i="2" s="1"/>
  <c r="U264" i="2"/>
  <c r="V264" i="2" s="1"/>
  <c r="U265" i="2"/>
  <c r="V265" i="2" s="1"/>
  <c r="U271" i="2"/>
  <c r="V271" i="2" s="1"/>
  <c r="U267" i="2"/>
  <c r="V267" i="2" s="1"/>
  <c r="U266" i="2"/>
  <c r="V266" i="2" s="1"/>
  <c r="U269" i="2"/>
  <c r="V269" i="2" s="1"/>
  <c r="U274" i="2"/>
  <c r="V274" i="2" s="1"/>
  <c r="U272" i="2"/>
  <c r="V272" i="2" s="1"/>
  <c r="U276" i="2"/>
  <c r="V276" i="2" s="1"/>
  <c r="U273" i="2"/>
  <c r="V273" i="2" s="1"/>
  <c r="U277" i="2"/>
  <c r="V277" i="2" s="1"/>
  <c r="U275" i="2"/>
  <c r="V275" i="2" s="1"/>
  <c r="U281" i="2"/>
  <c r="V281" i="2" s="1"/>
  <c r="U280" i="2"/>
  <c r="V280" i="2" s="1"/>
  <c r="U279" i="2"/>
  <c r="V279" i="2" s="1"/>
  <c r="U278" i="2"/>
  <c r="V278" i="2" s="1"/>
  <c r="U283" i="2"/>
  <c r="V283" i="2" s="1"/>
  <c r="U248" i="2"/>
  <c r="V248" i="2" s="1"/>
  <c r="U260" i="2"/>
  <c r="V260" i="2" s="1"/>
  <c r="U270" i="2"/>
  <c r="V270" i="2" s="1"/>
  <c r="U282" i="2"/>
  <c r="V282" i="2" s="1"/>
  <c r="V253" i="2"/>
  <c r="W247" i="2"/>
  <c r="W245" i="2"/>
  <c r="W244" i="2"/>
  <c r="W250" i="2"/>
  <c r="W253" i="2"/>
  <c r="W249" i="2"/>
  <c r="W252" i="2"/>
  <c r="W254" i="2"/>
  <c r="W258" i="2"/>
  <c r="W257" i="2"/>
  <c r="W262" i="2"/>
  <c r="W246" i="2"/>
  <c r="W251" i="2"/>
  <c r="W255" i="2"/>
  <c r="W259" i="2"/>
  <c r="W263" i="2"/>
  <c r="W268" i="2"/>
  <c r="W256" i="2"/>
  <c r="W261" i="2"/>
  <c r="W264" i="2"/>
  <c r="W265" i="2"/>
  <c r="W271" i="2"/>
  <c r="W267" i="2"/>
  <c r="W266" i="2"/>
  <c r="W269" i="2"/>
  <c r="W274" i="2"/>
  <c r="W272" i="2"/>
  <c r="W276" i="2"/>
  <c r="W273" i="2"/>
  <c r="W277" i="2"/>
  <c r="W275" i="2"/>
  <c r="W281" i="2"/>
  <c r="W280" i="2"/>
  <c r="W279" i="2"/>
  <c r="W278" i="2"/>
  <c r="W283" i="2"/>
  <c r="W248" i="2"/>
  <c r="W260" i="2"/>
  <c r="W270" i="2"/>
  <c r="W282" i="2"/>
  <c r="X247" i="2"/>
  <c r="X245" i="2"/>
  <c r="X244" i="2"/>
  <c r="X250" i="2"/>
  <c r="X253" i="2"/>
  <c r="X249" i="2"/>
  <c r="X252" i="2"/>
  <c r="X254" i="2"/>
  <c r="X258" i="2"/>
  <c r="X257" i="2"/>
  <c r="X262" i="2"/>
  <c r="X246" i="2"/>
  <c r="X251" i="2"/>
  <c r="X255" i="2"/>
  <c r="X259" i="2"/>
  <c r="X263" i="2"/>
  <c r="X268" i="2"/>
  <c r="X256" i="2"/>
  <c r="X261" i="2"/>
  <c r="X264" i="2"/>
  <c r="X265" i="2"/>
  <c r="X271" i="2"/>
  <c r="X267" i="2"/>
  <c r="X266" i="2"/>
  <c r="X269" i="2"/>
  <c r="X274" i="2"/>
  <c r="X272" i="2"/>
  <c r="X276" i="2"/>
  <c r="X273" i="2"/>
  <c r="X277" i="2"/>
  <c r="X275" i="2"/>
  <c r="X281" i="2"/>
  <c r="X280" i="2"/>
  <c r="X279" i="2"/>
  <c r="X278" i="2"/>
  <c r="X283" i="2"/>
  <c r="X248" i="2"/>
  <c r="X260" i="2"/>
  <c r="X270" i="2"/>
  <c r="X282" i="2"/>
  <c r="Y247" i="2"/>
  <c r="Y245" i="2"/>
  <c r="Y244" i="2"/>
  <c r="Y250" i="2"/>
  <c r="Y253" i="2"/>
  <c r="Y249" i="2"/>
  <c r="Y252" i="2"/>
  <c r="Y254" i="2"/>
  <c r="Y258" i="2"/>
  <c r="Y257" i="2"/>
  <c r="Y262" i="2"/>
  <c r="Y246" i="2"/>
  <c r="Y251" i="2"/>
  <c r="Y255" i="2"/>
  <c r="Y259" i="2"/>
  <c r="Y263" i="2"/>
  <c r="Y268" i="2"/>
  <c r="Y256" i="2"/>
  <c r="Y261" i="2"/>
  <c r="Y264" i="2"/>
  <c r="Y265" i="2"/>
  <c r="Y271" i="2"/>
  <c r="Y267" i="2"/>
  <c r="Y266" i="2"/>
  <c r="Y269" i="2"/>
  <c r="Y274" i="2"/>
  <c r="Y272" i="2"/>
  <c r="Y276" i="2"/>
  <c r="Y273" i="2"/>
  <c r="Y277" i="2"/>
  <c r="Y275" i="2"/>
  <c r="Y281" i="2"/>
  <c r="Y280" i="2"/>
  <c r="Y279" i="2"/>
  <c r="Y278" i="2"/>
  <c r="Y283" i="2"/>
  <c r="Y248" i="2"/>
  <c r="Y260" i="2"/>
  <c r="Y270" i="2"/>
  <c r="Y282" i="2"/>
  <c r="Z247" i="2"/>
  <c r="Z245" i="2"/>
  <c r="Z244" i="2"/>
  <c r="Z250" i="2"/>
  <c r="Z253" i="2"/>
  <c r="Z249" i="2"/>
  <c r="Z252" i="2"/>
  <c r="Z254" i="2"/>
  <c r="Z258" i="2"/>
  <c r="Z257" i="2"/>
  <c r="Z262" i="2"/>
  <c r="Z246" i="2"/>
  <c r="Z251" i="2"/>
  <c r="Z255" i="2"/>
  <c r="Z259" i="2"/>
  <c r="Z263" i="2"/>
  <c r="Z268" i="2"/>
  <c r="Z256" i="2"/>
  <c r="Z261" i="2"/>
  <c r="Z264" i="2"/>
  <c r="Z265" i="2"/>
  <c r="Z271" i="2"/>
  <c r="Z267" i="2"/>
  <c r="Z266" i="2"/>
  <c r="Z269" i="2"/>
  <c r="Z274" i="2"/>
  <c r="Z272" i="2"/>
  <c r="Z276" i="2"/>
  <c r="Z273" i="2"/>
  <c r="Z277" i="2"/>
  <c r="Z275" i="2"/>
  <c r="Z281" i="2"/>
  <c r="Z280" i="2"/>
  <c r="Z279" i="2"/>
  <c r="Z278" i="2"/>
  <c r="Z283" i="2"/>
  <c r="Z248" i="2"/>
  <c r="Z260" i="2"/>
  <c r="Z270" i="2"/>
  <c r="Z282" i="2"/>
  <c r="AA247" i="2"/>
  <c r="AA245" i="2"/>
  <c r="AA244" i="2"/>
  <c r="AA250" i="2"/>
  <c r="AA253" i="2"/>
  <c r="AA249" i="2"/>
  <c r="AA252" i="2"/>
  <c r="AA254" i="2"/>
  <c r="AA258" i="2"/>
  <c r="AA257" i="2"/>
  <c r="AA262" i="2"/>
  <c r="AA246" i="2"/>
  <c r="AA251" i="2"/>
  <c r="AA255" i="2"/>
  <c r="AA259" i="2"/>
  <c r="AA263" i="2"/>
  <c r="AA268" i="2"/>
  <c r="AA256" i="2"/>
  <c r="AA261" i="2"/>
  <c r="AA264" i="2"/>
  <c r="AA265" i="2"/>
  <c r="AA271" i="2"/>
  <c r="AA267" i="2"/>
  <c r="AA266" i="2"/>
  <c r="AA269" i="2"/>
  <c r="AA274" i="2"/>
  <c r="AA272" i="2"/>
  <c r="AA276" i="2"/>
  <c r="AA273" i="2"/>
  <c r="AA277" i="2"/>
  <c r="AA275" i="2"/>
  <c r="AA281" i="2"/>
  <c r="AA280" i="2"/>
  <c r="AA279" i="2"/>
  <c r="AA278" i="2"/>
  <c r="AA283" i="2"/>
  <c r="AA248" i="2"/>
  <c r="AA260" i="2"/>
  <c r="AA270" i="2"/>
  <c r="AA282" i="2"/>
  <c r="AB247" i="2"/>
  <c r="AB245" i="2"/>
  <c r="AB244" i="2"/>
  <c r="AB250" i="2"/>
  <c r="AB253" i="2"/>
  <c r="AB249" i="2"/>
  <c r="AB252" i="2"/>
  <c r="AB254" i="2"/>
  <c r="AB258" i="2"/>
  <c r="AB257" i="2"/>
  <c r="AB262" i="2"/>
  <c r="AB246" i="2"/>
  <c r="AB251" i="2"/>
  <c r="AB255" i="2"/>
  <c r="AB259" i="2"/>
  <c r="AB263" i="2"/>
  <c r="AB268" i="2"/>
  <c r="AB256" i="2"/>
  <c r="AB261" i="2"/>
  <c r="AB264" i="2"/>
  <c r="AB265" i="2"/>
  <c r="AB271" i="2"/>
  <c r="AB267" i="2"/>
  <c r="AB266" i="2"/>
  <c r="AB269" i="2"/>
  <c r="AB274" i="2"/>
  <c r="AB272" i="2"/>
  <c r="AB276" i="2"/>
  <c r="AB273" i="2"/>
  <c r="AB277" i="2"/>
  <c r="AB275" i="2"/>
  <c r="AB281" i="2"/>
  <c r="AB280" i="2"/>
  <c r="AB279" i="2"/>
  <c r="AB278" i="2"/>
  <c r="AB283" i="2"/>
  <c r="AB248" i="2"/>
  <c r="AB260" i="2"/>
  <c r="AB270" i="2"/>
  <c r="AB282" i="2"/>
  <c r="AC277" i="2"/>
  <c r="AC249" i="2"/>
  <c r="AC282" i="2"/>
  <c r="AC250" i="2"/>
  <c r="AC251" i="2"/>
  <c r="AC276" i="2"/>
  <c r="AC271" i="2"/>
  <c r="AC279" i="2"/>
  <c r="AC259" i="2"/>
  <c r="AC257" i="2"/>
  <c r="AC283" i="2"/>
  <c r="AC275" i="2"/>
  <c r="AC253" i="2"/>
  <c r="AC267" i="2"/>
  <c r="AC256" i="2"/>
  <c r="AC260" i="2"/>
  <c r="AC248" i="2"/>
  <c r="AC281" i="2"/>
  <c r="AC268" i="2"/>
  <c r="AC278" i="2"/>
  <c r="AC261" i="2"/>
  <c r="AC247" i="2"/>
  <c r="AC252" i="2"/>
  <c r="AC273" i="2"/>
  <c r="AC246" i="2"/>
  <c r="AC266" i="2"/>
  <c r="AC244" i="2"/>
  <c r="AC254" i="2"/>
  <c r="AC264" i="2"/>
  <c r="AC245" i="2"/>
  <c r="AC274" i="2"/>
  <c r="AC269" i="2"/>
  <c r="AC262" i="2"/>
  <c r="AC258" i="2"/>
  <c r="AC255" i="2"/>
  <c r="AC272" i="2"/>
  <c r="AC265" i="2"/>
  <c r="AC280" i="2"/>
  <c r="AC270" i="2"/>
  <c r="AC263" i="2"/>
  <c r="U203" i="2" l="1"/>
  <c r="V203" i="2" s="1"/>
  <c r="U212" i="2"/>
  <c r="V212" i="2" s="1"/>
  <c r="U222" i="2"/>
  <c r="V222" i="2" s="1"/>
  <c r="U226" i="2"/>
  <c r="V226" i="2" s="1"/>
  <c r="U234" i="2"/>
  <c r="V234" i="2" s="1"/>
  <c r="U235" i="2"/>
  <c r="V235" i="2" s="1"/>
  <c r="U240" i="2"/>
  <c r="V240" i="2" s="1"/>
  <c r="U242" i="2"/>
  <c r="V242" i="2" s="1"/>
  <c r="U239" i="2"/>
  <c r="V239" i="2" s="1"/>
  <c r="U243" i="2"/>
  <c r="V243" i="2" s="1"/>
  <c r="U241" i="2"/>
  <c r="V241" i="2" s="1"/>
  <c r="W203" i="2"/>
  <c r="W212" i="2"/>
  <c r="W222" i="2"/>
  <c r="W226" i="2"/>
  <c r="W234" i="2"/>
  <c r="W235" i="2"/>
  <c r="W240" i="2"/>
  <c r="W242" i="2"/>
  <c r="W239" i="2"/>
  <c r="W243" i="2"/>
  <c r="W241" i="2"/>
  <c r="X203" i="2"/>
  <c r="X212" i="2"/>
  <c r="X222" i="2"/>
  <c r="X226" i="2"/>
  <c r="X234" i="2"/>
  <c r="X235" i="2"/>
  <c r="X240" i="2"/>
  <c r="X242" i="2"/>
  <c r="X239" i="2"/>
  <c r="X243" i="2"/>
  <c r="X241" i="2"/>
  <c r="Y203" i="2"/>
  <c r="Y212" i="2"/>
  <c r="Y222" i="2"/>
  <c r="Y226" i="2"/>
  <c r="Y234" i="2"/>
  <c r="Y235" i="2"/>
  <c r="Y240" i="2"/>
  <c r="Y242" i="2"/>
  <c r="Y239" i="2"/>
  <c r="Y243" i="2"/>
  <c r="Y241" i="2"/>
  <c r="Z203" i="2"/>
  <c r="Z212" i="2"/>
  <c r="Z222" i="2"/>
  <c r="Z226" i="2"/>
  <c r="Z234" i="2"/>
  <c r="Z235" i="2"/>
  <c r="Z240" i="2"/>
  <c r="Z242" i="2"/>
  <c r="Z239" i="2"/>
  <c r="Z243" i="2"/>
  <c r="Z241" i="2"/>
  <c r="AA203" i="2"/>
  <c r="AA212" i="2"/>
  <c r="AA222" i="2"/>
  <c r="AA226" i="2"/>
  <c r="AA234" i="2"/>
  <c r="AA235" i="2"/>
  <c r="AA240" i="2"/>
  <c r="AA242" i="2"/>
  <c r="AA239" i="2"/>
  <c r="AA243" i="2"/>
  <c r="AA241" i="2"/>
  <c r="AB203" i="2"/>
  <c r="AB212" i="2"/>
  <c r="AB222" i="2"/>
  <c r="AB226" i="2"/>
  <c r="AB234" i="2"/>
  <c r="AB235" i="2"/>
  <c r="AB240" i="2"/>
  <c r="AB242" i="2"/>
  <c r="AB239" i="2"/>
  <c r="AB243" i="2"/>
  <c r="AB241" i="2"/>
  <c r="AC226" i="2"/>
  <c r="AC234" i="2"/>
  <c r="AC212" i="2"/>
  <c r="AC243" i="2"/>
  <c r="AC239" i="2"/>
  <c r="AC241" i="2"/>
  <c r="AC235" i="2"/>
  <c r="AC242" i="2"/>
  <c r="AC203" i="2"/>
  <c r="AC240" i="2"/>
  <c r="AC222" i="2"/>
  <c r="U195" i="2" l="1"/>
  <c r="V195" i="2" s="1"/>
  <c r="U193" i="2"/>
  <c r="V193" i="2" s="1"/>
  <c r="U194" i="2"/>
  <c r="V194" i="2" s="1"/>
  <c r="U197" i="2"/>
  <c r="V197" i="2" s="1"/>
  <c r="U199" i="2"/>
  <c r="V199" i="2" s="1"/>
  <c r="U198" i="2"/>
  <c r="V198" i="2" s="1"/>
  <c r="U196" i="2"/>
  <c r="V196" i="2" s="1"/>
  <c r="U200" i="2"/>
  <c r="V200" i="2" s="1"/>
  <c r="U204" i="2"/>
  <c r="V204" i="2" s="1"/>
  <c r="U202" i="2"/>
  <c r="V202" i="2" s="1"/>
  <c r="U201" i="2"/>
  <c r="V201" i="2" s="1"/>
  <c r="U205" i="2"/>
  <c r="V205" i="2" s="1"/>
  <c r="U206" i="2"/>
  <c r="V206" i="2" s="1"/>
  <c r="U207" i="2"/>
  <c r="V207" i="2" s="1"/>
  <c r="U209" i="2"/>
  <c r="V209" i="2" s="1"/>
  <c r="U210" i="2"/>
  <c r="V210" i="2" s="1"/>
  <c r="U211" i="2"/>
  <c r="V211" i="2" s="1"/>
  <c r="U213" i="2"/>
  <c r="V213" i="2" s="1"/>
  <c r="U208" i="2"/>
  <c r="V208" i="2" s="1"/>
  <c r="U214" i="2"/>
  <c r="V214" i="2" s="1"/>
  <c r="U215" i="2"/>
  <c r="V215" i="2" s="1"/>
  <c r="U216" i="2"/>
  <c r="V216" i="2" s="1"/>
  <c r="U223" i="2"/>
  <c r="V223" i="2" s="1"/>
  <c r="U218" i="2"/>
  <c r="V218" i="2" s="1"/>
  <c r="U219" i="2"/>
  <c r="V219" i="2" s="1"/>
  <c r="U221" i="2"/>
  <c r="V221" i="2" s="1"/>
  <c r="U217" i="2"/>
  <c r="V217" i="2" s="1"/>
  <c r="U220" i="2"/>
  <c r="V220" i="2" s="1"/>
  <c r="U224" i="2"/>
  <c r="V224" i="2" s="1"/>
  <c r="U225" i="2"/>
  <c r="V225" i="2" s="1"/>
  <c r="U227" i="2"/>
  <c r="V227" i="2" s="1"/>
  <c r="U229" i="2"/>
  <c r="V229" i="2" s="1"/>
  <c r="U228" i="2"/>
  <c r="V228" i="2" s="1"/>
  <c r="U231" i="2"/>
  <c r="V231" i="2" s="1"/>
  <c r="U230" i="2"/>
  <c r="V230" i="2" s="1"/>
  <c r="U233" i="2"/>
  <c r="V233" i="2" s="1"/>
  <c r="U232" i="2"/>
  <c r="V232" i="2" s="1"/>
  <c r="U236" i="2"/>
  <c r="V236" i="2" s="1"/>
  <c r="U238" i="2"/>
  <c r="V238" i="2" s="1"/>
  <c r="U237" i="2"/>
  <c r="V237" i="2" s="1"/>
  <c r="W195" i="2"/>
  <c r="W193" i="2"/>
  <c r="W194" i="2"/>
  <c r="W197" i="2"/>
  <c r="W199" i="2"/>
  <c r="W198" i="2"/>
  <c r="W196" i="2"/>
  <c r="W200" i="2"/>
  <c r="W204" i="2"/>
  <c r="W202" i="2"/>
  <c r="W201" i="2"/>
  <c r="W205" i="2"/>
  <c r="W206" i="2"/>
  <c r="W207" i="2"/>
  <c r="W209" i="2"/>
  <c r="W210" i="2"/>
  <c r="W211" i="2"/>
  <c r="W213" i="2"/>
  <c r="W208" i="2"/>
  <c r="W214" i="2"/>
  <c r="W215" i="2"/>
  <c r="W216" i="2"/>
  <c r="W223" i="2"/>
  <c r="W218" i="2"/>
  <c r="W219" i="2"/>
  <c r="W221" i="2"/>
  <c r="W217" i="2"/>
  <c r="W220" i="2"/>
  <c r="W224" i="2"/>
  <c r="W225" i="2"/>
  <c r="W227" i="2"/>
  <c r="W229" i="2"/>
  <c r="W228" i="2"/>
  <c r="W231" i="2"/>
  <c r="W230" i="2"/>
  <c r="W233" i="2"/>
  <c r="W232" i="2"/>
  <c r="W236" i="2"/>
  <c r="W238" i="2"/>
  <c r="W237" i="2"/>
  <c r="X195" i="2"/>
  <c r="X193" i="2"/>
  <c r="X194" i="2"/>
  <c r="X197" i="2"/>
  <c r="X199" i="2"/>
  <c r="X198" i="2"/>
  <c r="X196" i="2"/>
  <c r="X200" i="2"/>
  <c r="X204" i="2"/>
  <c r="X202" i="2"/>
  <c r="X201" i="2"/>
  <c r="X205" i="2"/>
  <c r="X206" i="2"/>
  <c r="X207" i="2"/>
  <c r="X209" i="2"/>
  <c r="X210" i="2"/>
  <c r="X211" i="2"/>
  <c r="X213" i="2"/>
  <c r="X208" i="2"/>
  <c r="X214" i="2"/>
  <c r="X215" i="2"/>
  <c r="X216" i="2"/>
  <c r="X223" i="2"/>
  <c r="X218" i="2"/>
  <c r="X219" i="2"/>
  <c r="X221" i="2"/>
  <c r="X217" i="2"/>
  <c r="X220" i="2"/>
  <c r="X224" i="2"/>
  <c r="X225" i="2"/>
  <c r="X227" i="2"/>
  <c r="X229" i="2"/>
  <c r="X228" i="2"/>
  <c r="X231" i="2"/>
  <c r="X230" i="2"/>
  <c r="X233" i="2"/>
  <c r="X232" i="2"/>
  <c r="X236" i="2"/>
  <c r="X238" i="2"/>
  <c r="X237" i="2"/>
  <c r="Y195" i="2"/>
  <c r="Y193" i="2"/>
  <c r="Y194" i="2"/>
  <c r="Y197" i="2"/>
  <c r="Y199" i="2"/>
  <c r="Y198" i="2"/>
  <c r="Y196" i="2"/>
  <c r="Y200" i="2"/>
  <c r="Y204" i="2"/>
  <c r="Y202" i="2"/>
  <c r="Y201" i="2"/>
  <c r="Y205" i="2"/>
  <c r="Y206" i="2"/>
  <c r="Y207" i="2"/>
  <c r="Y209" i="2"/>
  <c r="Y210" i="2"/>
  <c r="Y211" i="2"/>
  <c r="Y213" i="2"/>
  <c r="Y208" i="2"/>
  <c r="Y214" i="2"/>
  <c r="Y215" i="2"/>
  <c r="Y216" i="2"/>
  <c r="Y223" i="2"/>
  <c r="Y218" i="2"/>
  <c r="Y219" i="2"/>
  <c r="Y221" i="2"/>
  <c r="Y217" i="2"/>
  <c r="Y220" i="2"/>
  <c r="Y224" i="2"/>
  <c r="Y225" i="2"/>
  <c r="Y227" i="2"/>
  <c r="Y229" i="2"/>
  <c r="Y228" i="2"/>
  <c r="Y231" i="2"/>
  <c r="Y230" i="2"/>
  <c r="Y233" i="2"/>
  <c r="Y232" i="2"/>
  <c r="Y236" i="2"/>
  <c r="Y238" i="2"/>
  <c r="Y237" i="2"/>
  <c r="Z195" i="2"/>
  <c r="Z193" i="2"/>
  <c r="Z194" i="2"/>
  <c r="Z197" i="2"/>
  <c r="Z199" i="2"/>
  <c r="Z198" i="2"/>
  <c r="Z196" i="2"/>
  <c r="Z200" i="2"/>
  <c r="Z204" i="2"/>
  <c r="Z202" i="2"/>
  <c r="Z201" i="2"/>
  <c r="Z205" i="2"/>
  <c r="Z206" i="2"/>
  <c r="Z207" i="2"/>
  <c r="Z209" i="2"/>
  <c r="Z210" i="2"/>
  <c r="Z211" i="2"/>
  <c r="Z213" i="2"/>
  <c r="Z208" i="2"/>
  <c r="Z214" i="2"/>
  <c r="Z215" i="2"/>
  <c r="Z216" i="2"/>
  <c r="Z223" i="2"/>
  <c r="Z218" i="2"/>
  <c r="Z219" i="2"/>
  <c r="Z221" i="2"/>
  <c r="Z217" i="2"/>
  <c r="Z220" i="2"/>
  <c r="Z224" i="2"/>
  <c r="Z225" i="2"/>
  <c r="Z227" i="2"/>
  <c r="Z229" i="2"/>
  <c r="Z228" i="2"/>
  <c r="Z231" i="2"/>
  <c r="Z230" i="2"/>
  <c r="Z233" i="2"/>
  <c r="Z232" i="2"/>
  <c r="Z236" i="2"/>
  <c r="Z238" i="2"/>
  <c r="Z237" i="2"/>
  <c r="AA195" i="2"/>
  <c r="AA193" i="2"/>
  <c r="AA194" i="2"/>
  <c r="AA197" i="2"/>
  <c r="AA199" i="2"/>
  <c r="AA198" i="2"/>
  <c r="AA196" i="2"/>
  <c r="AA200" i="2"/>
  <c r="AA204" i="2"/>
  <c r="AA202" i="2"/>
  <c r="AA201" i="2"/>
  <c r="AA205" i="2"/>
  <c r="AA206" i="2"/>
  <c r="AA207" i="2"/>
  <c r="AA209" i="2"/>
  <c r="AA210" i="2"/>
  <c r="AA211" i="2"/>
  <c r="AA213" i="2"/>
  <c r="AA208" i="2"/>
  <c r="AA214" i="2"/>
  <c r="AA215" i="2"/>
  <c r="AA216" i="2"/>
  <c r="AA223" i="2"/>
  <c r="AA218" i="2"/>
  <c r="AA219" i="2"/>
  <c r="AA221" i="2"/>
  <c r="AA217" i="2"/>
  <c r="AA220" i="2"/>
  <c r="AA224" i="2"/>
  <c r="AA225" i="2"/>
  <c r="AA227" i="2"/>
  <c r="AA229" i="2"/>
  <c r="AA228" i="2"/>
  <c r="AA231" i="2"/>
  <c r="AA230" i="2"/>
  <c r="AA233" i="2"/>
  <c r="AA232" i="2"/>
  <c r="AA236" i="2"/>
  <c r="AA238" i="2"/>
  <c r="AA237" i="2"/>
  <c r="AB195" i="2"/>
  <c r="AB193" i="2"/>
  <c r="AB194" i="2"/>
  <c r="AB197" i="2"/>
  <c r="AB199" i="2"/>
  <c r="AB198" i="2"/>
  <c r="AB196" i="2"/>
  <c r="AB200" i="2"/>
  <c r="AB204" i="2"/>
  <c r="AB202" i="2"/>
  <c r="AB201" i="2"/>
  <c r="AB205" i="2"/>
  <c r="AB206" i="2"/>
  <c r="AB207" i="2"/>
  <c r="AB209" i="2"/>
  <c r="AB210" i="2"/>
  <c r="AB211" i="2"/>
  <c r="AB213" i="2"/>
  <c r="AB208" i="2"/>
  <c r="AB214" i="2"/>
  <c r="AB215" i="2"/>
  <c r="AB216" i="2"/>
  <c r="AB223" i="2"/>
  <c r="AB218" i="2"/>
  <c r="AB219" i="2"/>
  <c r="AB221" i="2"/>
  <c r="AB217" i="2"/>
  <c r="AB220" i="2"/>
  <c r="AB224" i="2"/>
  <c r="AB225" i="2"/>
  <c r="AB227" i="2"/>
  <c r="AB229" i="2"/>
  <c r="AB228" i="2"/>
  <c r="AB231" i="2"/>
  <c r="AB230" i="2"/>
  <c r="AB233" i="2"/>
  <c r="AB232" i="2"/>
  <c r="AB236" i="2"/>
  <c r="AB238" i="2"/>
  <c r="AB237" i="2"/>
  <c r="AC196" i="2"/>
  <c r="AC197" i="2"/>
  <c r="AC202" i="2"/>
  <c r="AC206" i="2"/>
  <c r="AC217" i="2"/>
  <c r="AC232" i="2"/>
  <c r="AC216" i="2"/>
  <c r="AC213" i="2"/>
  <c r="AC221" i="2"/>
  <c r="AC214" i="2"/>
  <c r="AC236" i="2"/>
  <c r="AC207" i="2"/>
  <c r="AC237" i="2"/>
  <c r="AC210" i="2"/>
  <c r="AC238" i="2"/>
  <c r="AC229" i="2"/>
  <c r="AC230" i="2"/>
  <c r="AC204" i="2"/>
  <c r="AC193" i="2"/>
  <c r="AC209" i="2"/>
  <c r="AC233" i="2"/>
  <c r="AC227" i="2"/>
  <c r="AC200" i="2"/>
  <c r="AC225" i="2"/>
  <c r="AC201" i="2"/>
  <c r="AC194" i="2"/>
  <c r="AC228" i="2"/>
  <c r="AC231" i="2"/>
  <c r="AC195" i="2"/>
  <c r="AC208" i="2"/>
  <c r="AC215" i="2"/>
  <c r="AC211" i="2"/>
  <c r="AC224" i="2"/>
  <c r="AC218" i="2"/>
  <c r="AC199" i="2"/>
  <c r="AC198" i="2"/>
  <c r="AC205" i="2"/>
  <c r="AC219" i="2"/>
  <c r="AC223" i="2"/>
  <c r="AC220" i="2"/>
  <c r="U106" i="2" l="1"/>
  <c r="V106" i="2" s="1"/>
  <c r="U116" i="2"/>
  <c r="V116" i="2" s="1"/>
  <c r="U131" i="2"/>
  <c r="V131" i="2" s="1"/>
  <c r="U143" i="2"/>
  <c r="V143" i="2" s="1"/>
  <c r="U149" i="2"/>
  <c r="V149" i="2" s="1"/>
  <c r="U152" i="2"/>
  <c r="V152" i="2" s="1"/>
  <c r="U157" i="2"/>
  <c r="V157" i="2" s="1"/>
  <c r="U159" i="2"/>
  <c r="V159" i="2" s="1"/>
  <c r="U151" i="2"/>
  <c r="V151" i="2" s="1"/>
  <c r="U153" i="2"/>
  <c r="V153" i="2" s="1"/>
  <c r="U156" i="2"/>
  <c r="V156" i="2" s="1"/>
  <c r="U162" i="2"/>
  <c r="V162" i="2" s="1"/>
  <c r="U166" i="2"/>
  <c r="V166" i="2" s="1"/>
  <c r="U164" i="2"/>
  <c r="V164" i="2" s="1"/>
  <c r="U160" i="2"/>
  <c r="V160" i="2" s="1"/>
  <c r="U150" i="2"/>
  <c r="V150" i="2" s="1"/>
  <c r="U155" i="2"/>
  <c r="V155" i="2" s="1"/>
  <c r="U161" i="2"/>
  <c r="V161" i="2" s="1"/>
  <c r="U165" i="2"/>
  <c r="V165" i="2" s="1"/>
  <c r="U163" i="2"/>
  <c r="V163" i="2" s="1"/>
  <c r="U169" i="2"/>
  <c r="V169" i="2" s="1"/>
  <c r="U168" i="2"/>
  <c r="V168" i="2" s="1"/>
  <c r="U167" i="2"/>
  <c r="V167" i="2" s="1"/>
  <c r="U173" i="2"/>
  <c r="V173" i="2" s="1"/>
  <c r="U171" i="2"/>
  <c r="V171" i="2" s="1"/>
  <c r="U176" i="2"/>
  <c r="V176" i="2" s="1"/>
  <c r="U177" i="2"/>
  <c r="V177" i="2" s="1"/>
  <c r="U180" i="2"/>
  <c r="V180" i="2" s="1"/>
  <c r="U185" i="2"/>
  <c r="V185" i="2" s="1"/>
  <c r="U182" i="2"/>
  <c r="V182" i="2" s="1"/>
  <c r="U187" i="2"/>
  <c r="V187" i="2" s="1"/>
  <c r="U170" i="2"/>
  <c r="V170" i="2" s="1"/>
  <c r="U172" i="2"/>
  <c r="V172" i="2" s="1"/>
  <c r="U178" i="2"/>
  <c r="V178" i="2" s="1"/>
  <c r="U183" i="2"/>
  <c r="V183" i="2" s="1"/>
  <c r="U188" i="2"/>
  <c r="V188" i="2" s="1"/>
  <c r="U191" i="2"/>
  <c r="V191" i="2" s="1"/>
  <c r="U154" i="2"/>
  <c r="V154" i="2" s="1"/>
  <c r="U190" i="2"/>
  <c r="V190" i="2" s="1"/>
  <c r="U158" i="2"/>
  <c r="V158" i="2" s="1"/>
  <c r="U175" i="2"/>
  <c r="V175" i="2" s="1"/>
  <c r="U181" i="2"/>
  <c r="V181" i="2" s="1"/>
  <c r="U186" i="2"/>
  <c r="V186" i="2" s="1"/>
  <c r="U192" i="2"/>
  <c r="V192" i="2" s="1"/>
  <c r="U174" i="2"/>
  <c r="V174" i="2" s="1"/>
  <c r="U179" i="2"/>
  <c r="V179" i="2" s="1"/>
  <c r="U184" i="2"/>
  <c r="V184" i="2" s="1"/>
  <c r="U189" i="2"/>
  <c r="V189" i="2" s="1"/>
  <c r="W106" i="2"/>
  <c r="W116" i="2"/>
  <c r="W131" i="2"/>
  <c r="W143" i="2"/>
  <c r="W149" i="2"/>
  <c r="W152" i="2"/>
  <c r="W157" i="2"/>
  <c r="W159" i="2"/>
  <c r="W151" i="2"/>
  <c r="W153" i="2"/>
  <c r="W156" i="2"/>
  <c r="W162" i="2"/>
  <c r="W166" i="2"/>
  <c r="W164" i="2"/>
  <c r="W160" i="2"/>
  <c r="W150" i="2"/>
  <c r="W155" i="2"/>
  <c r="W161" i="2"/>
  <c r="W165" i="2"/>
  <c r="W163" i="2"/>
  <c r="W169" i="2"/>
  <c r="W168" i="2"/>
  <c r="W167" i="2"/>
  <c r="W173" i="2"/>
  <c r="W171" i="2"/>
  <c r="W176" i="2"/>
  <c r="W177" i="2"/>
  <c r="W180" i="2"/>
  <c r="W185" i="2"/>
  <c r="W182" i="2"/>
  <c r="W187" i="2"/>
  <c r="W170" i="2"/>
  <c r="W172" i="2"/>
  <c r="W178" i="2"/>
  <c r="W183" i="2"/>
  <c r="W188" i="2"/>
  <c r="W191" i="2"/>
  <c r="W154" i="2"/>
  <c r="W190" i="2"/>
  <c r="W158" i="2"/>
  <c r="W175" i="2"/>
  <c r="W181" i="2"/>
  <c r="W186" i="2"/>
  <c r="W192" i="2"/>
  <c r="W174" i="2"/>
  <c r="W179" i="2"/>
  <c r="W184" i="2"/>
  <c r="W189" i="2"/>
  <c r="X106" i="2"/>
  <c r="X116" i="2"/>
  <c r="X131" i="2"/>
  <c r="X143" i="2"/>
  <c r="X149" i="2"/>
  <c r="X152" i="2"/>
  <c r="X157" i="2"/>
  <c r="X159" i="2"/>
  <c r="X151" i="2"/>
  <c r="X153" i="2"/>
  <c r="X156" i="2"/>
  <c r="X162" i="2"/>
  <c r="X166" i="2"/>
  <c r="X164" i="2"/>
  <c r="X160" i="2"/>
  <c r="X150" i="2"/>
  <c r="X155" i="2"/>
  <c r="X161" i="2"/>
  <c r="X165" i="2"/>
  <c r="X163" i="2"/>
  <c r="X169" i="2"/>
  <c r="X168" i="2"/>
  <c r="X167" i="2"/>
  <c r="X173" i="2"/>
  <c r="X171" i="2"/>
  <c r="X176" i="2"/>
  <c r="X177" i="2"/>
  <c r="X180" i="2"/>
  <c r="X185" i="2"/>
  <c r="X182" i="2"/>
  <c r="X187" i="2"/>
  <c r="X170" i="2"/>
  <c r="X172" i="2"/>
  <c r="X178" i="2"/>
  <c r="X183" i="2"/>
  <c r="X188" i="2"/>
  <c r="X191" i="2"/>
  <c r="X154" i="2"/>
  <c r="X190" i="2"/>
  <c r="X158" i="2"/>
  <c r="X175" i="2"/>
  <c r="X181" i="2"/>
  <c r="X186" i="2"/>
  <c r="X192" i="2"/>
  <c r="X174" i="2"/>
  <c r="X179" i="2"/>
  <c r="X184" i="2"/>
  <c r="X189" i="2"/>
  <c r="Y106" i="2"/>
  <c r="Y116" i="2"/>
  <c r="Y131" i="2"/>
  <c r="Y143" i="2"/>
  <c r="Y149" i="2"/>
  <c r="Y152" i="2"/>
  <c r="Y157" i="2"/>
  <c r="Y159" i="2"/>
  <c r="Y151" i="2"/>
  <c r="Y153" i="2"/>
  <c r="Y156" i="2"/>
  <c r="Y162" i="2"/>
  <c r="Y166" i="2"/>
  <c r="Y164" i="2"/>
  <c r="Y160" i="2"/>
  <c r="Y150" i="2"/>
  <c r="Y155" i="2"/>
  <c r="Y161" i="2"/>
  <c r="Y165" i="2"/>
  <c r="Y163" i="2"/>
  <c r="Y169" i="2"/>
  <c r="Y168" i="2"/>
  <c r="Y167" i="2"/>
  <c r="Y173" i="2"/>
  <c r="Y171" i="2"/>
  <c r="Y176" i="2"/>
  <c r="Y177" i="2"/>
  <c r="Y180" i="2"/>
  <c r="Y185" i="2"/>
  <c r="Y182" i="2"/>
  <c r="Y187" i="2"/>
  <c r="Y170" i="2"/>
  <c r="Y172" i="2"/>
  <c r="Y178" i="2"/>
  <c r="Y183" i="2"/>
  <c r="Y188" i="2"/>
  <c r="Y191" i="2"/>
  <c r="Y154" i="2"/>
  <c r="Y190" i="2"/>
  <c r="Y158" i="2"/>
  <c r="Y175" i="2"/>
  <c r="Y181" i="2"/>
  <c r="Y186" i="2"/>
  <c r="Y192" i="2"/>
  <c r="Y174" i="2"/>
  <c r="Y179" i="2"/>
  <c r="Y184" i="2"/>
  <c r="Y189" i="2"/>
  <c r="Z106" i="2"/>
  <c r="Z116" i="2"/>
  <c r="Z131" i="2"/>
  <c r="Z143" i="2"/>
  <c r="Z149" i="2"/>
  <c r="Z152" i="2"/>
  <c r="Z157" i="2"/>
  <c r="Z159" i="2"/>
  <c r="Z151" i="2"/>
  <c r="Z153" i="2"/>
  <c r="Z156" i="2"/>
  <c r="Z162" i="2"/>
  <c r="Z166" i="2"/>
  <c r="Z164" i="2"/>
  <c r="Z160" i="2"/>
  <c r="Z150" i="2"/>
  <c r="Z155" i="2"/>
  <c r="Z161" i="2"/>
  <c r="Z165" i="2"/>
  <c r="Z163" i="2"/>
  <c r="Z169" i="2"/>
  <c r="Z168" i="2"/>
  <c r="Z167" i="2"/>
  <c r="Z173" i="2"/>
  <c r="Z171" i="2"/>
  <c r="Z176" i="2"/>
  <c r="Z177" i="2"/>
  <c r="Z180" i="2"/>
  <c r="Z185" i="2"/>
  <c r="Z182" i="2"/>
  <c r="Z187" i="2"/>
  <c r="Z170" i="2"/>
  <c r="Z172" i="2"/>
  <c r="Z178" i="2"/>
  <c r="Z183" i="2"/>
  <c r="Z188" i="2"/>
  <c r="Z191" i="2"/>
  <c r="Z154" i="2"/>
  <c r="Z190" i="2"/>
  <c r="Z158" i="2"/>
  <c r="Z175" i="2"/>
  <c r="Z181" i="2"/>
  <c r="Z186" i="2"/>
  <c r="Z192" i="2"/>
  <c r="Z174" i="2"/>
  <c r="Z179" i="2"/>
  <c r="Z184" i="2"/>
  <c r="Z189" i="2"/>
  <c r="AA106" i="2"/>
  <c r="AA116" i="2"/>
  <c r="AA131" i="2"/>
  <c r="AA143" i="2"/>
  <c r="AA149" i="2"/>
  <c r="AA152" i="2"/>
  <c r="AA157" i="2"/>
  <c r="AA159" i="2"/>
  <c r="AA151" i="2"/>
  <c r="AA153" i="2"/>
  <c r="AA156" i="2"/>
  <c r="AA162" i="2"/>
  <c r="AA166" i="2"/>
  <c r="AA164" i="2"/>
  <c r="AA160" i="2"/>
  <c r="AA150" i="2"/>
  <c r="AA155" i="2"/>
  <c r="AA161" i="2"/>
  <c r="AA165" i="2"/>
  <c r="AA163" i="2"/>
  <c r="AA169" i="2"/>
  <c r="AA168" i="2"/>
  <c r="AA167" i="2"/>
  <c r="AA173" i="2"/>
  <c r="AA171" i="2"/>
  <c r="AA176" i="2"/>
  <c r="AA177" i="2"/>
  <c r="AA180" i="2"/>
  <c r="AA185" i="2"/>
  <c r="AA182" i="2"/>
  <c r="AA187" i="2"/>
  <c r="AA170" i="2"/>
  <c r="AA172" i="2"/>
  <c r="AA178" i="2"/>
  <c r="AA183" i="2"/>
  <c r="AA188" i="2"/>
  <c r="AA191" i="2"/>
  <c r="AA154" i="2"/>
  <c r="AA190" i="2"/>
  <c r="AA158" i="2"/>
  <c r="AA175" i="2"/>
  <c r="AA181" i="2"/>
  <c r="AA186" i="2"/>
  <c r="AA192" i="2"/>
  <c r="AA174" i="2"/>
  <c r="AA179" i="2"/>
  <c r="AA184" i="2"/>
  <c r="AA189" i="2"/>
  <c r="AB106" i="2"/>
  <c r="AB116" i="2"/>
  <c r="AB131" i="2"/>
  <c r="AB143" i="2"/>
  <c r="AB149" i="2"/>
  <c r="AB152" i="2"/>
  <c r="AB157" i="2"/>
  <c r="AB159" i="2"/>
  <c r="AB151" i="2"/>
  <c r="AB153" i="2"/>
  <c r="AB156" i="2"/>
  <c r="AB162" i="2"/>
  <c r="AB166" i="2"/>
  <c r="AB164" i="2"/>
  <c r="AB160" i="2"/>
  <c r="AB150" i="2"/>
  <c r="AB155" i="2"/>
  <c r="AB161" i="2"/>
  <c r="AB165" i="2"/>
  <c r="AB163" i="2"/>
  <c r="AB169" i="2"/>
  <c r="AB168" i="2"/>
  <c r="AB167" i="2"/>
  <c r="AB173" i="2"/>
  <c r="AB171" i="2"/>
  <c r="AB176" i="2"/>
  <c r="AB177" i="2"/>
  <c r="AB180" i="2"/>
  <c r="AB185" i="2"/>
  <c r="AB182" i="2"/>
  <c r="AB187" i="2"/>
  <c r="AB170" i="2"/>
  <c r="AB172" i="2"/>
  <c r="AB178" i="2"/>
  <c r="AB183" i="2"/>
  <c r="AB188" i="2"/>
  <c r="AB191" i="2"/>
  <c r="AB154" i="2"/>
  <c r="AB190" i="2"/>
  <c r="AB158" i="2"/>
  <c r="AB175" i="2"/>
  <c r="AB181" i="2"/>
  <c r="AB186" i="2"/>
  <c r="AB192" i="2"/>
  <c r="AB174" i="2"/>
  <c r="AB179" i="2"/>
  <c r="AB184" i="2"/>
  <c r="AB189" i="2"/>
  <c r="AC192" i="2"/>
  <c r="AC178" i="2"/>
  <c r="AC173" i="2"/>
  <c r="AC155" i="2"/>
  <c r="AC160" i="2"/>
  <c r="AC168" i="2"/>
  <c r="AC131" i="2"/>
  <c r="AC172" i="2"/>
  <c r="AC181" i="2"/>
  <c r="AC171" i="2"/>
  <c r="AC158" i="2"/>
  <c r="AC116" i="2"/>
  <c r="AC176" i="2"/>
  <c r="AC157" i="2"/>
  <c r="AC159" i="2"/>
  <c r="AC180" i="2"/>
  <c r="AC166" i="2"/>
  <c r="AC191" i="2"/>
  <c r="AC170" i="2"/>
  <c r="AC154" i="2"/>
  <c r="AC153" i="2"/>
  <c r="AC163" i="2"/>
  <c r="AC106" i="2"/>
  <c r="AC162" i="2"/>
  <c r="AC182" i="2"/>
  <c r="AC179" i="2"/>
  <c r="AC150" i="2"/>
  <c r="AC167" i="2"/>
  <c r="AC161" i="2"/>
  <c r="AC151" i="2"/>
  <c r="AC183" i="2"/>
  <c r="AC188" i="2"/>
  <c r="AC149" i="2"/>
  <c r="AC165" i="2"/>
  <c r="AC152" i="2"/>
  <c r="AC169" i="2"/>
  <c r="AC174" i="2"/>
  <c r="AC177" i="2"/>
  <c r="AC156" i="2"/>
  <c r="AC185" i="2"/>
  <c r="AC184" i="2"/>
  <c r="AC164" i="2"/>
  <c r="AC190" i="2"/>
  <c r="AC187" i="2"/>
  <c r="AC143" i="2"/>
  <c r="AC186" i="2"/>
  <c r="AC189" i="2"/>
  <c r="AC175" i="2"/>
  <c r="U107" i="2" l="1"/>
  <c r="V107" i="2" s="1"/>
  <c r="U109" i="2"/>
  <c r="V109" i="2" s="1"/>
  <c r="U108" i="2"/>
  <c r="V108" i="2" s="1"/>
  <c r="U110" i="2"/>
  <c r="V110" i="2" s="1"/>
  <c r="U105" i="2"/>
  <c r="V105" i="2" s="1"/>
  <c r="U114" i="2"/>
  <c r="V114" i="2" s="1"/>
  <c r="U111" i="2"/>
  <c r="V111" i="2" s="1"/>
  <c r="U112" i="2"/>
  <c r="V112" i="2" s="1"/>
  <c r="U113" i="2"/>
  <c r="V113" i="2" s="1"/>
  <c r="U122" i="2"/>
  <c r="V122" i="2" s="1"/>
  <c r="U119" i="2"/>
  <c r="V119" i="2" s="1"/>
  <c r="U118" i="2"/>
  <c r="V118" i="2" s="1"/>
  <c r="U121" i="2"/>
  <c r="V121" i="2" s="1"/>
  <c r="U117" i="2"/>
  <c r="V117" i="2" s="1"/>
  <c r="U123" i="2"/>
  <c r="V123" i="2" s="1"/>
  <c r="U120" i="2"/>
  <c r="V120" i="2" s="1"/>
  <c r="U115" i="2"/>
  <c r="V115" i="2" s="1"/>
  <c r="U124" i="2"/>
  <c r="V124" i="2" s="1"/>
  <c r="U126" i="2"/>
  <c r="V126" i="2" s="1"/>
  <c r="U125" i="2"/>
  <c r="V125" i="2" s="1"/>
  <c r="U129" i="2"/>
  <c r="V129" i="2" s="1"/>
  <c r="U128" i="2"/>
  <c r="V128" i="2" s="1"/>
  <c r="U127" i="2"/>
  <c r="V127" i="2" s="1"/>
  <c r="U134" i="2"/>
  <c r="V134" i="2" s="1"/>
  <c r="U136" i="2"/>
  <c r="V136" i="2" s="1"/>
  <c r="U137" i="2"/>
  <c r="V137" i="2" s="1"/>
  <c r="U133" i="2"/>
  <c r="V133" i="2" s="1"/>
  <c r="U132" i="2"/>
  <c r="V132" i="2" s="1"/>
  <c r="U135" i="2"/>
  <c r="V135" i="2" s="1"/>
  <c r="U130" i="2"/>
  <c r="V130" i="2" s="1"/>
  <c r="U140" i="2"/>
  <c r="V140" i="2" s="1"/>
  <c r="U141" i="2"/>
  <c r="V141" i="2" s="1"/>
  <c r="U138" i="2"/>
  <c r="V138" i="2" s="1"/>
  <c r="U139" i="2"/>
  <c r="V139" i="2" s="1"/>
  <c r="U146" i="2"/>
  <c r="V146" i="2" s="1"/>
  <c r="U144" i="2"/>
  <c r="V144" i="2" s="1"/>
  <c r="U145" i="2"/>
  <c r="V145" i="2" s="1"/>
  <c r="U142" i="2"/>
  <c r="V142" i="2" s="1"/>
  <c r="U148" i="2"/>
  <c r="V148" i="2" s="1"/>
  <c r="U147" i="2"/>
  <c r="V147" i="2" s="1"/>
  <c r="W107" i="2"/>
  <c r="W109" i="2"/>
  <c r="W108" i="2"/>
  <c r="W110" i="2"/>
  <c r="W105" i="2"/>
  <c r="W114" i="2"/>
  <c r="W111" i="2"/>
  <c r="W112" i="2"/>
  <c r="W113" i="2"/>
  <c r="W122" i="2"/>
  <c r="W119" i="2"/>
  <c r="W118" i="2"/>
  <c r="W121" i="2"/>
  <c r="W117" i="2"/>
  <c r="W123" i="2"/>
  <c r="W120" i="2"/>
  <c r="W115" i="2"/>
  <c r="W124" i="2"/>
  <c r="W126" i="2"/>
  <c r="W125" i="2"/>
  <c r="W129" i="2"/>
  <c r="W128" i="2"/>
  <c r="W127" i="2"/>
  <c r="W134" i="2"/>
  <c r="W136" i="2"/>
  <c r="W137" i="2"/>
  <c r="W133" i="2"/>
  <c r="W132" i="2"/>
  <c r="W135" i="2"/>
  <c r="W130" i="2"/>
  <c r="W140" i="2"/>
  <c r="W141" i="2"/>
  <c r="W138" i="2"/>
  <c r="W139" i="2"/>
  <c r="W146" i="2"/>
  <c r="W144" i="2"/>
  <c r="W145" i="2"/>
  <c r="W142" i="2"/>
  <c r="W148" i="2"/>
  <c r="W147" i="2"/>
  <c r="X107" i="2"/>
  <c r="X109" i="2"/>
  <c r="X108" i="2"/>
  <c r="X110" i="2"/>
  <c r="X105" i="2"/>
  <c r="X114" i="2"/>
  <c r="X111" i="2"/>
  <c r="X112" i="2"/>
  <c r="X113" i="2"/>
  <c r="X122" i="2"/>
  <c r="X119" i="2"/>
  <c r="X118" i="2"/>
  <c r="X121" i="2"/>
  <c r="X117" i="2"/>
  <c r="X123" i="2"/>
  <c r="X120" i="2"/>
  <c r="X115" i="2"/>
  <c r="X124" i="2"/>
  <c r="X126" i="2"/>
  <c r="X125" i="2"/>
  <c r="X129" i="2"/>
  <c r="X128" i="2"/>
  <c r="X127" i="2"/>
  <c r="X134" i="2"/>
  <c r="X136" i="2"/>
  <c r="X137" i="2"/>
  <c r="X133" i="2"/>
  <c r="X132" i="2"/>
  <c r="X135" i="2"/>
  <c r="X130" i="2"/>
  <c r="X140" i="2"/>
  <c r="X141" i="2"/>
  <c r="X138" i="2"/>
  <c r="X139" i="2"/>
  <c r="X146" i="2"/>
  <c r="X144" i="2"/>
  <c r="X145" i="2"/>
  <c r="X142" i="2"/>
  <c r="X148" i="2"/>
  <c r="X147" i="2"/>
  <c r="Y107" i="2"/>
  <c r="Y109" i="2"/>
  <c r="Y108" i="2"/>
  <c r="Y110" i="2"/>
  <c r="Y105" i="2"/>
  <c r="Y114" i="2"/>
  <c r="Y111" i="2"/>
  <c r="Y112" i="2"/>
  <c r="Y113" i="2"/>
  <c r="Y122" i="2"/>
  <c r="Y119" i="2"/>
  <c r="Y118" i="2"/>
  <c r="Y121" i="2"/>
  <c r="Y117" i="2"/>
  <c r="Y123" i="2"/>
  <c r="Y120" i="2"/>
  <c r="Y115" i="2"/>
  <c r="Y124" i="2"/>
  <c r="Y126" i="2"/>
  <c r="Y125" i="2"/>
  <c r="Y129" i="2"/>
  <c r="Y128" i="2"/>
  <c r="Y127" i="2"/>
  <c r="Y134" i="2"/>
  <c r="Y136" i="2"/>
  <c r="Y137" i="2"/>
  <c r="Y133" i="2"/>
  <c r="Y132" i="2"/>
  <c r="Y135" i="2"/>
  <c r="Y130" i="2"/>
  <c r="Y140" i="2"/>
  <c r="Y141" i="2"/>
  <c r="Y138" i="2"/>
  <c r="Y139" i="2"/>
  <c r="Y146" i="2"/>
  <c r="Y144" i="2"/>
  <c r="Y145" i="2"/>
  <c r="Y142" i="2"/>
  <c r="Y148" i="2"/>
  <c r="Y147" i="2"/>
  <c r="Z107" i="2"/>
  <c r="Z109" i="2"/>
  <c r="Z108" i="2"/>
  <c r="Z110" i="2"/>
  <c r="Z105" i="2"/>
  <c r="Z114" i="2"/>
  <c r="Z111" i="2"/>
  <c r="Z112" i="2"/>
  <c r="Z113" i="2"/>
  <c r="Z122" i="2"/>
  <c r="Z119" i="2"/>
  <c r="Z118" i="2"/>
  <c r="Z121" i="2"/>
  <c r="Z117" i="2"/>
  <c r="Z123" i="2"/>
  <c r="Z120" i="2"/>
  <c r="Z115" i="2"/>
  <c r="Z124" i="2"/>
  <c r="Z126" i="2"/>
  <c r="Z125" i="2"/>
  <c r="Z129" i="2"/>
  <c r="Z128" i="2"/>
  <c r="Z127" i="2"/>
  <c r="Z134" i="2"/>
  <c r="Z136" i="2"/>
  <c r="Z137" i="2"/>
  <c r="Z133" i="2"/>
  <c r="Z132" i="2"/>
  <c r="Z135" i="2"/>
  <c r="Z130" i="2"/>
  <c r="Z140" i="2"/>
  <c r="Z141" i="2"/>
  <c r="Z138" i="2"/>
  <c r="Z139" i="2"/>
  <c r="Z146" i="2"/>
  <c r="Z144" i="2"/>
  <c r="Z145" i="2"/>
  <c r="Z142" i="2"/>
  <c r="Z148" i="2"/>
  <c r="Z147" i="2"/>
  <c r="AA107" i="2"/>
  <c r="AA109" i="2"/>
  <c r="AA108" i="2"/>
  <c r="AA110" i="2"/>
  <c r="AA105" i="2"/>
  <c r="AA114" i="2"/>
  <c r="AA111" i="2"/>
  <c r="AA112" i="2"/>
  <c r="AA113" i="2"/>
  <c r="AA122" i="2"/>
  <c r="AA119" i="2"/>
  <c r="AA118" i="2"/>
  <c r="AA121" i="2"/>
  <c r="AA117" i="2"/>
  <c r="AA123" i="2"/>
  <c r="AA120" i="2"/>
  <c r="AA115" i="2"/>
  <c r="AA124" i="2"/>
  <c r="AA126" i="2"/>
  <c r="AA125" i="2"/>
  <c r="AA129" i="2"/>
  <c r="AA128" i="2"/>
  <c r="AA127" i="2"/>
  <c r="AA134" i="2"/>
  <c r="AA136" i="2"/>
  <c r="AA137" i="2"/>
  <c r="AA133" i="2"/>
  <c r="AA132" i="2"/>
  <c r="AA135" i="2"/>
  <c r="AA130" i="2"/>
  <c r="AA140" i="2"/>
  <c r="AA141" i="2"/>
  <c r="AA138" i="2"/>
  <c r="AA139" i="2"/>
  <c r="AA146" i="2"/>
  <c r="AA144" i="2"/>
  <c r="AA145" i="2"/>
  <c r="AA142" i="2"/>
  <c r="AA148" i="2"/>
  <c r="AA147" i="2"/>
  <c r="AB107" i="2"/>
  <c r="AB109" i="2"/>
  <c r="AB108" i="2"/>
  <c r="AB110" i="2"/>
  <c r="AB105" i="2"/>
  <c r="AB114" i="2"/>
  <c r="AB111" i="2"/>
  <c r="AB112" i="2"/>
  <c r="AB113" i="2"/>
  <c r="AB122" i="2"/>
  <c r="AB119" i="2"/>
  <c r="AB118" i="2"/>
  <c r="AB121" i="2"/>
  <c r="AB117" i="2"/>
  <c r="AB123" i="2"/>
  <c r="AB120" i="2"/>
  <c r="AB115" i="2"/>
  <c r="AB124" i="2"/>
  <c r="AB126" i="2"/>
  <c r="AB125" i="2"/>
  <c r="AB129" i="2"/>
  <c r="AB128" i="2"/>
  <c r="AB127" i="2"/>
  <c r="AB134" i="2"/>
  <c r="AB136" i="2"/>
  <c r="AB137" i="2"/>
  <c r="AB133" i="2"/>
  <c r="AB132" i="2"/>
  <c r="AB135" i="2"/>
  <c r="AB130" i="2"/>
  <c r="AB140" i="2"/>
  <c r="AB141" i="2"/>
  <c r="AB138" i="2"/>
  <c r="AB139" i="2"/>
  <c r="AB146" i="2"/>
  <c r="AB144" i="2"/>
  <c r="AB145" i="2"/>
  <c r="AB142" i="2"/>
  <c r="AB148" i="2"/>
  <c r="AB147" i="2"/>
  <c r="AA102" i="2"/>
  <c r="AA101" i="2"/>
  <c r="AA100" i="2"/>
  <c r="AA104" i="2"/>
  <c r="AC108" i="2"/>
  <c r="AC128" i="2"/>
  <c r="AC130" i="2"/>
  <c r="AC111" i="2"/>
  <c r="AC110" i="2"/>
  <c r="AC145" i="2"/>
  <c r="AC142" i="2"/>
  <c r="AC117" i="2"/>
  <c r="AC112" i="2"/>
  <c r="AC107" i="2"/>
  <c r="AC123" i="2"/>
  <c r="AC122" i="2"/>
  <c r="AC115" i="2"/>
  <c r="AC146" i="2"/>
  <c r="AC137" i="2"/>
  <c r="AC139" i="2"/>
  <c r="AC138" i="2"/>
  <c r="AC140" i="2"/>
  <c r="AC105" i="2"/>
  <c r="AC148" i="2"/>
  <c r="AC144" i="2"/>
  <c r="AC133" i="2"/>
  <c r="AC109" i="2"/>
  <c r="AC113" i="2"/>
  <c r="AC147" i="2"/>
  <c r="AC141" i="2"/>
  <c r="AC129" i="2"/>
  <c r="AC132" i="2"/>
  <c r="AC120" i="2"/>
  <c r="AC124" i="2"/>
  <c r="AC136" i="2"/>
  <c r="AC125" i="2"/>
  <c r="AC134" i="2"/>
  <c r="AC135" i="2"/>
  <c r="AC126" i="2"/>
  <c r="AC127" i="2"/>
  <c r="AC119" i="2"/>
  <c r="AC121" i="2"/>
  <c r="AC118" i="2"/>
  <c r="AC114" i="2"/>
  <c r="U68" i="2" l="1"/>
  <c r="V68" i="2" s="1"/>
  <c r="U78" i="2"/>
  <c r="V78" i="2" s="1"/>
  <c r="U104" i="2"/>
  <c r="V104" i="2" s="1"/>
  <c r="W68" i="2"/>
  <c r="W78" i="2"/>
  <c r="W104" i="2"/>
  <c r="X68" i="2"/>
  <c r="X78" i="2"/>
  <c r="X104" i="2"/>
  <c r="Y68" i="2"/>
  <c r="Y78" i="2"/>
  <c r="Y104" i="2"/>
  <c r="Z68" i="2"/>
  <c r="Z78" i="2"/>
  <c r="Z104" i="2"/>
  <c r="AA68" i="2"/>
  <c r="AA78" i="2"/>
  <c r="AB68" i="2"/>
  <c r="AB78" i="2"/>
  <c r="AB104" i="2"/>
  <c r="AC104" i="2"/>
  <c r="AC78" i="2"/>
  <c r="AC68" i="2"/>
  <c r="F12" i="1" l="1"/>
  <c r="G12" i="1"/>
  <c r="H12" i="1"/>
  <c r="I12" i="1"/>
  <c r="F13" i="1"/>
  <c r="G13" i="1"/>
  <c r="H13" i="1"/>
  <c r="I13" i="1"/>
  <c r="K13" i="1"/>
  <c r="N33" i="9"/>
  <c r="M33" i="9"/>
  <c r="L33" i="9"/>
  <c r="K33" i="9"/>
  <c r="J33" i="9"/>
  <c r="I33" i="9"/>
  <c r="H33" i="9"/>
  <c r="G33" i="9"/>
  <c r="F33" i="9"/>
  <c r="E33" i="9"/>
  <c r="C33" i="9"/>
  <c r="C34" i="9"/>
  <c r="D34" i="9"/>
  <c r="E34" i="9"/>
  <c r="F34" i="9"/>
  <c r="G34" i="9"/>
  <c r="H34" i="9"/>
  <c r="I34" i="9"/>
  <c r="J34" i="9"/>
  <c r="K34" i="9"/>
  <c r="L34" i="9"/>
  <c r="M34" i="9"/>
  <c r="N34" i="9"/>
  <c r="C35" i="9"/>
  <c r="D35" i="9"/>
  <c r="E35" i="9"/>
  <c r="F35" i="9"/>
  <c r="G35" i="9"/>
  <c r="H35" i="9"/>
  <c r="I35" i="9"/>
  <c r="J35" i="9"/>
  <c r="K35" i="9"/>
  <c r="L35" i="9"/>
  <c r="M35" i="9"/>
  <c r="N35" i="9"/>
  <c r="U67" i="2"/>
  <c r="V67" i="2" s="1"/>
  <c r="U70" i="2"/>
  <c r="V70" i="2" s="1"/>
  <c r="U69" i="2"/>
  <c r="V69" i="2" s="1"/>
  <c r="U71" i="2"/>
  <c r="V71" i="2" s="1"/>
  <c r="U72" i="2"/>
  <c r="V72" i="2" s="1"/>
  <c r="U73" i="2"/>
  <c r="V73" i="2" s="1"/>
  <c r="U74" i="2"/>
  <c r="V74" i="2" s="1"/>
  <c r="U75" i="2"/>
  <c r="V75" i="2" s="1"/>
  <c r="U77" i="2"/>
  <c r="V77" i="2" s="1"/>
  <c r="U81" i="2"/>
  <c r="V81" i="2" s="1"/>
  <c r="U82" i="2"/>
  <c r="V82" i="2" s="1"/>
  <c r="U79" i="2"/>
  <c r="V79" i="2" s="1"/>
  <c r="U84" i="2"/>
  <c r="V84" i="2" s="1"/>
  <c r="U80" i="2"/>
  <c r="V80" i="2" s="1"/>
  <c r="U83" i="2"/>
  <c r="V83" i="2" s="1"/>
  <c r="U87" i="2"/>
  <c r="V87" i="2" s="1"/>
  <c r="U88" i="2"/>
  <c r="V88" i="2" s="1"/>
  <c r="U85" i="2"/>
  <c r="V85" i="2" s="1"/>
  <c r="U92" i="2"/>
  <c r="V92" i="2" s="1"/>
  <c r="U86" i="2"/>
  <c r="V86" i="2" s="1"/>
  <c r="U90" i="2"/>
  <c r="V90" i="2" s="1"/>
  <c r="U94" i="2"/>
  <c r="V94" i="2" s="1"/>
  <c r="U76" i="2"/>
  <c r="V76" i="2" s="1"/>
  <c r="U91" i="2"/>
  <c r="V91" i="2" s="1"/>
  <c r="U93" i="2"/>
  <c r="V93" i="2" s="1"/>
  <c r="U98" i="2"/>
  <c r="V98" i="2" s="1"/>
  <c r="U96" i="2"/>
  <c r="V96" i="2" s="1"/>
  <c r="U95" i="2"/>
  <c r="V95" i="2" s="1"/>
  <c r="U99" i="2"/>
  <c r="V99" i="2" s="1"/>
  <c r="U103" i="2"/>
  <c r="V103" i="2" s="1"/>
  <c r="U97" i="2"/>
  <c r="V97" i="2" s="1"/>
  <c r="U102" i="2"/>
  <c r="V102" i="2" s="1"/>
  <c r="U89" i="2"/>
  <c r="V89" i="2" s="1"/>
  <c r="U101" i="2"/>
  <c r="V101" i="2" s="1"/>
  <c r="U100" i="2"/>
  <c r="V100" i="2" s="1"/>
  <c r="W67" i="2"/>
  <c r="W70" i="2"/>
  <c r="W69" i="2"/>
  <c r="W71" i="2"/>
  <c r="W72" i="2"/>
  <c r="W73" i="2"/>
  <c r="W74" i="2"/>
  <c r="W75" i="2"/>
  <c r="W77" i="2"/>
  <c r="W81" i="2"/>
  <c r="W82" i="2"/>
  <c r="W79" i="2"/>
  <c r="W84" i="2"/>
  <c r="W80" i="2"/>
  <c r="W83" i="2"/>
  <c r="W87" i="2"/>
  <c r="W88" i="2"/>
  <c r="W85" i="2"/>
  <c r="W92" i="2"/>
  <c r="W86" i="2"/>
  <c r="W90" i="2"/>
  <c r="W94" i="2"/>
  <c r="W76" i="2"/>
  <c r="W91" i="2"/>
  <c r="W93" i="2"/>
  <c r="W98" i="2"/>
  <c r="W96" i="2"/>
  <c r="W95" i="2"/>
  <c r="W99" i="2"/>
  <c r="W103" i="2"/>
  <c r="W97" i="2"/>
  <c r="W102" i="2"/>
  <c r="W89" i="2"/>
  <c r="W101" i="2"/>
  <c r="W100" i="2"/>
  <c r="X67" i="2"/>
  <c r="X70" i="2"/>
  <c r="X69" i="2"/>
  <c r="X71" i="2"/>
  <c r="X72" i="2"/>
  <c r="X73" i="2"/>
  <c r="X74" i="2"/>
  <c r="X75" i="2"/>
  <c r="X77" i="2"/>
  <c r="X81" i="2"/>
  <c r="X82" i="2"/>
  <c r="X79" i="2"/>
  <c r="X84" i="2"/>
  <c r="X80" i="2"/>
  <c r="X83" i="2"/>
  <c r="X87" i="2"/>
  <c r="X88" i="2"/>
  <c r="X85" i="2"/>
  <c r="X92" i="2"/>
  <c r="X86" i="2"/>
  <c r="X90" i="2"/>
  <c r="X94" i="2"/>
  <c r="X76" i="2"/>
  <c r="X91" i="2"/>
  <c r="X93" i="2"/>
  <c r="X98" i="2"/>
  <c r="X96" i="2"/>
  <c r="X95" i="2"/>
  <c r="X99" i="2"/>
  <c r="X103" i="2"/>
  <c r="X97" i="2"/>
  <c r="X102" i="2"/>
  <c r="X89" i="2"/>
  <c r="X101" i="2"/>
  <c r="X100" i="2"/>
  <c r="Y67" i="2"/>
  <c r="Y70" i="2"/>
  <c r="Y69" i="2"/>
  <c r="Y71" i="2"/>
  <c r="Y72" i="2"/>
  <c r="Y73" i="2"/>
  <c r="Y74" i="2"/>
  <c r="Y75" i="2"/>
  <c r="Y77" i="2"/>
  <c r="Y81" i="2"/>
  <c r="Y82" i="2"/>
  <c r="Y79" i="2"/>
  <c r="Y84" i="2"/>
  <c r="Y80" i="2"/>
  <c r="Y83" i="2"/>
  <c r="Y87" i="2"/>
  <c r="Y88" i="2"/>
  <c r="Y85" i="2"/>
  <c r="Y92" i="2"/>
  <c r="Y86" i="2"/>
  <c r="Y90" i="2"/>
  <c r="Y94" i="2"/>
  <c r="Y76" i="2"/>
  <c r="Y91" i="2"/>
  <c r="Y93" i="2"/>
  <c r="Y98" i="2"/>
  <c r="Y96" i="2"/>
  <c r="Y95" i="2"/>
  <c r="Y99" i="2"/>
  <c r="Y103" i="2"/>
  <c r="Y97" i="2"/>
  <c r="Y102" i="2"/>
  <c r="Y89" i="2"/>
  <c r="Y101" i="2"/>
  <c r="Y100" i="2"/>
  <c r="Z67" i="2"/>
  <c r="Z70" i="2"/>
  <c r="Z69" i="2"/>
  <c r="Z71" i="2"/>
  <c r="Z72" i="2"/>
  <c r="Z73" i="2"/>
  <c r="Z74" i="2"/>
  <c r="Z75" i="2"/>
  <c r="Z77" i="2"/>
  <c r="Z81" i="2"/>
  <c r="Z82" i="2"/>
  <c r="Z79" i="2"/>
  <c r="Z84" i="2"/>
  <c r="Z80" i="2"/>
  <c r="Z83" i="2"/>
  <c r="Z87" i="2"/>
  <c r="Z88" i="2"/>
  <c r="Z85" i="2"/>
  <c r="Z92" i="2"/>
  <c r="Z86" i="2"/>
  <c r="Z90" i="2"/>
  <c r="Z94" i="2"/>
  <c r="Z76" i="2"/>
  <c r="Z91" i="2"/>
  <c r="Z93" i="2"/>
  <c r="Z98" i="2"/>
  <c r="Z96" i="2"/>
  <c r="Z95" i="2"/>
  <c r="Z99" i="2"/>
  <c r="Z103" i="2"/>
  <c r="Z97" i="2"/>
  <c r="Z102" i="2"/>
  <c r="Z89" i="2"/>
  <c r="Z101" i="2"/>
  <c r="Z100" i="2"/>
  <c r="AA67" i="2"/>
  <c r="AA70" i="2"/>
  <c r="AA69" i="2"/>
  <c r="AA71" i="2"/>
  <c r="AA72" i="2"/>
  <c r="AA73" i="2"/>
  <c r="AA74" i="2"/>
  <c r="AA75" i="2"/>
  <c r="AA77" i="2"/>
  <c r="AA81" i="2"/>
  <c r="AA82" i="2"/>
  <c r="AA79" i="2"/>
  <c r="AA84" i="2"/>
  <c r="AA80" i="2"/>
  <c r="AA83" i="2"/>
  <c r="AA87" i="2"/>
  <c r="AA88" i="2"/>
  <c r="AA85" i="2"/>
  <c r="AA92" i="2"/>
  <c r="AA86" i="2"/>
  <c r="AA90" i="2"/>
  <c r="AA94" i="2"/>
  <c r="AA76" i="2"/>
  <c r="AA91" i="2"/>
  <c r="AA93" i="2"/>
  <c r="AA98" i="2"/>
  <c r="AA96" i="2"/>
  <c r="AA95" i="2"/>
  <c r="AA99" i="2"/>
  <c r="AA103" i="2"/>
  <c r="AA97" i="2"/>
  <c r="AA89" i="2"/>
  <c r="AB67" i="2"/>
  <c r="AB70" i="2"/>
  <c r="AB69" i="2"/>
  <c r="AB71" i="2"/>
  <c r="AB72" i="2"/>
  <c r="AB73" i="2"/>
  <c r="AB74" i="2"/>
  <c r="AB75" i="2"/>
  <c r="AB77" i="2"/>
  <c r="AB81" i="2"/>
  <c r="AB82" i="2"/>
  <c r="AB79" i="2"/>
  <c r="AB84" i="2"/>
  <c r="AB80" i="2"/>
  <c r="AB83" i="2"/>
  <c r="AB87" i="2"/>
  <c r="AB88" i="2"/>
  <c r="AB85" i="2"/>
  <c r="AB92" i="2"/>
  <c r="AB86" i="2"/>
  <c r="AB90" i="2"/>
  <c r="AB94" i="2"/>
  <c r="AB76" i="2"/>
  <c r="AB91" i="2"/>
  <c r="AB93" i="2"/>
  <c r="AB98" i="2"/>
  <c r="AB96" i="2"/>
  <c r="AB95" i="2"/>
  <c r="AB99" i="2"/>
  <c r="AB103" i="2"/>
  <c r="AB97" i="2"/>
  <c r="AB102" i="2"/>
  <c r="AB89" i="2"/>
  <c r="AB101" i="2"/>
  <c r="AB100" i="2"/>
  <c r="AC76" i="2"/>
  <c r="AC70" i="2"/>
  <c r="AC85" i="2"/>
  <c r="AC95" i="2"/>
  <c r="AC97" i="2"/>
  <c r="AC74" i="2"/>
  <c r="AC92" i="2"/>
  <c r="AC71" i="2"/>
  <c r="AC72" i="2"/>
  <c r="AC81" i="2"/>
  <c r="AC88" i="2"/>
  <c r="AC83" i="2"/>
  <c r="AC80" i="2"/>
  <c r="AC102" i="2"/>
  <c r="AC86" i="2"/>
  <c r="AC103" i="2"/>
  <c r="AC73" i="2"/>
  <c r="AC77" i="2"/>
  <c r="AC91" i="2"/>
  <c r="AC67" i="2"/>
  <c r="AC90" i="2"/>
  <c r="AC82" i="2"/>
  <c r="AC99" i="2"/>
  <c r="AC89" i="2"/>
  <c r="AC96" i="2"/>
  <c r="AC87" i="2"/>
  <c r="AC75" i="2"/>
  <c r="AC101" i="2"/>
  <c r="AC93" i="2"/>
  <c r="AC69" i="2"/>
  <c r="AC84" i="2"/>
  <c r="AC94" i="2"/>
  <c r="AC79" i="2"/>
  <c r="AC98" i="2"/>
  <c r="AC100" i="2"/>
  <c r="J12" i="1" l="1"/>
  <c r="M12" i="1" s="1"/>
  <c r="J13" i="1"/>
  <c r="M13" i="1" s="1"/>
  <c r="U31" i="2"/>
  <c r="V31" i="2" s="1"/>
  <c r="U28" i="2"/>
  <c r="V28" i="2" s="1"/>
  <c r="U32" i="2"/>
  <c r="V32" i="2" s="1"/>
  <c r="U34" i="2"/>
  <c r="V34" i="2" s="1"/>
  <c r="U33" i="2"/>
  <c r="V33" i="2" s="1"/>
  <c r="U35" i="2"/>
  <c r="V35" i="2" s="1"/>
  <c r="U36" i="2"/>
  <c r="V36" i="2" s="1"/>
  <c r="U37" i="2"/>
  <c r="V37" i="2" s="1"/>
  <c r="U40" i="2"/>
  <c r="V40" i="2" s="1"/>
  <c r="U42" i="2"/>
  <c r="V42" i="2" s="1"/>
  <c r="U41" i="2"/>
  <c r="V41" i="2" s="1"/>
  <c r="U44" i="2"/>
  <c r="V44" i="2" s="1"/>
  <c r="U45" i="2"/>
  <c r="V45" i="2" s="1"/>
  <c r="U43" i="2"/>
  <c r="V43" i="2" s="1"/>
  <c r="U47" i="2"/>
  <c r="V47" i="2" s="1"/>
  <c r="U46" i="2"/>
  <c r="V46" i="2" s="1"/>
  <c r="U49" i="2"/>
  <c r="V49" i="2" s="1"/>
  <c r="U48" i="2"/>
  <c r="V48" i="2" s="1"/>
  <c r="U52" i="2"/>
  <c r="V52" i="2" s="1"/>
  <c r="U50" i="2"/>
  <c r="V50" i="2" s="1"/>
  <c r="U38" i="2"/>
  <c r="V38" i="2" s="1"/>
  <c r="U51" i="2"/>
  <c r="V51" i="2" s="1"/>
  <c r="U39" i="2"/>
  <c r="V39" i="2" s="1"/>
  <c r="U53" i="2"/>
  <c r="V53" i="2" s="1"/>
  <c r="U55" i="2"/>
  <c r="V55" i="2" s="1"/>
  <c r="U56" i="2"/>
  <c r="V56" i="2" s="1"/>
  <c r="U54" i="2"/>
  <c r="V54" i="2" s="1"/>
  <c r="U58" i="2"/>
  <c r="V58" i="2" s="1"/>
  <c r="U59" i="2"/>
  <c r="V59" i="2" s="1"/>
  <c r="U60" i="2"/>
  <c r="V60" i="2" s="1"/>
  <c r="U62" i="2"/>
  <c r="V62" i="2" s="1"/>
  <c r="U57" i="2"/>
  <c r="V57" i="2" s="1"/>
  <c r="U61" i="2"/>
  <c r="V61" i="2" s="1"/>
  <c r="U63" i="2"/>
  <c r="V63" i="2" s="1"/>
  <c r="U65" i="2"/>
  <c r="V65" i="2" s="1"/>
  <c r="U64" i="2"/>
  <c r="V64" i="2" s="1"/>
  <c r="U66" i="2"/>
  <c r="V66" i="2" s="1"/>
  <c r="W31" i="2"/>
  <c r="W28" i="2"/>
  <c r="W32" i="2"/>
  <c r="W34" i="2"/>
  <c r="W33" i="2"/>
  <c r="W35" i="2"/>
  <c r="W36" i="2"/>
  <c r="W37" i="2"/>
  <c r="W40" i="2"/>
  <c r="W42" i="2"/>
  <c r="W41" i="2"/>
  <c r="W44" i="2"/>
  <c r="W45" i="2"/>
  <c r="W43" i="2"/>
  <c r="W47" i="2"/>
  <c r="W46" i="2"/>
  <c r="W49" i="2"/>
  <c r="W48" i="2"/>
  <c r="W52" i="2"/>
  <c r="W50" i="2"/>
  <c r="W38" i="2"/>
  <c r="W51" i="2"/>
  <c r="W39" i="2"/>
  <c r="W53" i="2"/>
  <c r="W55" i="2"/>
  <c r="W56" i="2"/>
  <c r="W54" i="2"/>
  <c r="W58" i="2"/>
  <c r="W59" i="2"/>
  <c r="W60" i="2"/>
  <c r="W62" i="2"/>
  <c r="W57" i="2"/>
  <c r="W61" i="2"/>
  <c r="W63" i="2"/>
  <c r="W65" i="2"/>
  <c r="W64" i="2"/>
  <c r="W66" i="2"/>
  <c r="X31" i="2"/>
  <c r="X28" i="2"/>
  <c r="X32" i="2"/>
  <c r="X34" i="2"/>
  <c r="X33" i="2"/>
  <c r="X35" i="2"/>
  <c r="X36" i="2"/>
  <c r="X37" i="2"/>
  <c r="X40" i="2"/>
  <c r="X42" i="2"/>
  <c r="X41" i="2"/>
  <c r="X44" i="2"/>
  <c r="X45" i="2"/>
  <c r="X43" i="2"/>
  <c r="X47" i="2"/>
  <c r="X46" i="2"/>
  <c r="X49" i="2"/>
  <c r="X48" i="2"/>
  <c r="X52" i="2"/>
  <c r="X50" i="2"/>
  <c r="X38" i="2"/>
  <c r="X51" i="2"/>
  <c r="X39" i="2"/>
  <c r="X53" i="2"/>
  <c r="X55" i="2"/>
  <c r="X56" i="2"/>
  <c r="X54" i="2"/>
  <c r="X58" i="2"/>
  <c r="X59" i="2"/>
  <c r="X60" i="2"/>
  <c r="X62" i="2"/>
  <c r="X57" i="2"/>
  <c r="X61" i="2"/>
  <c r="X63" i="2"/>
  <c r="X65" i="2"/>
  <c r="X64" i="2"/>
  <c r="X66" i="2"/>
  <c r="Y31" i="2"/>
  <c r="Y28" i="2"/>
  <c r="Y32" i="2"/>
  <c r="Y34" i="2"/>
  <c r="Y33" i="2"/>
  <c r="Y35" i="2"/>
  <c r="Y36" i="2"/>
  <c r="Y37" i="2"/>
  <c r="Y40" i="2"/>
  <c r="Y42" i="2"/>
  <c r="Y41" i="2"/>
  <c r="Y44" i="2"/>
  <c r="Y45" i="2"/>
  <c r="Y43" i="2"/>
  <c r="Y47" i="2"/>
  <c r="Y46" i="2"/>
  <c r="Y49" i="2"/>
  <c r="Y48" i="2"/>
  <c r="Y52" i="2"/>
  <c r="Y50" i="2"/>
  <c r="Y38" i="2"/>
  <c r="Y51" i="2"/>
  <c r="Y39" i="2"/>
  <c r="Y53" i="2"/>
  <c r="Y55" i="2"/>
  <c r="Y56" i="2"/>
  <c r="Y54" i="2"/>
  <c r="Y58" i="2"/>
  <c r="Y59" i="2"/>
  <c r="Y60" i="2"/>
  <c r="Y62" i="2"/>
  <c r="Y57" i="2"/>
  <c r="Y61" i="2"/>
  <c r="Y63" i="2"/>
  <c r="Y65" i="2"/>
  <c r="Y64" i="2"/>
  <c r="Y66" i="2"/>
  <c r="Z31" i="2"/>
  <c r="Z28" i="2"/>
  <c r="Z32" i="2"/>
  <c r="Z34" i="2"/>
  <c r="Z33" i="2"/>
  <c r="Z35" i="2"/>
  <c r="Z36" i="2"/>
  <c r="Z37" i="2"/>
  <c r="Z40" i="2"/>
  <c r="Z42" i="2"/>
  <c r="Z41" i="2"/>
  <c r="Z44" i="2"/>
  <c r="Z45" i="2"/>
  <c r="Z43" i="2"/>
  <c r="Z47" i="2"/>
  <c r="Z46" i="2"/>
  <c r="Z49" i="2"/>
  <c r="Z48" i="2"/>
  <c r="Z52" i="2"/>
  <c r="Z50" i="2"/>
  <c r="Z38" i="2"/>
  <c r="Z51" i="2"/>
  <c r="Z39" i="2"/>
  <c r="Z53" i="2"/>
  <c r="Z55" i="2"/>
  <c r="Z56" i="2"/>
  <c r="Z54" i="2"/>
  <c r="Z58" i="2"/>
  <c r="Z59" i="2"/>
  <c r="Z60" i="2"/>
  <c r="Z62" i="2"/>
  <c r="Z57" i="2"/>
  <c r="Z61" i="2"/>
  <c r="Z63" i="2"/>
  <c r="Z65" i="2"/>
  <c r="Z64" i="2"/>
  <c r="Z66" i="2"/>
  <c r="AA31" i="2"/>
  <c r="AA28" i="2"/>
  <c r="AA32" i="2"/>
  <c r="AA34" i="2"/>
  <c r="AA33" i="2"/>
  <c r="AA35" i="2"/>
  <c r="AA36" i="2"/>
  <c r="AA37" i="2"/>
  <c r="AA40" i="2"/>
  <c r="AA42" i="2"/>
  <c r="AA41" i="2"/>
  <c r="AA44" i="2"/>
  <c r="AA45" i="2"/>
  <c r="AA43" i="2"/>
  <c r="AA47" i="2"/>
  <c r="AA46" i="2"/>
  <c r="AA49" i="2"/>
  <c r="AA48" i="2"/>
  <c r="AA52" i="2"/>
  <c r="AA50" i="2"/>
  <c r="AA38" i="2"/>
  <c r="AA51" i="2"/>
  <c r="AA39" i="2"/>
  <c r="AA53" i="2"/>
  <c r="AA55" i="2"/>
  <c r="AA56" i="2"/>
  <c r="AA54" i="2"/>
  <c r="AA58" i="2"/>
  <c r="AA59" i="2"/>
  <c r="AA60" i="2"/>
  <c r="AA62" i="2"/>
  <c r="AA57" i="2"/>
  <c r="AA61" i="2"/>
  <c r="AA63" i="2"/>
  <c r="AA65" i="2"/>
  <c r="AA64" i="2"/>
  <c r="AA66" i="2"/>
  <c r="AB31" i="2"/>
  <c r="AB28" i="2"/>
  <c r="AB32" i="2"/>
  <c r="AB34" i="2"/>
  <c r="AB33" i="2"/>
  <c r="AB35" i="2"/>
  <c r="AB36" i="2"/>
  <c r="AB37" i="2"/>
  <c r="AB40" i="2"/>
  <c r="AB42" i="2"/>
  <c r="AB41" i="2"/>
  <c r="AB44" i="2"/>
  <c r="AB45" i="2"/>
  <c r="AB43" i="2"/>
  <c r="AB47" i="2"/>
  <c r="AB46" i="2"/>
  <c r="AB49" i="2"/>
  <c r="AB48" i="2"/>
  <c r="AB52" i="2"/>
  <c r="AB50" i="2"/>
  <c r="AB38" i="2"/>
  <c r="AB51" i="2"/>
  <c r="AB39" i="2"/>
  <c r="AB53" i="2"/>
  <c r="AB55" i="2"/>
  <c r="AB56" i="2"/>
  <c r="AB54" i="2"/>
  <c r="AB58" i="2"/>
  <c r="AB59" i="2"/>
  <c r="AB60" i="2"/>
  <c r="AB62" i="2"/>
  <c r="AB57" i="2"/>
  <c r="AB61" i="2"/>
  <c r="AB63" i="2"/>
  <c r="AB65" i="2"/>
  <c r="AB64" i="2"/>
  <c r="AB66" i="2"/>
  <c r="U30" i="2"/>
  <c r="V30" i="2" s="1"/>
  <c r="W30" i="2"/>
  <c r="X30" i="2"/>
  <c r="Y30" i="2"/>
  <c r="Z30" i="2"/>
  <c r="AA30" i="2"/>
  <c r="AB30" i="2"/>
  <c r="F8" i="1"/>
  <c r="F9" i="1"/>
  <c r="F10" i="1"/>
  <c r="F11" i="1"/>
  <c r="F14" i="1"/>
  <c r="F15" i="1"/>
  <c r="F16" i="1"/>
  <c r="G8" i="1"/>
  <c r="G9" i="1"/>
  <c r="G10" i="1"/>
  <c r="G11" i="1"/>
  <c r="G14" i="1"/>
  <c r="G15" i="1"/>
  <c r="G16" i="1"/>
  <c r="H8" i="1"/>
  <c r="H9" i="1"/>
  <c r="H10" i="1"/>
  <c r="H11" i="1"/>
  <c r="H14" i="1"/>
  <c r="H15" i="1"/>
  <c r="H16" i="1"/>
  <c r="I8" i="1"/>
  <c r="I9" i="1"/>
  <c r="I10" i="1"/>
  <c r="I11" i="1"/>
  <c r="I14" i="1"/>
  <c r="I15" i="1"/>
  <c r="I16" i="1"/>
  <c r="K8" i="1"/>
  <c r="K9" i="1"/>
  <c r="K10" i="1"/>
  <c r="K11" i="1"/>
  <c r="K14" i="1"/>
  <c r="K15" i="1"/>
  <c r="K16" i="1"/>
  <c r="Q7" i="9"/>
  <c r="C42" i="9"/>
  <c r="C43" i="9"/>
  <c r="C44" i="9"/>
  <c r="D42" i="9"/>
  <c r="D43" i="9"/>
  <c r="D44" i="9"/>
  <c r="E42" i="9"/>
  <c r="E43" i="9"/>
  <c r="E44" i="9"/>
  <c r="F42" i="9"/>
  <c r="F43" i="9"/>
  <c r="F44" i="9"/>
  <c r="G42" i="9"/>
  <c r="G43" i="9"/>
  <c r="G44" i="9"/>
  <c r="H42" i="9"/>
  <c r="H43" i="9"/>
  <c r="H44" i="9"/>
  <c r="I42" i="9"/>
  <c r="I43" i="9"/>
  <c r="I44" i="9"/>
  <c r="J42" i="9"/>
  <c r="J43" i="9"/>
  <c r="J44" i="9"/>
  <c r="K42" i="9"/>
  <c r="K43" i="9"/>
  <c r="K44" i="9"/>
  <c r="L42" i="9"/>
  <c r="L43" i="9"/>
  <c r="L44" i="9"/>
  <c r="M42" i="9"/>
  <c r="M43" i="9"/>
  <c r="M44" i="9"/>
  <c r="N42" i="9"/>
  <c r="N43" i="9"/>
  <c r="N44" i="9"/>
  <c r="C30" i="9"/>
  <c r="C31" i="9"/>
  <c r="C32" i="9"/>
  <c r="D30" i="9"/>
  <c r="D31" i="9"/>
  <c r="D32" i="9"/>
  <c r="E30" i="9"/>
  <c r="E31" i="9"/>
  <c r="E32" i="9"/>
  <c r="F30" i="9"/>
  <c r="F31" i="9"/>
  <c r="F32" i="9"/>
  <c r="G30" i="9"/>
  <c r="G31" i="9"/>
  <c r="G32" i="9"/>
  <c r="H30" i="9"/>
  <c r="H31" i="9"/>
  <c r="H32" i="9"/>
  <c r="I30" i="9"/>
  <c r="I31" i="9"/>
  <c r="I32" i="9"/>
  <c r="J30" i="9"/>
  <c r="J31" i="9"/>
  <c r="J32" i="9"/>
  <c r="K30" i="9"/>
  <c r="K31" i="9"/>
  <c r="K32" i="9"/>
  <c r="L30" i="9"/>
  <c r="L31" i="9"/>
  <c r="L32" i="9"/>
  <c r="M30" i="9"/>
  <c r="M31" i="9"/>
  <c r="M32" i="9"/>
  <c r="N30" i="9"/>
  <c r="N31" i="9"/>
  <c r="N32" i="9"/>
  <c r="N28" i="9"/>
  <c r="N29" i="9"/>
  <c r="N38" i="9"/>
  <c r="N39" i="9"/>
  <c r="N40" i="9"/>
  <c r="N41" i="9"/>
  <c r="N45" i="9"/>
  <c r="U16" i="2"/>
  <c r="V16" i="2" s="1"/>
  <c r="U14" i="2"/>
  <c r="V14" i="2" s="1"/>
  <c r="U6" i="2"/>
  <c r="V6" i="2" s="1"/>
  <c r="U10" i="2"/>
  <c r="V10" i="2" s="1"/>
  <c r="U27" i="2"/>
  <c r="V27" i="2" s="1"/>
  <c r="U15" i="2"/>
  <c r="V15" i="2" s="1"/>
  <c r="U2" i="2"/>
  <c r="V2" i="2" s="1"/>
  <c r="U7" i="2"/>
  <c r="V7" i="2" s="1"/>
  <c r="U11" i="2"/>
  <c r="V11" i="2" s="1"/>
  <c r="U13" i="2"/>
  <c r="V13" i="2" s="1"/>
  <c r="U17" i="2"/>
  <c r="V17" i="2" s="1"/>
  <c r="U19" i="2"/>
  <c r="V19" i="2" s="1"/>
  <c r="U18" i="2"/>
  <c r="V18" i="2" s="1"/>
  <c r="U24" i="2"/>
  <c r="V24" i="2" s="1"/>
  <c r="U21" i="2"/>
  <c r="V21" i="2" s="1"/>
  <c r="U22" i="2"/>
  <c r="V22" i="2" s="1"/>
  <c r="U23" i="2"/>
  <c r="V23" i="2" s="1"/>
  <c r="U20" i="2"/>
  <c r="V20" i="2" s="1"/>
  <c r="U26" i="2"/>
  <c r="V26" i="2" s="1"/>
  <c r="U29" i="2"/>
  <c r="V29" i="2" s="1"/>
  <c r="U25" i="2"/>
  <c r="V25" i="2" s="1"/>
  <c r="W16" i="2"/>
  <c r="W14" i="2"/>
  <c r="W6" i="2"/>
  <c r="W10" i="2"/>
  <c r="W27" i="2"/>
  <c r="W15" i="2"/>
  <c r="W2" i="2"/>
  <c r="W7" i="2"/>
  <c r="W11" i="2"/>
  <c r="W13" i="2"/>
  <c r="W17" i="2"/>
  <c r="W19" i="2"/>
  <c r="W18" i="2"/>
  <c r="W24" i="2"/>
  <c r="W21" i="2"/>
  <c r="W22" i="2"/>
  <c r="W23" i="2"/>
  <c r="W20" i="2"/>
  <c r="W26" i="2"/>
  <c r="W29" i="2"/>
  <c r="W25" i="2"/>
  <c r="X16" i="2"/>
  <c r="X14" i="2"/>
  <c r="X6" i="2"/>
  <c r="X10" i="2"/>
  <c r="X27" i="2"/>
  <c r="X15" i="2"/>
  <c r="X2" i="2"/>
  <c r="X7" i="2"/>
  <c r="X11" i="2"/>
  <c r="X13" i="2"/>
  <c r="X17" i="2"/>
  <c r="X19" i="2"/>
  <c r="X18" i="2"/>
  <c r="X24" i="2"/>
  <c r="X21" i="2"/>
  <c r="X22" i="2"/>
  <c r="X23" i="2"/>
  <c r="X20" i="2"/>
  <c r="X26" i="2"/>
  <c r="X29" i="2"/>
  <c r="X25" i="2"/>
  <c r="Y16" i="2"/>
  <c r="Y14" i="2"/>
  <c r="Y6" i="2"/>
  <c r="Y10" i="2"/>
  <c r="Y27" i="2"/>
  <c r="Y15" i="2"/>
  <c r="Y2" i="2"/>
  <c r="Y7" i="2"/>
  <c r="Y11" i="2"/>
  <c r="Y13" i="2"/>
  <c r="Y17" i="2"/>
  <c r="Y19" i="2"/>
  <c r="Y18" i="2"/>
  <c r="Y24" i="2"/>
  <c r="Y21" i="2"/>
  <c r="Y22" i="2"/>
  <c r="Y23" i="2"/>
  <c r="Y20" i="2"/>
  <c r="Y26" i="2"/>
  <c r="Y29" i="2"/>
  <c r="Y25" i="2"/>
  <c r="Z16" i="2"/>
  <c r="Z14" i="2"/>
  <c r="Z6" i="2"/>
  <c r="Z10" i="2"/>
  <c r="Z27" i="2"/>
  <c r="Z15" i="2"/>
  <c r="Z2" i="2"/>
  <c r="Z7" i="2"/>
  <c r="Z11" i="2"/>
  <c r="Z13" i="2"/>
  <c r="Z17" i="2"/>
  <c r="Z19" i="2"/>
  <c r="Z18" i="2"/>
  <c r="Z24" i="2"/>
  <c r="Z21" i="2"/>
  <c r="Z22" i="2"/>
  <c r="Z23" i="2"/>
  <c r="Z20" i="2"/>
  <c r="Z26" i="2"/>
  <c r="Z29" i="2"/>
  <c r="Z25" i="2"/>
  <c r="AA16" i="2"/>
  <c r="AA14" i="2"/>
  <c r="AA6" i="2"/>
  <c r="AA10" i="2"/>
  <c r="AA27" i="2"/>
  <c r="AA15" i="2"/>
  <c r="AA2" i="2"/>
  <c r="AA7" i="2"/>
  <c r="AA11" i="2"/>
  <c r="AA13" i="2"/>
  <c r="AA17" i="2"/>
  <c r="AA19" i="2"/>
  <c r="AA18" i="2"/>
  <c r="AA24" i="2"/>
  <c r="AA21" i="2"/>
  <c r="AA22" i="2"/>
  <c r="AA23" i="2"/>
  <c r="AA20" i="2"/>
  <c r="AA26" i="2"/>
  <c r="AA29" i="2"/>
  <c r="AA25" i="2"/>
  <c r="AB16" i="2"/>
  <c r="AB14" i="2"/>
  <c r="AB6" i="2"/>
  <c r="AB10" i="2"/>
  <c r="AB27" i="2"/>
  <c r="AB15" i="2"/>
  <c r="AB2" i="2"/>
  <c r="AB7" i="2"/>
  <c r="AB11" i="2"/>
  <c r="AB13" i="2"/>
  <c r="AB17" i="2"/>
  <c r="AB19" i="2"/>
  <c r="AB18" i="2"/>
  <c r="AB24" i="2"/>
  <c r="AB21" i="2"/>
  <c r="AB22" i="2"/>
  <c r="AB23" i="2"/>
  <c r="AB20" i="2"/>
  <c r="AB26" i="2"/>
  <c r="AB29" i="2"/>
  <c r="AB25" i="2"/>
  <c r="M45" i="9"/>
  <c r="M41" i="9"/>
  <c r="M40" i="9"/>
  <c r="M39" i="9"/>
  <c r="M38" i="9"/>
  <c r="M29" i="9"/>
  <c r="M28" i="9"/>
  <c r="U4" i="2"/>
  <c r="V4" i="2" s="1"/>
  <c r="U5" i="2"/>
  <c r="V5" i="2" s="1"/>
  <c r="U9" i="2"/>
  <c r="V9" i="2" s="1"/>
  <c r="U12" i="2"/>
  <c r="V12" i="2" s="1"/>
  <c r="U3" i="2"/>
  <c r="V3" i="2" s="1"/>
  <c r="U8" i="2"/>
  <c r="V8" i="2" s="1"/>
  <c r="Z4" i="2"/>
  <c r="Z5" i="2"/>
  <c r="Z9" i="2"/>
  <c r="Z12" i="2"/>
  <c r="Z3" i="2"/>
  <c r="Z8" i="2"/>
  <c r="Y4" i="2"/>
  <c r="Y5" i="2"/>
  <c r="Y9" i="2"/>
  <c r="Y12" i="2"/>
  <c r="Y3" i="2"/>
  <c r="Y8" i="2"/>
  <c r="X4" i="2"/>
  <c r="X5" i="2"/>
  <c r="X9" i="2"/>
  <c r="X12" i="2"/>
  <c r="X3" i="2"/>
  <c r="X8" i="2"/>
  <c r="W4" i="2"/>
  <c r="W5" i="2"/>
  <c r="W9" i="2"/>
  <c r="W12" i="2"/>
  <c r="W3" i="2"/>
  <c r="W8" i="2"/>
  <c r="AA9" i="2"/>
  <c r="AA12" i="2"/>
  <c r="AA3" i="2"/>
  <c r="AA8" i="2"/>
  <c r="AB9" i="2"/>
  <c r="AB12" i="2"/>
  <c r="AB3" i="2"/>
  <c r="AB8" i="2"/>
  <c r="AC45" i="2"/>
  <c r="AC18" i="2"/>
  <c r="AC34" i="2"/>
  <c r="AC27" i="2"/>
  <c r="AC62" i="2"/>
  <c r="AC53" i="2"/>
  <c r="AC30" i="2"/>
  <c r="AC60" i="2"/>
  <c r="AC61" i="2"/>
  <c r="AC43" i="2"/>
  <c r="AC42" i="2"/>
  <c r="AC22" i="2"/>
  <c r="AC23" i="2"/>
  <c r="AC25" i="2"/>
  <c r="AC38" i="2"/>
  <c r="AC47" i="2"/>
  <c r="AC54" i="2"/>
  <c r="AC13" i="2"/>
  <c r="AC24" i="2"/>
  <c r="AC29" i="2"/>
  <c r="AC44" i="2"/>
  <c r="AC9" i="2"/>
  <c r="AC12" i="2"/>
  <c r="AC64" i="2"/>
  <c r="AC58" i="2"/>
  <c r="AC63" i="2"/>
  <c r="AC50" i="2"/>
  <c r="AC41" i="2"/>
  <c r="AC35" i="2"/>
  <c r="AC17" i="2"/>
  <c r="AC19" i="2"/>
  <c r="AC48" i="2"/>
  <c r="AC37" i="2"/>
  <c r="AC33" i="2"/>
  <c r="AC31" i="2"/>
  <c r="AC10" i="2"/>
  <c r="AC52" i="2"/>
  <c r="AC28" i="2"/>
  <c r="AC40" i="2"/>
  <c r="AC14" i="2"/>
  <c r="AC7" i="2"/>
  <c r="AC56" i="2"/>
  <c r="AC21" i="2"/>
  <c r="AC20" i="2"/>
  <c r="AC65" i="2"/>
  <c r="AC2" i="2"/>
  <c r="AC49" i="2"/>
  <c r="AC36" i="2"/>
  <c r="AC16" i="2"/>
  <c r="AC66" i="2"/>
  <c r="AC8" i="2"/>
  <c r="AC57" i="2"/>
  <c r="AC11" i="2"/>
  <c r="AC6" i="2"/>
  <c r="AC55" i="2"/>
  <c r="AC39" i="2"/>
  <c r="AC32" i="2"/>
  <c r="AC59" i="2"/>
  <c r="AC26" i="2"/>
  <c r="AC3" i="2"/>
  <c r="AC46" i="2"/>
  <c r="AC51" i="2"/>
  <c r="AC15" i="2"/>
  <c r="J11" i="1" l="1"/>
  <c r="M11" i="1" s="1"/>
  <c r="J10" i="1"/>
  <c r="M10" i="1" s="1"/>
  <c r="J8" i="1"/>
  <c r="M8" i="1" s="1"/>
  <c r="J9" i="1"/>
  <c r="M9" i="1" s="1"/>
  <c r="J15" i="1"/>
  <c r="M15" i="1" s="1"/>
  <c r="J16" i="1"/>
  <c r="M16" i="1" s="1"/>
  <c r="J14" i="1"/>
  <c r="M14" i="1" s="1"/>
  <c r="N46" i="9"/>
  <c r="N47" i="9" s="1"/>
  <c r="AA5" i="2"/>
  <c r="AB5" i="2"/>
  <c r="K28" i="9"/>
  <c r="K29" i="9"/>
  <c r="K38" i="9"/>
  <c r="K39" i="9"/>
  <c r="K40" i="9"/>
  <c r="K41" i="9"/>
  <c r="K45" i="9"/>
  <c r="AC5" i="2"/>
  <c r="C29" i="9" l="1"/>
  <c r="D29" i="9"/>
  <c r="E29" i="9"/>
  <c r="F29" i="9"/>
  <c r="G29" i="9"/>
  <c r="H29" i="9"/>
  <c r="I29" i="9"/>
  <c r="J29" i="9"/>
  <c r="L29" i="9"/>
  <c r="C38" i="9"/>
  <c r="D38" i="9"/>
  <c r="E38" i="9"/>
  <c r="F38" i="9"/>
  <c r="G38" i="9"/>
  <c r="H38" i="9"/>
  <c r="I38" i="9"/>
  <c r="J38" i="9"/>
  <c r="L38" i="9"/>
  <c r="C39" i="9"/>
  <c r="D39" i="9"/>
  <c r="E39" i="9"/>
  <c r="F39" i="9"/>
  <c r="G39" i="9"/>
  <c r="H39" i="9"/>
  <c r="I39" i="9"/>
  <c r="J39" i="9"/>
  <c r="L39" i="9"/>
  <c r="C40" i="9"/>
  <c r="D40" i="9"/>
  <c r="E40" i="9"/>
  <c r="F40" i="9"/>
  <c r="G40" i="9"/>
  <c r="H40" i="9"/>
  <c r="I40" i="9"/>
  <c r="J40" i="9"/>
  <c r="L40" i="9"/>
  <c r="C41" i="9"/>
  <c r="D41" i="9"/>
  <c r="E41" i="9"/>
  <c r="F41" i="9"/>
  <c r="G41" i="9"/>
  <c r="H41" i="9"/>
  <c r="I41" i="9"/>
  <c r="J41" i="9"/>
  <c r="L41" i="9"/>
  <c r="C45" i="9"/>
  <c r="D45" i="9"/>
  <c r="E45" i="9"/>
  <c r="F45" i="9"/>
  <c r="G45" i="9"/>
  <c r="H45" i="9"/>
  <c r="I45" i="9"/>
  <c r="J45" i="9"/>
  <c r="L45" i="9"/>
  <c r="C28" i="9" l="1"/>
  <c r="D28" i="9"/>
  <c r="F28" i="9"/>
  <c r="G28" i="9"/>
  <c r="H28" i="9"/>
  <c r="I28" i="9"/>
  <c r="J28" i="9"/>
  <c r="L28" i="9"/>
  <c r="E28" i="9"/>
  <c r="L50" i="12" l="1"/>
  <c r="J50" i="12"/>
  <c r="I50" i="12"/>
  <c r="L32" i="12"/>
  <c r="J32" i="12"/>
  <c r="I32" i="12"/>
  <c r="L14" i="12"/>
  <c r="J14" i="12"/>
  <c r="I14" i="12"/>
  <c r="D22" i="9" l="1"/>
  <c r="E22" i="9"/>
  <c r="F22" i="9"/>
  <c r="C22" i="9"/>
  <c r="B3" i="1"/>
  <c r="AC4" i="2"/>
  <c r="F26" i="9" l="1"/>
  <c r="D26" i="9"/>
  <c r="E26" i="9"/>
  <c r="C26" i="9"/>
  <c r="K5" i="1"/>
  <c r="AA4" i="2" l="1"/>
  <c r="AB4" i="2"/>
  <c r="D46" i="9" l="1"/>
  <c r="D47" i="9" s="1"/>
  <c r="E46" i="9"/>
  <c r="E47" i="9" s="1"/>
  <c r="F46" i="9"/>
  <c r="F47" i="9" s="1"/>
  <c r="G22" i="9" s="1"/>
  <c r="G26" i="9" s="1"/>
  <c r="G46" i="9"/>
  <c r="H46" i="9"/>
  <c r="I46" i="9"/>
  <c r="J46" i="9"/>
  <c r="K46" i="9"/>
  <c r="L46" i="9"/>
  <c r="M46" i="9"/>
  <c r="C46" i="9"/>
  <c r="I5" i="1"/>
  <c r="H5" i="1"/>
  <c r="G5" i="1"/>
  <c r="F5" i="1"/>
  <c r="G47" i="9" l="1"/>
  <c r="H22" i="9" s="1"/>
  <c r="H26" i="9" s="1"/>
  <c r="H47" i="9" s="1"/>
  <c r="I22" i="9" s="1"/>
  <c r="I26" i="9" s="1"/>
  <c r="I47" i="9" s="1"/>
  <c r="J22" i="9" s="1"/>
  <c r="J26" i="9" s="1"/>
  <c r="J47" i="9" s="1"/>
  <c r="K22" i="9" s="1"/>
  <c r="K26" i="9" s="1"/>
  <c r="K47" i="9" s="1"/>
  <c r="L22" i="9" s="1"/>
  <c r="L26" i="9" s="1"/>
  <c r="L47" i="9" s="1"/>
  <c r="C47" i="9"/>
  <c r="J5" i="1"/>
  <c r="M5" i="1" s="1"/>
  <c r="M22" i="9" l="1"/>
  <c r="M26" i="9" s="1"/>
  <c r="M47" i="9" s="1"/>
  <c r="N22" i="9" s="1"/>
  <c r="J17" i="1"/>
  <c r="M17" i="1" s="1"/>
</calcChain>
</file>

<file path=xl/comments1.xml><?xml version="1.0" encoding="utf-8"?>
<comments xmlns="http://schemas.openxmlformats.org/spreadsheetml/2006/main">
  <authors>
    <author>tc={B0C3817A-7854-4762-ACB1-60DB3B766599}</author>
    <author>tc={51060DEF-30AF-4C18-97E9-6EBAA9131A36}</author>
    <author>tc={A9649F5A-B013-4DB4-BAFA-543B1ADA7948}</author>
    <author>tc={B6740CBF-4479-4DA5-97E7-7BA37892E50F}</author>
    <author>tc={C1961926-CEB3-4D30-98C3-5841D5BEE943}</author>
    <author>tc={AE235D4D-2A2F-40A3-9714-C96B7245D636}</author>
  </authors>
  <commentList>
    <comment ref="C5" authorId="0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Férias até 05/01 - Considerado assim 25 dias</t>
        </r>
      </text>
    </comment>
    <comment ref="C7" authorId="1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Admitido em 15/01 - Considerado 15 dias</t>
        </r>
      </text>
    </comment>
    <comment ref="C16" authorId="2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Desligada em 27/01 - Considerado 27 dias</t>
        </r>
      </text>
    </comment>
    <comment ref="C17" authorId="3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Demitido em 08/01</t>
        </r>
      </text>
    </comment>
    <comment ref="C41" authorId="4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KM devido a Apoio ao Direta</t>
        </r>
      </text>
    </comment>
    <comment ref="C42" authorId="5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Envio uniformes SC</t>
        </r>
      </text>
    </comment>
  </commentList>
</comments>
</file>

<file path=xl/comments2.xml><?xml version="1.0" encoding="utf-8"?>
<comments xmlns="http://schemas.openxmlformats.org/spreadsheetml/2006/main">
  <authors>
    <author>tc={12A6F6AF-1F8E-4B4B-A71A-E1CCD3543270}</author>
    <author>tc={2CA0245F-3416-4546-9E4F-05BC318BC0F3}</author>
    <author>tc={128B9A33-C959-4F8A-9D63-5358E43E731B}</author>
    <author>tc={D56244BB-7006-480A-B951-C2BF59A205CA}</author>
    <author>tc={3FC0ADBB-5731-4869-82E6-0C06B7D44B33}</author>
    <author>tc={C5EE05CE-0D8D-4D68-9A6B-574BE1C0AF72}</author>
    <author>tc={F3805114-F96F-4139-897C-594DF70DF6B5}</author>
    <author>tc={13386D89-EA1A-45B1-8E65-1989C331B577}</author>
    <author>tc={155F9753-5A23-417F-B949-7994CB77362B}</author>
    <author>tc={C5F7FCA1-B126-4F81-9E54-D7F4A1A9C4A4}</author>
  </authors>
  <commentList>
    <comment ref="K2" authorId="0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Adicionar manualmente os dados</t>
        </r>
      </text>
    </comment>
    <comment ref="K18" authorId="1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Adicionar manualmente os dados</t>
        </r>
      </text>
    </comment>
    <comment ref="K36" authorId="2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Adicionar manualmente os dados</t>
        </r>
      </text>
    </comment>
    <comment ref="K54" authorId="3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Adicionar manualmente os dados</t>
        </r>
      </text>
    </comment>
    <comment ref="K71" authorId="4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Adicionar manualmente os dados</t>
        </r>
      </text>
    </comment>
    <comment ref="K87" authorId="5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Adicionar manualmente os dados</t>
        </r>
      </text>
    </comment>
    <comment ref="K104" authorId="6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Adicionar manualmente os dados</t>
        </r>
      </text>
    </comment>
    <comment ref="K142" authorId="7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Adicionar manualmente os dados</t>
        </r>
      </text>
    </comment>
    <comment ref="K162" authorId="8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Adicionar manualmente os dados</t>
        </r>
      </text>
    </comment>
    <comment ref="K202" authorId="9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Adicionar manualmente os dados</t>
        </r>
      </text>
    </comment>
  </commentList>
</comments>
</file>

<file path=xl/connections.xml><?xml version="1.0" encoding="utf-8"?>
<connections xmlns="http://schemas.openxmlformats.org/spreadsheetml/2006/main">
  <connection id="1" keepAlive="1" name="Consulta - Form_Responses1" description="Conexão com a consulta 'Form_Responses1' na pasta de trabalho." type="5" refreshedVersion="8" background="1" saveData="1">
    <dbPr connection="Provider=Microsoft.Mashup.OleDb.1;Data Source=$Workbook$;Location=Form_Responses1;Extended Properties=&quot;&quot;" command="SELECT * FROM [Form_Responses1]"/>
  </connection>
</connections>
</file>

<file path=xl/sharedStrings.xml><?xml version="1.0" encoding="utf-8"?>
<sst xmlns="http://schemas.openxmlformats.org/spreadsheetml/2006/main" count="5353" uniqueCount="2100">
  <si>
    <t>Nome</t>
  </si>
  <si>
    <t>Matricula</t>
  </si>
  <si>
    <t>Valor KM</t>
  </si>
  <si>
    <t>Pedagio</t>
  </si>
  <si>
    <t>Estacionamento</t>
  </si>
  <si>
    <t>Diversas</t>
  </si>
  <si>
    <t>Hotel</t>
  </si>
  <si>
    <t>Carimbo de data/hora</t>
  </si>
  <si>
    <t>Endereço de e-mail</t>
  </si>
  <si>
    <t>Selecione o Usuário</t>
  </si>
  <si>
    <t>Informe a placa do veículo</t>
  </si>
  <si>
    <t>Informe a data</t>
  </si>
  <si>
    <t>Informe o KM inicial do dia</t>
  </si>
  <si>
    <t>Insira a foto do hodômetro inicial</t>
  </si>
  <si>
    <t>Informe o KM final do dia</t>
  </si>
  <si>
    <t>Insira a foto do hodômetro final</t>
  </si>
  <si>
    <t>Caso tenha rodado particular alguma parte do trajeto, informe o total de KM a ser deduzido.</t>
  </si>
  <si>
    <t>Possui despesas a serem lançadas</t>
  </si>
  <si>
    <t>Pedágio</t>
  </si>
  <si>
    <t>Insira as fotos dos recibos de pedágio</t>
  </si>
  <si>
    <t>Insira as fotos dos recibos de estacionamento</t>
  </si>
  <si>
    <t>Despesas Diversas 
(Jantar em viagem, Impressões, Etc)</t>
  </si>
  <si>
    <t>Insira as fotos das notas de outras despesas</t>
  </si>
  <si>
    <t>Hospedagem</t>
  </si>
  <si>
    <t>ANDERSON MICHALSKI FERREIRA</t>
  </si>
  <si>
    <t>KM Rodado</t>
  </si>
  <si>
    <t>Pedágio $</t>
  </si>
  <si>
    <t>Estacionamento $</t>
  </si>
  <si>
    <t>Diversas $</t>
  </si>
  <si>
    <t>Hospedagem $</t>
  </si>
  <si>
    <t>LUCAS FELIPE FARIAS DE LIMA</t>
  </si>
  <si>
    <t>Total Geral</t>
  </si>
  <si>
    <t xml:space="preserve"> Valor KM</t>
  </si>
  <si>
    <t xml:space="preserve"> Pedágio $</t>
  </si>
  <si>
    <t xml:space="preserve"> Diversas $</t>
  </si>
  <si>
    <t xml:space="preserve"> Estacionamento $</t>
  </si>
  <si>
    <t xml:space="preserve"> Hospedagem $</t>
  </si>
  <si>
    <t xml:space="preserve"> Valor reembolsavel</t>
  </si>
  <si>
    <t>NIVIA DE MELO PIORNEDO</t>
  </si>
  <si>
    <t>FABRICIO DAMM ROSA</t>
  </si>
  <si>
    <t>CAROLINA SANTOS SCHWAMBACH</t>
  </si>
  <si>
    <t>BRUNO REGGIORI ESCOBAR</t>
  </si>
  <si>
    <t>TATIANA RIGHI DA FONSECA</t>
  </si>
  <si>
    <t>LEANDRO ROBERTO SILVEIRA</t>
  </si>
  <si>
    <t>GEOVANA DUARTE FARIAS</t>
  </si>
  <si>
    <t>DESYREE YASMIN GAULKE KLEBBER</t>
  </si>
  <si>
    <t>MZ-327676</t>
  </si>
  <si>
    <t>MZ-326274</t>
  </si>
  <si>
    <t>MZ-329693</t>
  </si>
  <si>
    <t>MZ-328805</t>
  </si>
  <si>
    <t>MZ-327723</t>
  </si>
  <si>
    <t>MZ-326794</t>
  </si>
  <si>
    <t>MZ-326305</t>
  </si>
  <si>
    <t>MZ-329003</t>
  </si>
  <si>
    <t>MZ-325697</t>
  </si>
  <si>
    <t>MZ-324928</t>
  </si>
  <si>
    <t>Mês</t>
  </si>
  <si>
    <t>Quinzena</t>
  </si>
  <si>
    <t>Realizado</t>
  </si>
  <si>
    <t>Meu orçamento</t>
  </si>
  <si>
    <t>Não</t>
  </si>
  <si>
    <t>Sim</t>
  </si>
  <si>
    <t>Vaga aberta Cascavel</t>
  </si>
  <si>
    <t>Valor disponivel</t>
  </si>
  <si>
    <t>Valor a depositar</t>
  </si>
  <si>
    <t>TT Reembolsavel</t>
  </si>
  <si>
    <t>Não precisa reembolso</t>
  </si>
  <si>
    <t xml:space="preserve"> TT Gasto</t>
  </si>
  <si>
    <t>NOTA: após confirmação de pagamento copiar a tabela abaixo como valores na aba histórico</t>
  </si>
  <si>
    <t>18.00</t>
  </si>
  <si>
    <t>SM</t>
  </si>
  <si>
    <t>Filtro mês dia</t>
  </si>
  <si>
    <t>TOTAL GASTO</t>
  </si>
  <si>
    <t>SALDO</t>
  </si>
  <si>
    <t>1ª Quinzena FEVEREIRO</t>
  </si>
  <si>
    <t>Adiantamento</t>
  </si>
  <si>
    <t>TODOS POSSUEM UM ADIANTAMENTO INICIAL DE 500,00 QUE SÓ SERÁ FINALIZADO QUANDO TIVER DESLIGAMENTO</t>
  </si>
  <si>
    <t>TT ORÇAMENTO</t>
  </si>
  <si>
    <t xml:space="preserve"> Data</t>
  </si>
  <si>
    <t xml:space="preserve">KM inicial </t>
  </si>
  <si>
    <t xml:space="preserve">KM final </t>
  </si>
  <si>
    <t>ELAINE CRISTINA CALBAL</t>
  </si>
  <si>
    <t>CARLOS EDUARDO FONTOURA PROENCA</t>
  </si>
  <si>
    <t>MZ-328852</t>
  </si>
  <si>
    <t>MZ-328353</t>
  </si>
  <si>
    <t>Vaga aberta PR SUL</t>
  </si>
  <si>
    <t>2ª Quinzena FEVEREIRO</t>
  </si>
  <si>
    <t>C.Custo</t>
  </si>
  <si>
    <t>LUCAS AZEREDO DA SILVA</t>
  </si>
  <si>
    <t>MZ-331244</t>
  </si>
  <si>
    <t>Adiantamento / Saldo</t>
  </si>
  <si>
    <t>1ª Quinzena MARÇO</t>
  </si>
  <si>
    <t>JULIANA PEREIRA</t>
  </si>
  <si>
    <t>2ª Quinzena MARÇO</t>
  </si>
  <si>
    <t>1ª Quinzena ABRIL</t>
  </si>
  <si>
    <t>330 saldo primeira quinzena</t>
  </si>
  <si>
    <t>Adiantamento ida Pato Branco</t>
  </si>
  <si>
    <t>envio uniformes RS</t>
  </si>
  <si>
    <t>2ª Quinzena ABRIL</t>
  </si>
  <si>
    <t>ROBERTA ARLECY SANTOS DO AMARAL</t>
  </si>
  <si>
    <t>MZ-331795</t>
  </si>
  <si>
    <t>TIAGO MARTINS MELO</t>
  </si>
  <si>
    <t>MZ-331358</t>
  </si>
  <si>
    <t>MZ-331282</t>
  </si>
  <si>
    <t>FUNÇÃO</t>
  </si>
  <si>
    <t>Supervisor</t>
  </si>
  <si>
    <t>Coordenador</t>
  </si>
  <si>
    <t>TST</t>
  </si>
  <si>
    <t>Hotel*</t>
  </si>
  <si>
    <t>*Não precisa reembolso</t>
  </si>
  <si>
    <t>1ª Quinzena MAIO</t>
  </si>
  <si>
    <t>Função</t>
  </si>
  <si>
    <t>ENVIO EPI</t>
  </si>
  <si>
    <t>Obs</t>
  </si>
  <si>
    <t>Coffe reunião presencial</t>
  </si>
  <si>
    <t>VIAGEM Pelotas</t>
  </si>
  <si>
    <t>2ª Quinzena MAIO</t>
  </si>
  <si>
    <t>RUI CARLOS MARIANO</t>
  </si>
  <si>
    <t>MZ-332000</t>
  </si>
  <si>
    <t>1ª Quinzena JUNHO</t>
  </si>
  <si>
    <t>2ª Quinzena JUNHO</t>
  </si>
  <si>
    <t>ADIANTAMENTO VIAGEM</t>
  </si>
  <si>
    <t>JOYCE POIANI</t>
  </si>
  <si>
    <t>Coordenadora</t>
  </si>
  <si>
    <t>já enviado para reembolso</t>
  </si>
  <si>
    <t>1ª Quinzena JULHO</t>
  </si>
  <si>
    <t>Viagem a Pato Branco</t>
  </si>
  <si>
    <t>2ª Quinzena JULHO</t>
  </si>
  <si>
    <t>11.40</t>
  </si>
  <si>
    <t>Caso possua alguma observação sobre as despesas favor informar</t>
  </si>
  <si>
    <t>Quais lojas você visitou?</t>
  </si>
  <si>
    <t>camila.althoff@mazzini.com.br</t>
  </si>
  <si>
    <t>CAMILA CRISTINE ALTHOFF</t>
  </si>
  <si>
    <t>Mlz4j72</t>
  </si>
  <si>
    <t>GUSTAVO MATHEUS DE OLIVEIRA</t>
  </si>
  <si>
    <t>SUELEN DOS SANTOS AZEVEDO</t>
  </si>
  <si>
    <t>RICARDO ALEXANDRE LOMBARDI</t>
  </si>
  <si>
    <t>vinicioskerber@gmail.com</t>
  </si>
  <si>
    <t>MHO9G63</t>
  </si>
  <si>
    <t>VINICIUS ROBERTO KERBER</t>
  </si>
  <si>
    <t>sabrina.pires@mazzini.com.br</t>
  </si>
  <si>
    <t>SABRINA DOS SANTOS PIRES</t>
  </si>
  <si>
    <t>AZC9E32</t>
  </si>
  <si>
    <t>MZ-322052</t>
  </si>
  <si>
    <t>MZ-332404</t>
  </si>
  <si>
    <t>MZ-332790</t>
  </si>
  <si>
    <t>DEZEMBRO</t>
  </si>
  <si>
    <t>https://drive.google.com/open?id=1UavfH0mE7m_A6j4phdWhnux6CiTCGnX_</t>
  </si>
  <si>
    <t>https://drive.google.com/open?id=1vNdIFFWbay4r8_xDZC5GHaqwts-29CFf</t>
  </si>
  <si>
    <t>Fort 130 
Brasil atacadista 
Fort campeche</t>
  </si>
  <si>
    <t>https://drive.google.com/open?id=18j1kKdkPpHMRosNYZAJHGmUmZ-en4RmC</t>
  </si>
  <si>
    <t>https://drive.google.com/open?id=1ckMfdiuOwMXCAWy01Fz4SQZ-dlyZfvN2</t>
  </si>
  <si>
    <t>Fort 365, Fort jardim atlântico, Zeus brasil</t>
  </si>
  <si>
    <t>https://drive.google.com/open?id=1nu8DrNJy1dUm1K66c3HCTZe6fGl2tLQW</t>
  </si>
  <si>
    <t>https://drive.google.com/open?id=1jlVjfylpz2NIezjqJHpoirEvIE-GUOYy</t>
  </si>
  <si>
    <t>Carrefour, Fort campeche, hiperbom</t>
  </si>
  <si>
    <t>https://drive.google.com/open?id=1KRpYPCL0Bg4ZUqDw96dC0T4966CaXL56</t>
  </si>
  <si>
    <t>https://drive.google.com/open?id=1N8h61bOZYLyYe638o3_mvWAkZ1VW-npk</t>
  </si>
  <si>
    <t>https://drive.google.com/open?id=1hVkqxc8cgkNRDt8iM6-MzIDN2mEP77Ny</t>
  </si>
  <si>
    <t>Pegar cestas no Gustavo , Komprao água verde</t>
  </si>
  <si>
    <t>https://drive.google.com/open?id=1Guh61Oyl3HFOTcLNSGv0mQH4V4J9ebRH</t>
  </si>
  <si>
    <t>https://drive.google.com/open?id=1qYI936hO5BKGjC-5APmVsr8w2BOKfpwu</t>
  </si>
  <si>
    <t>https://drive.google.com/open?id=1vS2ku8_7ioiRf7PO1ekIz9WeuBJZhzQ6</t>
  </si>
  <si>
    <t>Cooper Garcia, cooper Glória</t>
  </si>
  <si>
    <t>https://drive.google.com/open?id=1kgu6lQ88Apv7GUU-4P17QGOmrAYG9kED</t>
  </si>
  <si>
    <t>https://drive.google.com/open?id=1l7XIxsTEwJX90j8_8ePvLYLoXg12_AM5</t>
  </si>
  <si>
    <t>Komprao 40, top 104, Cooper Omino, super A</t>
  </si>
  <si>
    <t>JANEIRO</t>
  </si>
  <si>
    <t>sabrina.pires@mazzi.com.br</t>
  </si>
  <si>
    <t>Azc9e32</t>
  </si>
  <si>
    <t>https://drive.google.com/open?id=1w8M7KRWc8d4SWhuRpo7t2gcKbbEX8u2Q</t>
  </si>
  <si>
    <t>https://drive.google.com/open?id=1GU8YE6ECr8FFpdYMIRO0m10_rAk_g2Tk</t>
  </si>
  <si>
    <t>Komprao Tijucas 
Komprao Tijucas 
Fort 290
Fort 365
Komprao avenida das torres</t>
  </si>
  <si>
    <t>https://drive.google.com/open?id=1uzoPl2u_v3TRDwT7CiimpjRgjU6IF71D</t>
  </si>
  <si>
    <t>https://drive.google.com/open?id=13VL6tqGt62MStI6lcmKByqH6oj5p-j_C</t>
  </si>
  <si>
    <t>Bistek costeira, brasil atacadista rio Tavares</t>
  </si>
  <si>
    <t>lombardi2025@gmail.com</t>
  </si>
  <si>
    <t>OWA4C07</t>
  </si>
  <si>
    <t>https://drive.google.com/open?id=1xZ5kqU8hTlxlUIG4gcOqyO9CYGa27za2</t>
  </si>
  <si>
    <t>https://drive.google.com/open?id=1vloXVEfCOLF22v-lv7GwtqsWtcfbl8u2</t>
  </si>
  <si>
    <t>Komprao 77, komprao 45, imperatriz,komprao 59</t>
  </si>
  <si>
    <t>https://drive.google.com/open?id=13Tk9wQ7CNu2Qz1Rl5J8AHAdp9iX6VT7S</t>
  </si>
  <si>
    <t>https://drive.google.com/open?id=1O4RuK3ZypLPzwDU6-2s90egzCtDsvh84</t>
  </si>
  <si>
    <t>Komprao 50,Fort Tuiuti,condor comasa,Fort 405,brasil atacadista,bistek</t>
  </si>
  <si>
    <t>https://drive.google.com/open?id=1AXvwZRv892_hprYewYcHXx84QHYr1qH7</t>
  </si>
  <si>
    <t>https://drive.google.com/open?id=1Q1_kRkJ2sX-7oQ3DBRYM7fdiwltKBH1h</t>
  </si>
  <si>
    <t>Blumenau buscar cestas</t>
  </si>
  <si>
    <t>https://drive.google.com/open?id=1EYJ6QRpiYfbCGFKOqjwbU3b0LUP7Webn</t>
  </si>
  <si>
    <t>https://drive.google.com/open?id=1Pv7PHyKh379ZcICWKER-DUXXweGmaEWk</t>
  </si>
  <si>
    <t>Fort 250,sams club,Fort 905, komprao 51,condor 51,angeloni23, Angeloni 22</t>
  </si>
  <si>
    <t>sussuazevedo.com@icloud.com</t>
  </si>
  <si>
    <t>MFW6D17</t>
  </si>
  <si>
    <t>https://drive.google.com/open?id=1KYNmN07uoNR2n42B3FXEHGxaV6cLYPEG</t>
  </si>
  <si>
    <t>https://drive.google.com/open?id=1m19T-228b0cuj3S9Zr2krHBB_ogorrGk</t>
  </si>
  <si>
    <t>Carrefour, Koch floripa, Komprão 55</t>
  </si>
  <si>
    <t>https://drive.google.com/open?id=1omA_eXctjnr4WwIoiJtXIzC1BToGua8d</t>
  </si>
  <si>
    <t>https://drive.google.com/open?id=1WYlS12BXIZAs5iNxNA-PkcV2_4ZI0Q3G</t>
  </si>
  <si>
    <t>Fui ao Komprão 18 e ao Koch 4</t>
  </si>
  <si>
    <t>Mfw6d17</t>
  </si>
  <si>
    <t>https://drive.google.com/open?id=1Lv9VwLe1pEbpf4veXfmkoHMXj5Nu63RI</t>
  </si>
  <si>
    <t>https://drive.google.com/open?id=1W_7KRYLgBEOvssy_t9Lq6wwpjmmZCYL8</t>
  </si>
  <si>
    <t>Komprão 37 Komprão 15 Koch 7 koch41</t>
  </si>
  <si>
    <t>https://drive.google.com/open?id=1nww-76sgilmMbg5PKFBpw5eOqVVpxeNJ</t>
  </si>
  <si>
    <t>https://drive.google.com/open?id=1aTeS1MXlIxnPeY_JKJTZMKpOA4IJmmOD</t>
  </si>
  <si>
    <t>For 825, koch8 Komprão 38 Mesck atacadista</t>
  </si>
  <si>
    <t>https://drive.google.com/open?id=1PD2xpvm1rXxZHPud1C3wTfxyW1LZ6IfH</t>
  </si>
  <si>
    <t>https://drive.google.com/open?id=12ra3N6T7q3FTSitBav3bT5myvEQJn6EA</t>
  </si>
  <si>
    <t>Fort 810, Fort 210 recolha de EPI Everton</t>
  </si>
  <si>
    <t>oliiveiiraa7@gmail.com</t>
  </si>
  <si>
    <t>EUF3090</t>
  </si>
  <si>
    <t>https://drive.google.com/open?id=1-0BhC6YDZNaDTaBYS-i_TdgNBmUCwkLh</t>
  </si>
  <si>
    <t>https://drive.google.com/open?id=1eTlOZEu-_eFXyU2Z6kWjIh1j53F8YX66</t>
  </si>
  <si>
    <t>Deslocamento Fort Chapeco</t>
  </si>
  <si>
    <t>219.94</t>
  </si>
  <si>
    <t>michalski.ep@gmail.com</t>
  </si>
  <si>
    <t>BCS7I80</t>
  </si>
  <si>
    <t>https://drive.google.com/open?id=1pY4X-HNwcWapgYXMxlW2TZSFjG7D-bFY</t>
  </si>
  <si>
    <t>https://drive.google.com/open?id=1zat7qCqFXVcvF9Vql4O6T1qr74Nv5U06</t>
  </si>
  <si>
    <t>ENVIO UNIFORMES</t>
  </si>
  <si>
    <t>179.49</t>
  </si>
  <si>
    <t>https://drive.google.com/open?id=14UEk1IkpAGmVOjXL4tfliK5-_9GinfaW</t>
  </si>
  <si>
    <t>Envio de Uniformes</t>
  </si>
  <si>
    <t>azc9e32</t>
  </si>
  <si>
    <t>https://drive.google.com/open?id=1lmqkqJRGldxk0YxFfRrgFuSTY3Ktp8AU</t>
  </si>
  <si>
    <t>https://drive.google.com/open?id=1_80jiqas8NG0LqhrPML0Aggj06tdFzCj</t>
  </si>
  <si>
    <t>Fort biguaçu 
Komprao não viver 
Fort barreiros
Fort São José 
Komprao forquilhas 
Komprao ponte do imaruim</t>
  </si>
  <si>
    <t>desyree.gaulke@mazzini.com.br</t>
  </si>
  <si>
    <t>Desyree Yasmin Gaulke Klebber</t>
  </si>
  <si>
    <t>QIL7H04</t>
  </si>
  <si>
    <t>https://drive.google.com/open?id=1nz6okC6pw3Hytv7RaIvWfyGnNfWJOTzr</t>
  </si>
  <si>
    <t>https://drive.google.com/open?id=1RZEvaf1DkVshquScw34MBQcU0dyx3zhX</t>
  </si>
  <si>
    <t>BR ATACADISTA RIO DO SUL, FORT 255, COOPER IBIRAMA, COOPER RODEIO, MOCAM 403</t>
  </si>
  <si>
    <t>https://drive.google.com/open?id=16FEsnAg4spPtqAvXuKezJfoX9qMUTrxh</t>
  </si>
  <si>
    <t>https://drive.google.com/open?id=16dO2AfLsy6iNzerGw4qIUYD3XtSLz_uj</t>
  </si>
  <si>
    <t>Fort Chapeco, Atacadao avenida senador, Atacadao Chapecó e deslocamento</t>
  </si>
  <si>
    <t>https://drive.google.com/open?id=11IodFoCASvGaTdCmPaFQav7G8cFHYRiO</t>
  </si>
  <si>
    <t>https://drive.google.com/open?id=1up7n9UC13aQd1uK_4ItlyH7EBGOPv3Tq</t>
  </si>
  <si>
    <t>Komprao 51,brasil atacadista,condor comasa,casa Leandro,Fort Tuiuti,komprao 45,Fort 405,fort 905, komprao 50,Fort 250</t>
  </si>
  <si>
    <t>https://drive.google.com/open?id=16bd2a0wg_uF7OIU-LmS20gupyXxpzxIU</t>
  </si>
  <si>
    <t>https://drive.google.com/open?id=1tNU22_rmd6TpdcXyoKtNGmjrsJ-Clovg</t>
  </si>
  <si>
    <t>Angeloni beira mar, atacadão via expressa, Angeloni capoeiras, Fort jardim atlântico</t>
  </si>
  <si>
    <t>https://drive.google.com/open?id=101YYzxtGhhUZ9p_cFBoQcP8EThwSx9GX</t>
  </si>
  <si>
    <t>https://drive.google.com/open?id=12e1B5poMUOhkR8Ws6y2_UnsnzhxKEoGS</t>
  </si>
  <si>
    <t>central 101, brasil atacadista, bisteck park europeu e central 103</t>
  </si>
  <si>
    <t>https://drive.google.com/open?id=1u7-tiIgVHFBB-dnS3fN077IvI7wRDsav</t>
  </si>
  <si>
    <t>https://drive.google.com/open?id=1kjVJQKGP8CE_wSOOrJ3byhnLPdPhMi3S</t>
  </si>
  <si>
    <t>Komprao pedra branca 
Fort 130 
Fort kobrasol 
Fort biguaçu 
Komprao forquilhas</t>
  </si>
  <si>
    <t>https://drive.google.com/open?id=1HtVmdAdVtxxwySruCnc5U9ynTf37Nim3</t>
  </si>
  <si>
    <t>https://drive.google.com/open?id=1qAppb28zIO0xulaZKQeSzkNaZ3Kbu7yS</t>
  </si>
  <si>
    <t>Zeus brasil, imperatriz Lagoa, Fort campeche</t>
  </si>
  <si>
    <t>MATHEUS DA SILVA MORAES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</si>
  <si>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</si>
  <si>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</si>
  <si>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</si>
  <si>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</si>
  <si>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</si>
  <si>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</si>
  <si>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</si>
  <si>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</si>
  <si>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</si>
  <si>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</si>
  <si>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GUSTAVO MATHEUS DE OLIVEIRA Total</t>
  </si>
  <si>
    <t>SAIDDA KAULE ABDALA</t>
  </si>
  <si>
    <t>Valor máximo</t>
  </si>
  <si>
    <t>Dias</t>
  </si>
  <si>
    <t>TT planejado</t>
  </si>
  <si>
    <t>MZ-333609</t>
  </si>
  <si>
    <t>MZ-333502</t>
  </si>
  <si>
    <t>suelen.azevedo@mazzini.com.br</t>
  </si>
  <si>
    <t>Mfw6D17</t>
  </si>
  <si>
    <t>https://drive.google.com/open?id=1ilqg8CyOvxRY6w9pWkwxvgP4QbgbeQua</t>
  </si>
  <si>
    <t>https://drive.google.com/open?id=1Xwh5s0I9SNmtUAS_XuxJyxhOPUmUXXpB</t>
  </si>
  <si>
    <t>Fui na loja 9 loja 82 loja 4</t>
  </si>
  <si>
    <t>https://drive.google.com/open?id=1401-bPasXzKWnHL16uoAMKuHzbbHBrth</t>
  </si>
  <si>
    <t>https://drive.google.com/open?id=1qgfZWCYwxANbzSC53-QTKV1hcgVhP-eK</t>
  </si>
  <si>
    <t>Angeloni beira mar, Fort vargem, kock 47</t>
  </si>
  <si>
    <t>https://drive.google.com/open?id=1ouE6eSrVHXymBJFB_k3BeJ9XFnm1ToRH</t>
  </si>
  <si>
    <t>https://drive.google.com/open?id=1DC_zfbetQ_HfThKiu77mnGRCgZQkHqC-</t>
  </si>
  <si>
    <t>Komprao 51, brasil atacadista,condor comasa,Fort Tuiuti, imperatriz</t>
  </si>
  <si>
    <t>https://drive.google.com/open?id=1CYQPkWFYvecmB4mIn870d1AKLnWcWYAI</t>
  </si>
  <si>
    <t>https://drive.google.com/open?id=1bnNTMZXa9N3v67XExcmHDFQDoaiT2nUF</t>
  </si>
  <si>
    <t>Cooper vila nova Jaraguá,condor Jaraguá,cooper centro,Angeloni 10</t>
  </si>
  <si>
    <t>https://drive.google.com/open?id=1ODiTtJTYKTRkzrxjvjVAobRZPJVTsUDp</t>
  </si>
  <si>
    <t>https://drive.google.com/open?id=17jc_Ct1nN_9pLx_646N_M79k5QCqKclX</t>
  </si>
  <si>
    <t>Zeus, unibox velha, Komprão 40, Cooper itoupava norte</t>
  </si>
  <si>
    <t>https://drive.google.com/open?id=1EOKcHF4bd0tJEVAWqag1h2e-6i47OIy8</t>
  </si>
  <si>
    <t>https://drive.google.com/open?id=1tQGr8F2GwsRaqcQGPDPKeu36bYGZGvt6</t>
  </si>
  <si>
    <t>Fort biguaçu 
Komprao bom viver</t>
  </si>
  <si>
    <t>https://drive.google.com/open?id=1IixB5LARqZMJYQq63D0sMw_XFfH2usa9</t>
  </si>
  <si>
    <t>https://drive.google.com/open?id=17wA3nsyrkevLqTeOp0Bas-1dSgJTZ-eD</t>
  </si>
  <si>
    <t>Bistek Blumenau, Bistek shopping europeu, giasse</t>
  </si>
  <si>
    <t>5.70</t>
  </si>
  <si>
    <t>https://drive.google.com/open?id=1BcXY8QKVuZEeSyybJnnr-qVmsRu9EkKV</t>
  </si>
  <si>
    <t>36.00</t>
  </si>
  <si>
    <t>https://drive.google.com/open?id=17wFRESNwuUZfQVtOEITOhQWIbwhfCZAR</t>
  </si>
  <si>
    <t>https://drive.google.com/open?id=1dtTPcLJLdvwZV8UYfen8RnlI6DfbvjFE</t>
  </si>
  <si>
    <t>https://drive.google.com/open?id=1FM-Iaewk2j_THY0pzZLQW2xSB78KLKpQ</t>
  </si>
  <si>
    <t>Atacado Blumenau, Super A, Bisteck garcia, Bisteck park europeu e Giassi</t>
  </si>
  <si>
    <t>16.20</t>
  </si>
  <si>
    <t>https://drive.google.com/open?id=1uRzDEYGMBMGEmtYGFVzijBJzs0XVkuQU</t>
  </si>
  <si>
    <t>matheus.moraes@mazzini.com.br</t>
  </si>
  <si>
    <t>LCX1B11</t>
  </si>
  <si>
    <t>https://drive.google.com/open?id=12FDq6hZP4T6WCKiV0LyKjxynfT_HzV3w</t>
  </si>
  <si>
    <t>https://drive.google.com/open?id=1JoZNoA-2p_OUB3AiGIHjvYAPzMCB1xY2</t>
  </si>
  <si>
    <t>Fort Indaial, Komprao Indaial</t>
  </si>
  <si>
    <t>https://drive.google.com/open?id=1wNE0V2_Dt8sbFDJ33t_fOoujQFfkhrKO</t>
  </si>
  <si>
    <t>https://drive.google.com/open?id=1RDPhnao_LiL9yXpeH5PnloPxuL8_2RYu</t>
  </si>
  <si>
    <t>Hotel Blumenau, casa</t>
  </si>
  <si>
    <t>https://drive.google.com/open?id=11MFU9nQtn94uwTv1qEDKfUnZ6hQ5vNaA</t>
  </si>
  <si>
    <t>https://drive.google.com/open?id=18ZTL7TwuiV_pNfJ8OfapuQW3VpPvsBhN</t>
  </si>
  <si>
    <t>221.45</t>
  </si>
  <si>
    <t>https://drive.google.com/open?id=1HWp5cUN2ckfvU-Z25ATf-aHYKkV2dT8x</t>
  </si>
  <si>
    <t>https://drive.google.com/open?id=1kmuv7e1lImkB6vWW7JWkOvINP-Ff9ZgJ</t>
  </si>
  <si>
    <t>Brasil Atacadista, S5 Unibox, Komprao40 Agua Verde, Cooper Garcia Florianopolis Sc, Gtop Escola Agricola 20</t>
  </si>
  <si>
    <t>https://drive.google.com/open?id=17kiP2PnKa0h85Wn3hEvNkB-HKHZOXSpm</t>
  </si>
  <si>
    <t>https://drive.google.com/open?id=1Aq5r-yiyrz9JsRn2Krqxyolr6XtMGKZP</t>
  </si>
  <si>
    <t>Carrefour, Brasil Atacadista Rio Tavares</t>
  </si>
  <si>
    <t>20.00</t>
  </si>
  <si>
    <t>https://drive.google.com/open?id=1ZqGpgSQQlOlNggkAcumH-WSKRsX6mifT</t>
  </si>
  <si>
    <t>https://drive.google.com/open?id=1Todrej8TjIj_vrgtnGvNl8ojzjOXGxOs</t>
  </si>
  <si>
    <t>https://drive.google.com/open?id=1zNTkIIzA0EGeZp6GPKyEABlXjNLSvfh7</t>
  </si>
  <si>
    <t>Sams, Fort jardim atlântico, imperatriz coqueiros</t>
  </si>
  <si>
    <t>https://drive.google.com/open?id=1bLSoBfQUXz-MQZ9reu6YBDvu9pFDYJbf</t>
  </si>
  <si>
    <t>https://drive.google.com/open?id=1Jjy-4yWTFWpC_tFvaonRhtVHB0MdoCel</t>
  </si>
  <si>
    <t>Supermercados Central 104, Komprao36 Brusque Guarani, Fort Brusque</t>
  </si>
  <si>
    <t>9.00</t>
  </si>
  <si>
    <t>https://drive.google.com/open?id=1NmurPePapOdfIZSLkJ07Lhvwg7fPcftb</t>
  </si>
  <si>
    <t>Crachá de supervisor</t>
  </si>
  <si>
    <t>sabrina.pires@mazzini.vom.br</t>
  </si>
  <si>
    <t>https://drive.google.com/open?id=198YgsxkVElI5kvBFFKMbW1FScNZG9U0w</t>
  </si>
  <si>
    <t>https://drive.google.com/open?id=1349vFrcsP6nLXZxcMNVgRSHZmuEjmOMx</t>
  </si>
  <si>
    <t>Fort atacadista 
Komprao forquilhas</t>
  </si>
  <si>
    <t>Azc9E32</t>
  </si>
  <si>
    <t>https://drive.google.com/open?id=1840PHBhKeWRx1ByapMfvfObqGKcv43r5</t>
  </si>
  <si>
    <t>https://drive.google.com/open?id=1F8JCua_RiNqCLINcFTk3iUTJSsYzVYFj</t>
  </si>
  <si>
    <t xml:space="preserve">Fort atacadista
Brasil atacadista 
Komprao 
Komprao 
Fort
</t>
  </si>
  <si>
    <t>https://drive.google.com/open?id=1p3AgKlCEHpAmKgeaB6e9JCsRHNukQpJz</t>
  </si>
  <si>
    <t>https://drive.google.com/open?id=1OpxKZbx-Frq0o-_JdHRTs4ln0zV1NdLy</t>
  </si>
  <si>
    <t>Komprao 50,Ervino busca de material</t>
  </si>
  <si>
    <t>https://drive.google.com/open?id=16ZbJiqGNFJbYGpgZwneW9Vwp7R1Nllce</t>
  </si>
  <si>
    <t>https://drive.google.com/open?id=1mqn3uWVohBSmOb3IrjGd33Q8PhbH-fHu</t>
  </si>
  <si>
    <t>Brasília rua tupi,komprao 51, Brasília</t>
  </si>
  <si>
    <t>https://drive.google.com/open?id=1qjrq6I3g_2UkqJYgb_xBrXn94rcHzYxw</t>
  </si>
  <si>
    <t>https://drive.google.com/open?id=1xZBCmfUAVQak-smXin6f_NvLcjMlWUE1</t>
  </si>
  <si>
    <t>Cooper Caçadores, Cooper Gen. Osorio, Cooper Filial Vila N, Gtop Escola Agricola, Komprao36 Brusque Guarani, Fort Brusque</t>
  </si>
  <si>
    <t>https://drive.google.com/open?id=1LNWafjbzmLYh8MCxmeKWSarTtl7QcM17</t>
  </si>
  <si>
    <t>https://drive.google.com/open?id=1sogDqfbeSTJGAXIqBfLPKlyZPNCnLb3W</t>
  </si>
  <si>
    <t>Deslocamento buscar materiais, Brasil atacadista Rio do Sul, Brasil atacadista bairro progresso</t>
  </si>
  <si>
    <t>https://drive.google.com/open?id=1dfV85vO3LuQgkem8jFoWmWmlwBV4G-vz</t>
  </si>
  <si>
    <t>https://drive.google.com/open?id=1tksS1GNjF61GQM9ThJp5AxgcugxW7_Kr</t>
  </si>
  <si>
    <t>Todas de camboriu</t>
  </si>
  <si>
    <t>https://drive.google.com/open?id=1AB714jGoFQ9D2xYBDJKEWHTMFkhZlskc</t>
  </si>
  <si>
    <t>https://drive.google.com/open?id=12lrURgqqun8GI-0i7KBwlfd4xncxDVtE</t>
  </si>
  <si>
    <t>Itajai e camboriu</t>
  </si>
  <si>
    <t>https://drive.google.com/open?id=1gh1UKg0iTDnBw6eGkoKfb3QGv8lHhrZb</t>
  </si>
  <si>
    <t>https://drive.google.com/open?id=1QqW6izTO_FHKmThCMp2h5uYpGy6mYZ7b</t>
  </si>
  <si>
    <t>Komprao Laguna, Fort tubarão, combo içara</t>
  </si>
  <si>
    <t>10.50</t>
  </si>
  <si>
    <t>https://drive.google.com/open?id=1hA8a5eBR_el2CfQkp2V0hDyfRdOFs-z3</t>
  </si>
  <si>
    <t>10.00</t>
  </si>
  <si>
    <t>https://drive.google.com/open?id=1pqJ0-Or0-2ofKQ1VgoLipizSuU2DltoX</t>
  </si>
  <si>
    <t>35.00</t>
  </si>
  <si>
    <t>Não tem nota da janta pois a loja se recusou a enviar a nota pelo motoboy</t>
  </si>
  <si>
    <t>https://drive.google.com/open?id=1DCr--91rTOaEQet1tw6ys1dFcLq6PaMJ</t>
  </si>
  <si>
    <t>https://drive.google.com/open?id=1835HA697di9eJrV1p5nY1OzuFhx20-Ne</t>
  </si>
  <si>
    <t>Itapema porto belo</t>
  </si>
  <si>
    <t>matheus.moraes@mazzini.com</t>
  </si>
  <si>
    <t>https://drive.google.com/open?id=1Y7mcRSCv8Fv9hJNRkZM79wteQAAuYNuK</t>
  </si>
  <si>
    <t>https://drive.google.com/open?id=10YwnzQ_7XZSGGrKS71fIjRxt-aO9aNdn</t>
  </si>
  <si>
    <t>Brasil Atacadista 19 Rio do Sul, Recolhimento do Celular Corporativo JACQUELINE BELLI FRANÇA, Komprao Blumenau Loja32</t>
  </si>
  <si>
    <t>https://drive.google.com/open?id=1anr5Cq4aQOeES1Ull2zfbz6T7waT1vVP</t>
  </si>
  <si>
    <t>https://drive.google.com/open?id=1yqfxgzLG2FEnX6R3ILsI3i3w17sLki3U</t>
  </si>
  <si>
    <t>Atacadão içara, komprao Garopaba</t>
  </si>
  <si>
    <t>https://drive.google.com/open?id=1N500xKzKfXhnLnh2dCgGMt7H8pzloGDt</t>
  </si>
  <si>
    <t>oliiveiira7@gmail.com</t>
  </si>
  <si>
    <t>https://drive.google.com/open?id=1ZuHzdcnii6j9MFtNe3oBWp5Ho7m59Ty4</t>
  </si>
  <si>
    <t>https://drive.google.com/open?id=1_xNUV4nKT06l-6q3OiEHgN11cPFC7-xn</t>
  </si>
  <si>
    <t>Super pão Porto União</t>
  </si>
  <si>
    <t>https://drive.google.com/open?id=1j99scv_3Ye_zHldHAF6XB_U24YbYyLOV</t>
  </si>
  <si>
    <t>https://drive.google.com/open?id=1nEe8Nf1RHyeHTK5WMq8c9tQp9wVZz1_Q</t>
  </si>
  <si>
    <t>Atacadao 
Fort atacadista 
Koch 
Fort atacadista</t>
  </si>
  <si>
    <t>https://drive.google.com/open?id=1v1Tq8mDb9t2pVc2uCG5mncb_ulX0Gc9o</t>
  </si>
  <si>
    <t>https://drive.google.com/open?id=1wcE6e9gNH--jkryfCP0OOq0ToXUAX1dx</t>
  </si>
  <si>
    <t>Komprao 
Fort atacadista 
Brasil atacadista</t>
  </si>
  <si>
    <t>https://drive.google.com/open?id=1IC2I3MHVBnWmxz5eP63nUXhA83WBqMQ9</t>
  </si>
  <si>
    <t>https://drive.google.com/open?id=13EXOW0wx_vWs3XWQ-_-Avendxip24kM8</t>
  </si>
  <si>
    <t>Angeloni beira mar, Angeloni capoeiras, Zeus brasil,Bistek são José</t>
  </si>
  <si>
    <t>https://drive.google.com/open?id=1of3pBOPRnS6k45XZan68n1laFLi7nn0Q</t>
  </si>
  <si>
    <t>https://drive.google.com/open?id=1cIrucY7RzrRFmDiwW3tJmFnpMnv28z1l</t>
  </si>
  <si>
    <t>https://drive.google.com/open?id=1Y8zBj4oKcR22ivo3I6xlVnaxp_XtQ9Nh</t>
  </si>
  <si>
    <t>Gtop Escola Agricola 20, Otto Atacarejo 1470, Fort Indaial Lj 270</t>
  </si>
  <si>
    <t>https://drive.google.com/open?id=1D6JgJSX2Kb4TugMA58U_kjlc2z6AEe5v</t>
  </si>
  <si>
    <t>https://drive.google.com/open?id=1pICA8jbru7QoLmScU6UHVOfIQsFAurrU</t>
  </si>
  <si>
    <t>Fort 960 Lages, Stok center Lages, Angeloni Lages, Fort 260 Lages</t>
  </si>
  <si>
    <t>https://drive.google.com/open?id=19AdjbCkQ-rSFdvsbIPtiYvVJ4_LlL84l</t>
  </si>
  <si>
    <t>https://drive.google.com/open?id=1wGyU2QL1P2C702yHAg1Om3avtlM82Vds</t>
  </si>
  <si>
    <t>Brasília rua tupi,komprao 59 Brasília rua tupi,komprao 45.angeloni 23,Fort 905</t>
  </si>
  <si>
    <t>https://drive.google.com/open?id=1irEs3O0ROkOlAY-UFewTdOiAnUxcxe1y</t>
  </si>
  <si>
    <t>https://drive.google.com/open?id=1V7TOKyC_yDCCiHqXd92FPuZlNF1onPD-</t>
  </si>
  <si>
    <t>Condor Mafra, komprao 65,condor rio negrinho,hiper sao bento ,super pão 41, super pão 42,</t>
  </si>
  <si>
    <t>https://drive.google.com/open?id=1jTwIxbS47fOGypC2lE2NI0p0GjgiszEu</t>
  </si>
  <si>
    <t>https://drive.google.com/open?id=1TojWAuI7BcJUVIqCbwYweP7mEQ_BZe-h</t>
  </si>
  <si>
    <t>Komprao 59, komprao 77,condor 51</t>
  </si>
  <si>
    <t>https://drive.google.com/open?id=1_GQvHi7DGvvIRbC-BqWJFyok5A_Eac_N</t>
  </si>
  <si>
    <t>https://drive.google.com/open?id=1mTr2Frwrz2coX9vKItf7fc2KtQT5j6rZ</t>
  </si>
  <si>
    <t>Angeloni beira mar, atacadão via expressa, Carrefour</t>
  </si>
  <si>
    <t>https://drive.google.com/open?id=19jrewGD2E7G4D3Xoj810-Y-CBUJkq1UJ</t>
  </si>
  <si>
    <t>https://drive.google.com/open?id=1ph1eQuq2DZ4ALo6AxIcEjbOkYWl8za-r</t>
  </si>
  <si>
    <t>Fort 130 
Fort 462
Brasil atacadista 
Fort 306
Fort 365
Komprao 
Komprao pedra branca</t>
  </si>
  <si>
    <t>https://drive.google.com/open?id=1I80W8esWwOAC29l9n-P9W3Arx9XzBLvz</t>
  </si>
  <si>
    <t>https://drive.google.com/open?id=1Ca3PZvDdJnfzIcceqqvZOOBXHtPZwuFA</t>
  </si>
  <si>
    <t>Koch Lj 89 Blumenau, Supermercados Mocam Indaial, Komprao Timbó Lj34</t>
  </si>
  <si>
    <t>https://drive.google.com/open?id=1ZqjQrleQUS6Sn1OciJ53hhtyv375IHyf</t>
  </si>
  <si>
    <t>https://drive.google.com/open?id=1wBpp45W-5EXCo1uAT4ENJgNdsy8iFZVv</t>
  </si>
  <si>
    <t>Archer matriz Brusque e Bistek park europeu</t>
  </si>
  <si>
    <t>13.80</t>
  </si>
  <si>
    <t>https://drive.google.com/open?id=1RgPY6LsOUHKnWxjr8bGGR1iKx7YEnQfX</t>
  </si>
  <si>
    <t>Impressões dos documentos do Archer</t>
  </si>
  <si>
    <t>https://drive.google.com/open?id=1hSYRhvDmkYDpL-C3N8CpANJme0eFKxMl</t>
  </si>
  <si>
    <t>https://drive.google.com/open?id=14ZvXM6bvFf-33Qr5V79LvAyFlZ9gwiWg</t>
  </si>
  <si>
    <t>COOPER IBIRAMA E REDE TOP IBIRAMA</t>
  </si>
  <si>
    <t>https://drive.google.com/open?id=1wWtbY0LNAak171WH3UdILHZ0YB8UdrOg</t>
  </si>
  <si>
    <t>https://drive.google.com/open?id=1wqYUSFnUT-TLos4LwY1y68XdXl5nviPe</t>
  </si>
  <si>
    <t>Brasil Atacadista porto belo, kock 04, Komprao Itapema</t>
  </si>
  <si>
    <t>https://drive.google.com/open?id=1tQYLoEa8YFoCzA6lJ5a3D4Q2l03HkKue</t>
  </si>
  <si>
    <t>106.76</t>
  </si>
  <si>
    <t>https://drive.google.com/open?id=1efhBH9WAAC4fqSjPMKqfoJzcJ8yjaqGc</t>
  </si>
  <si>
    <t>https://drive.google.com/open?id=1fsSVTccl9bSmr4SzBDCexqS8vRgRHi1e</t>
  </si>
  <si>
    <t>https://drive.google.com/open?id=1m9rwpwDcYex90I5yT6ngrrcSfRou0WUG</t>
  </si>
  <si>
    <t>Brasil atacadista 
Fort atacadista 
Fort 130
Komprao 
Komprao</t>
  </si>
  <si>
    <t>https://drive.google.com/open?id=1pjOKOuzKgL3QpAYB_sla0T29P3jqK4I_</t>
  </si>
  <si>
    <t>https://drive.google.com/open?id=1NRGOMY9Ax415RJI0gGPGJolu5SiZyil-</t>
  </si>
  <si>
    <t>Angeloni beira mar, Zeus ,Carrefour , brasil rio Tavares</t>
  </si>
  <si>
    <t>https://drive.google.com/open?id=1Dg8cSzPgDQgSBLDMUXjV9_u8lRSUqPJ6</t>
  </si>
  <si>
    <t>https://drive.google.com/open?id=1JcaIkjWdFwb59Pf6WNbHpWs6XOpQmnc3</t>
  </si>
  <si>
    <t>https://drive.google.com/open?id=1DYdKVIX7_acQ5DlbFotuKG2hTlft2-GG</t>
  </si>
  <si>
    <t>BISTEK GARCIA, COOPER ITOUPAVA NORTE E BISTEK PARK EUROPEU</t>
  </si>
  <si>
    <t>https://drive.google.com/open?id=12AIoq0BFVilhzwUbc0V5nM7YlL6JBhNP</t>
  </si>
  <si>
    <t>https://drive.google.com/open?id=1BRfafYKZvSfTZX2_LUSuFBvMavUR99d-</t>
  </si>
  <si>
    <t>Komprao53
Komprao 01
Komprao 02
Komprao 20
Komprao 24
Tijucas</t>
  </si>
  <si>
    <t>https://drive.google.com/open?id=1muhhx2tI6O-dsWo4FP6ZKVzpHu_VbI-t</t>
  </si>
  <si>
    <t>https://drive.google.com/open?id=1oOCjPuYSRT8JE5vD6x3anGf6QMVoD-YB</t>
  </si>
  <si>
    <t>Angeloni beira mar, Bistek Itajaí, hotel Joinville</t>
  </si>
  <si>
    <t>57.90</t>
  </si>
  <si>
    <t>https://drive.google.com/open?id=1I4B6mE9VpvAIn1Q-XeZWOaEjjW0GOKP-</t>
  </si>
  <si>
    <t>KIL7H04</t>
  </si>
  <si>
    <t>https://drive.google.com/open?id=14rty0RMEyUMlH2xj85XgMjTqsy3ssQak</t>
  </si>
  <si>
    <t>https://drive.google.com/open?id=1nORbTmcpxBPrftnjHw2261cffdPlvIVY</t>
  </si>
  <si>
    <t>Komprao40 Blumenau Agua Verde, Cooper Gen. Osório, Koch Lj 89 Blumenau, Rua Lontras 206 ( Busca de Material - Desligamento ), Giassi Blumenau, Komprao Blumenau Lj32, Super A Lj1 Blumenau.</t>
  </si>
  <si>
    <t>https://drive.google.com/open?id=13Jy6mYP8_xyhCmB9-LOexm9w8uW4y6kN</t>
  </si>
  <si>
    <t>https://drive.google.com/open?id=1OB8HtjgnhJNEOJzgxVtkMj5G99Qs73W7</t>
  </si>
  <si>
    <t>Reunião mercado Joinville</t>
  </si>
  <si>
    <t>https://drive.google.com/open?id=1UWabPjZTdzphkNtnhz7dsRKOV8l5UytL</t>
  </si>
  <si>
    <t>https://drive.google.com/open?id=1wPsf9dmAp665gGOoDNht8p8i7oFwEf8G</t>
  </si>
  <si>
    <t>300.86</t>
  </si>
  <si>
    <t>https://drive.google.com/open?id=10aid5gfs8AkL4XHRsXLUdx4HaLcZwMc_</t>
  </si>
  <si>
    <t>https://drive.google.com/open?id=14w-MQ4jGIKJRR-vLXV-36aIrIeQwcGVW</t>
  </si>
  <si>
    <t>Fort atacadista 
Fort 365
Komprao</t>
  </si>
  <si>
    <t>https://drive.google.com/open?id=1CQzBqF8RL5Lo-9CF1x_AnCSILBNMzppQ</t>
  </si>
  <si>
    <t>https://drive.google.com/open?id=1VtSq_6NCvm56bbJGBlkIKgx3FEE8a0VY</t>
  </si>
  <si>
    <t>Brasil atacadista central 
Fort atacadista 130
Fort 306</t>
  </si>
  <si>
    <t>https://drive.google.com/open?id=1-f7955OG0uaumVr8w7khA3GOTTXXexJc</t>
  </si>
  <si>
    <t>https://drive.google.com/open?id=1dMxld6xIS_DfCUfXD7IozHH0K4Sw-J2V</t>
  </si>
  <si>
    <t>Casa coordenadora, fórum Blumenau, hotel</t>
  </si>
  <si>
    <t>https://drive.google.com/open?id=1noq0udzq2cyXcvPQ8CqriVYKnZfRVq8Z</t>
  </si>
  <si>
    <t>30.00</t>
  </si>
  <si>
    <t>https://drive.google.com/open?id=1xVbDsVHXQiwL7cTsAm2__epsQ3vjqA9y</t>
  </si>
  <si>
    <t>37.90</t>
  </si>
  <si>
    <t>https://drive.google.com/open?id=12ACsP5IqVOsyNaLhds7oKARdkimeeH7J</t>
  </si>
  <si>
    <t>aline.isacmoreira@gmail.com</t>
  </si>
  <si>
    <t>Aline Isac Moreira</t>
  </si>
  <si>
    <t>MHV7D46</t>
  </si>
  <si>
    <t>De Jaraguá do Sul para Joinville mercado vizinhao bairro Guanabara</t>
  </si>
  <si>
    <t>De Jaraguá do Sul para komprao de Araquari, komprao de são Francisco do Sul, Angeloni SFS, komprao 50 SFS, Angeloni SFS,super Koch SFS , JOINVILLE , JARAGUÁ DO SUL</t>
  </si>
  <si>
    <t>Angeloni 10 Jaraguá do Sul,Super A Jaraguá do Sul</t>
  </si>
  <si>
    <t>https://drive.google.com/open?id=14UIkzQ0U3YytrpTlBIfbPJ5-E_yHCeEI</t>
  </si>
  <si>
    <t>https://drive.google.com/open?id=1vOCstaTw0qawpUdRY-_LxfDXk06B5B5o</t>
  </si>
  <si>
    <t>Hotel Blumenau, Fort vargem, brasil ingleses</t>
  </si>
  <si>
    <t>https://drive.google.com/open?id=1p6G2JwVQgRroLOGuu1hzLwij3aRTZgtn</t>
  </si>
  <si>
    <t>25.00</t>
  </si>
  <si>
    <t>https://drive.google.com/open?id=1u6dCdfNtinTesprSra0Hy10_w0XRPPyQ</t>
  </si>
  <si>
    <t>236.68</t>
  </si>
  <si>
    <t>QLI7H04</t>
  </si>
  <si>
    <t>https://drive.google.com/open?id=1gLZF0RRxXVdFhAAZjJ3FvTZA7Ot7Z8XV</t>
  </si>
  <si>
    <t>https://drive.google.com/open?id=1kg0gueQ3H5MGSy_Xd-K6FLWwpFKL9x3W</t>
  </si>
  <si>
    <t>Brasil atacadista Blumenau, Zeus, bisteck garcia e Archer 01 Brusque</t>
  </si>
  <si>
    <t>3.70</t>
  </si>
  <si>
    <t>https://drive.google.com/open?id=1w_iJKC_zWZ2qf5ahUQ4E57MkoIphorsf</t>
  </si>
  <si>
    <t>https://drive.google.com/open?id=1k0urNLDawY7EGwbhi_xg_UumuguSKN4k</t>
  </si>
  <si>
    <t>https://drive.google.com/open?id=1l_D93bqziAri4Da5uyYMrgoxQwj0nxnf</t>
  </si>
  <si>
    <t>Brasil atacadista 
Fort 462
Fort 130 
Fort 306 
Fort 365</t>
  </si>
  <si>
    <t>https://drive.google.com/open?id=1XLyK_TImiOqmcqY5Hacmc3aFEVHjhHna</t>
  </si>
  <si>
    <t>https://drive.google.com/open?id=1j_XARqxjjPzZOYorBk_foeNERyZZuDqf</t>
  </si>
  <si>
    <t>Brasil atacadista Rio Tavares 
Fort atacadista 
Fort atacadista 
Komprao 
Koch</t>
  </si>
  <si>
    <t>https://drive.google.com/open?id=1KyZkHuSDZjLyezp3FBBWx5LjbuzCF2Dj</t>
  </si>
  <si>
    <t>https://drive.google.com/open?id=1ULQZZg3QzbcVvON3zBkzWAON0kFBUlMk</t>
  </si>
  <si>
    <t>Angeloni beira mar, Fort campeche ,Fort rio Tavares</t>
  </si>
  <si>
    <t>carlos.proenca@mazzini.com.br</t>
  </si>
  <si>
    <t>CARLOS PROENÇA</t>
  </si>
  <si>
    <t>qhd3d74</t>
  </si>
  <si>
    <t>https://drive.google.com/open?id=1mcnTk4EqwNbVay3hlgvAt7127HWeU7vo</t>
  </si>
  <si>
    <t>https://drive.google.com/open?id=10GyuxMttWwVE_V3UvHC_lXCggQ_0VIm5</t>
  </si>
  <si>
    <t>komprao 18, brasil atacadista porto belo, koch 07, komprao 37</t>
  </si>
  <si>
    <t>https://drive.google.com/open?id=1IB5ro_5AcXU6xqLpQ5foKyeoWqbSCz5-</t>
  </si>
  <si>
    <t>martinsneto047@gmail.com</t>
  </si>
  <si>
    <t>JOÃO MARTINS NETO</t>
  </si>
  <si>
    <t>IUT1C03</t>
  </si>
  <si>
    <t>https://drive.google.com/open?id=1JubQoPftcyavN702RamPqEFVHBL_eGax</t>
  </si>
  <si>
    <t>https://drive.google.com/open?id=1o79MAgYGHtyUrEVorBEnYoHP5IbNa7u6</t>
  </si>
  <si>
    <t>BISTEK ITAJAI FAZER MINHA INTREGRAÇÃO COM A COORDENADORA SAIDDA, SAINDO DE LA PASSEI NA REGIAO DE ITAPEMA DO CENTRO MORRRETES E MEIA PRAIA PARA CONHECER AS LOJA E PEGAR CONTATOS DE CHEFE DE LOJA</t>
  </si>
  <si>
    <t>https://drive.google.com/open?id=1Q5OjeaB07AatS3w5iDdlGnUB3BwhE6Ab</t>
  </si>
  <si>
    <t>https://drive.google.com/open?id=177wIGkq19RdrBPgQyiIoZ5S73xkwSSqA</t>
  </si>
  <si>
    <t>FUI FAZER INTREGRAÇAO DO JOAO GABRIEL PONTES KOCH 06 LOGO APOS SAI EM ROTA PARA ITAJAI, FAZER GSL ANDREY ANGELONI ITAJAI E CONHECER AS LOJA DA MINHA BASE.</t>
  </si>
  <si>
    <t>https://drive.google.com/open?id=1aCj0RAKwye0pxjw_zcaab-aCcx9y3kZg</t>
  </si>
  <si>
    <t>https://drive.google.com/open?id=13bmfQD2ACPir59SNxdS7d3rd_b7BEhiL</t>
  </si>
  <si>
    <t>Angeloni beira mar, Fort 810</t>
  </si>
  <si>
    <t>https://drive.google.com/open?id=1rPIXDwmsCfu2wkNnIjo3BMUoRa5ryWUo</t>
  </si>
  <si>
    <t>https://drive.google.com/open?id=1wB-WtAMpVEaGNVHPtcM1RBbzJJeg03SG</t>
  </si>
  <si>
    <t>Komprão timbo, fort indaial, komprão 40, cooper caçadores e cooper general osorio.</t>
  </si>
  <si>
    <t>https://drive.google.com/open?id=1ZFRQvtH_JWorZc2DkGdFDOiZWK3ijPsG</t>
  </si>
  <si>
    <t>https://drive.google.com/open?id=1tDRCo2DfiZGvP3U6AmgCmHfVKf-9-NgA</t>
  </si>
  <si>
    <t>https://drive.google.com/open?id=1KTHegYB9KEjt7Q5ROf6XzbQcSWCDF2hy</t>
  </si>
  <si>
    <t>https://drive.google.com/open?id=19dh9NcudhKzrqWNYPB4nUsKyXwRgw_2k</t>
  </si>
  <si>
    <t>Brasil atacadista central 
Ângeloni beira mar 
Fort 365 
Fort compacto 
Komprao</t>
  </si>
  <si>
    <t>https://drive.google.com/open?id=1Xdyi31juGN1FUxaYchsMhuYc1pOsbANN</t>
  </si>
  <si>
    <t>https://drive.google.com/open?id=1zB2x1NdqVbLMHFN5pkUB15_Rvif0xdvG</t>
  </si>
  <si>
    <t>Komprao 90 
Komprao 91</t>
  </si>
  <si>
    <t>https://drive.google.com/open?id=1pdZb8uUHneFVX8qkyiHW4duP8qpsVwud</t>
  </si>
  <si>
    <t>https://drive.google.com/open?id=114oLxvClg2KFxoGKvAUBDAZWbl5f4I13</t>
  </si>
  <si>
    <t>galegão blumenau, cooper vila nova e cooper garcia</t>
  </si>
  <si>
    <t>https://drive.google.com/open?id=1dZHqN4ZitjysKuzofaNLcnGf02g3KmY6</t>
  </si>
  <si>
    <t>https://drive.google.com/open?id=1sXdAxiE2TlParUg6TQDWhmZoQgeFLOJm</t>
  </si>
  <si>
    <t>REVERSAO CAREFOUR CAMBORIU MESCHKE ATACADISTA GSL SUPER KOCH GSL E ENTREGA DE EPI</t>
  </si>
  <si>
    <t>https://drive.google.com/open?id=1YGAP6nk-XSf4_FbKeCo4qdb7bJWUYEGM</t>
  </si>
  <si>
    <t>https://drive.google.com/open?id=1VCHGF9sAJvEwoJv18sR3t5tJwm4erNbO</t>
  </si>
  <si>
    <t>COMPER BOMBINHAS ENTREGA DE UNIFORME 
SUPER COMPER BOMBAS 
KOMPRAO BOMBINHAS INTREGRAÇÃO 
KOMPRÃO 15 GSL VILA NOVA PORTO BELO 
FORT 190 PORTO BELO ENTREGA EPI
KOMPRAO 37 REUNIAO JACQUELINE</t>
  </si>
  <si>
    <t>Atacadao lages, Bistek Lages, Fort 960, angeloni Lages, Fort 960, Stok Center Lages</t>
  </si>
  <si>
    <t>Deslocamento para Florianópolis</t>
  </si>
  <si>
    <t>https://drive.google.com/open?id=12_rbVetfYmPi6BVjzrId8Y9Fda6e1s7c</t>
  </si>
  <si>
    <t>https://drive.google.com/open?id=1JPAfzw6dq2nk8cLG8yNQfyZ2OOc-EPOb</t>
  </si>
  <si>
    <t>Fort kobrasol</t>
  </si>
  <si>
    <t>JOÃO MARTINS NETO Total</t>
  </si>
  <si>
    <t>MZ-333812</t>
  </si>
  <si>
    <t>MZ-333871</t>
  </si>
  <si>
    <t>Hiper Itinga ,samns club</t>
  </si>
  <si>
    <t>Bistek,condor, Brasil atacadista</t>
  </si>
  <si>
    <t>Komprao 45,komprao 77,Fort 250,komprao 50, komprao 59</t>
  </si>
  <si>
    <t>Deslocamento Florianópolis</t>
  </si>
  <si>
    <t>https://drive.google.com/open?id=1i1TylOdyHKN6rfZn6xeHFg1xMlVvxB0i</t>
  </si>
  <si>
    <t>https://drive.google.com/open?id=1YioKpiUWwiycyK5iUcNZLrHtR1UPDiPA</t>
  </si>
  <si>
    <t>KOMPRAO ARAQUARI,ANGELONI 10,FORT TUIUTI</t>
  </si>
  <si>
    <t>iut1c03</t>
  </si>
  <si>
    <t>https://drive.google.com/open?id=1_t-tyAhbfY5InoTm78NzJTPZ3F3AxoGV</t>
  </si>
  <si>
    <t>https://drive.google.com/open?id=1oevgsTlIO0Cn1s6DNE2R_inPDcKZQc14</t>
  </si>
  <si>
    <t>brasil atacadista 
koch 06
komprao 37</t>
  </si>
  <si>
    <t>sabrina.pires@mazzini.com</t>
  </si>
  <si>
    <t>https://drive.google.com/open?id=1xK1nDv5V6UA_jYRg4Tn6X5T4TrBrdlkL</t>
  </si>
  <si>
    <t>https://drive.google.com/open?id=18IOyH-wxCz2m1DHQyWdSjDPGg8yi3hNA</t>
  </si>
  <si>
    <t>Brasil atacadista 
Fort atacadista 
Komprao</t>
  </si>
  <si>
    <t>ALINE ISAC MOREIRA</t>
  </si>
  <si>
    <t>Mhv7D46</t>
  </si>
  <si>
    <t>Cooper atacarejo Jaraguá do Sul</t>
  </si>
  <si>
    <t>https://drive.google.com/open?id=1FrXEwx9O0fKrR5V0NxtGObJbfStdglhl</t>
  </si>
  <si>
    <t>https://drive.google.com/open?id=1t4FoRMI9VR0CeTfFZGI8doPZW_pgPBmV</t>
  </si>
  <si>
    <t>ANGELONI SAO FRANCISCO,COOPER SUPER,FORT VILA NOVA,KOMPRAO 59</t>
  </si>
  <si>
    <t>https://drive.google.com/open?id=1Ifd8S-8KWKnAJ_UQiVkx91wfsHB8WG59</t>
  </si>
  <si>
    <t>https://drive.google.com/open?id=1QkWUk1j_BKtte-AKkHrOhOCF7mGwv1lz</t>
  </si>
  <si>
    <t>Hiperselect, Fort campeche, Bistek costeira</t>
  </si>
  <si>
    <t>https://drive.google.com/open?id=1gkREtIsCDHOT5rxRJtOBSsfMPGx1Wo0j</t>
  </si>
  <si>
    <t>https://drive.google.com/open?id=1mNxWDOmx70puQYXfpxXjQS6-Sqiq5dQM</t>
  </si>
  <si>
    <t xml:space="preserve">koch 41 
brasil atacdista 
comper tabuleiro 
</t>
  </si>
  <si>
    <t>https://drive.google.com/open?id=1dGpOQvV_A6HeF6omrsMugzOVUq-UocFy</t>
  </si>
  <si>
    <t>https://drive.google.com/open?id=144i7ivmC2sN969Cl0lIta7n6gO5LHb-m</t>
  </si>
  <si>
    <t>BISTECK GARCIA, MOCAM 407. MOCAM 410, COOPER COLONINHA E MOCAM COLONINHA</t>
  </si>
  <si>
    <t>https://drive.google.com/open?id=11OaXzX2XtZMcd2aRHxRXuSlJQunSBC7E</t>
  </si>
  <si>
    <t>https://drive.google.com/open?id=1hZwNNDnRxFTly_s8Ej_J5N-X9fhc6hb_</t>
  </si>
  <si>
    <t>HIPERMAIS ITINGA,BISTEK,ZEUS</t>
  </si>
  <si>
    <t>https://drive.google.com/open?id=13kdosjaPvRieMQppIYF7js__FusNvbIs</t>
  </si>
  <si>
    <t>https://drive.google.com/open?id=1AajKvaZ02vsOj4XThlSIC5z9eKB20VNR</t>
  </si>
  <si>
    <t>intregracao k82 
komprao 37 
loja 18 
koch 06</t>
  </si>
  <si>
    <t>Fort 260, Atacadao Lages, Angeloni Lages, Fort 960</t>
  </si>
  <si>
    <t>https://drive.google.com/open?id=1OEEIbVr97Nz1pztkYI4idTrgz4aICAi2</t>
  </si>
  <si>
    <t>https://drive.google.com/open?id=1n1bzzq0VZxcvMSxPyew6jjItnon8Fx9j</t>
  </si>
  <si>
    <t>COOPER MAFISA</t>
  </si>
  <si>
    <t>https://drive.google.com/open?id=16XCcsKxixgzoo1sP6eeTKbbw1xREG8BL</t>
  </si>
  <si>
    <t>https://drive.google.com/open?id=1L9n6YaV_W-zCLC22jNe11Epraz8uQwXy</t>
  </si>
  <si>
    <t>Atacadao içara, Fort tubarão</t>
  </si>
  <si>
    <t>21.00</t>
  </si>
  <si>
    <t>https://drive.google.com/open?id=1n_G4wVL-9oWBbuDnWep8ceFpZhfv8BrI</t>
  </si>
  <si>
    <t>https://drive.google.com/open?id=1Zs94G6XMRD8ed-Q0H2Nztr3Q9jFDYK3N</t>
  </si>
  <si>
    <t>https://drive.google.com/open?id=1EaP6yEE0mJkfVfFoF15NusyRzrMqP_mk</t>
  </si>
  <si>
    <t>Komprao pedra branca 
Fort 130 
Komprao ponte do imaruim 
Komprao biguaçu 
Fort Kobrasol 
Komprao forquilhas</t>
  </si>
  <si>
    <t>IUT</t>
  </si>
  <si>
    <t>https://drive.google.com/open?id=1x0VvjJqhyucmv7y-L2hEvoRDakGzcSsb</t>
  </si>
  <si>
    <t>https://drive.google.com/open?id=1AHKZslYPw0xjl_QIqQBjdQ_RcN0U7z6J</t>
  </si>
  <si>
    <t>Brasil Atacadista 
Komprao 18 
Koch 06 
Koch 09</t>
  </si>
  <si>
    <t>Jaraguá/mercado vizinhao Joinville/Zeus/mercado vizinhao/Jaraguá</t>
  </si>
  <si>
    <t>https://drive.google.com/open?id=19keAX1lcJBZuXeuosLY4J71cdKEkd2cy</t>
  </si>
  <si>
    <t>https://drive.google.com/open?id=1pwP5zQMrEEQIBJaZ1JaisbrrmvEwWo2Q</t>
  </si>
  <si>
    <t>crestani EPIs, central do EPI</t>
  </si>
  <si>
    <t>Atacadão Chapecó Fort Chapecó</t>
  </si>
  <si>
    <t>https://drive.google.com/open?id=1rYNto9ROyzDZ8xd-cEOx8iPQFewosia-</t>
  </si>
  <si>
    <t>https://drive.google.com/open?id=1oj8_pb6qC1P3cRaobxQCVo6S5Qi2_ng1</t>
  </si>
  <si>
    <t>Fort 810, Fort 210, kock</t>
  </si>
  <si>
    <t>https://drive.google.com/open?id=1FzQIk4xMz8wVhDYW4u7T0gWM8vC77S1-</t>
  </si>
  <si>
    <t>https://drive.google.com/open?id=1A2mopCtt4rfZ7FAGZTpmkHt1MFs7OQfr</t>
  </si>
  <si>
    <t>Fort 
Komprao 
Brasil ataca</t>
  </si>
  <si>
    <t>lombardi2015@gmail.com</t>
  </si>
  <si>
    <t>https://drive.google.com/open?id=18It2LXAG-9yP4cbtD0Sbd1kD7TWjvb-7</t>
  </si>
  <si>
    <t>https://drive.google.com/open?id=13XGMZUdoumwHZWrf_JNv7pf5kJxoXdtu</t>
  </si>
  <si>
    <t>BRASIL ATACADISTA,FORT 905,KOMPÃO 59,CDD AMBEV,CONDOR COOMASA</t>
  </si>
  <si>
    <t>https://drive.google.com/open?id=1hyM-ggBIJ7z6dYIvEFXvqn3HhpBGSVe3</t>
  </si>
  <si>
    <t>https://drive.google.com/open?id=1vrZUff-15siKmid35hV2RRrAj6P-0bAk</t>
  </si>
  <si>
    <t>Integrações Itapema e pprto belo</t>
  </si>
  <si>
    <t>Atacadao Chapeco Fort Chapeco</t>
  </si>
  <si>
    <t>https://drive.google.com/open?id=1YZ5bDcH79zUpZSUp5ueHt1WuVfkTDwxd</t>
  </si>
  <si>
    <t>https://drive.google.com/open?id=13mTcK8UhouFOV342_SpMjiEgzgb9DpWa</t>
  </si>
  <si>
    <t>KOMPRÃO 18 ITAPEMA</t>
  </si>
  <si>
    <t>https://drive.google.com/open?id=1oF9C6n6dCjOpL_Ax8z5ffYfprp0fY4AZ</t>
  </si>
  <si>
    <t>https://drive.google.com/open?id=1gBptmkVTJoM0V85QWblZ_zuqSrTwW8WS</t>
  </si>
  <si>
    <t>Fort atacadista 130 
Fort 462
Brasil atacadista</t>
  </si>
  <si>
    <t>https://drive.google.com/open?id=1OpYa1qb_4T5bmCLFl7mG-oCRFFZYJ9OS</t>
  </si>
  <si>
    <t>https://drive.google.com/open?id=1VwiV4njNBoTq_hitT6Kwv2abKdFoIyil</t>
  </si>
  <si>
    <t>Komprao 18 itapema</t>
  </si>
  <si>
    <t>https://drive.google.com/open?id=1zbelIgyXRjvXazYC66M9V6vOIFDKPjst</t>
  </si>
  <si>
    <t>brenon_lks@hotmail.com</t>
  </si>
  <si>
    <t>BRENON LUCAS ALVES DE SOUZA</t>
  </si>
  <si>
    <t>FTF5H43</t>
  </si>
  <si>
    <t>https://drive.google.com/open?id=1oAv-RT0FczZsBfzB70xzXMbREjoAYdXg</t>
  </si>
  <si>
    <t>https://drive.google.com/open?id=1TVTb_39SpDkaq_-ybCVaZrxNOvoiNWku</t>
  </si>
  <si>
    <t>RIO NEGRINHO E SÃO BENTO</t>
  </si>
  <si>
    <t>https://drive.google.com/open?id=1OqF0SBfBKHfZMYRfW_52Tmun7ykbCzg8</t>
  </si>
  <si>
    <t>https://drive.google.com/open?id=1VY_A9YzNK_HQWfWLm-jiHoJQiTQfdD_u</t>
  </si>
  <si>
    <t>Gsl Kelvin comper 
Gsl Getúlio koch 41</t>
  </si>
  <si>
    <t>Komprao Guaramirim/cooper fresh/super A/ condor</t>
  </si>
  <si>
    <t>https://drive.google.com/open?id=1v7sUKJDmGpWx1CNXHR0tHhcEgmLy2bwV</t>
  </si>
  <si>
    <t>https://drive.google.com/open?id=1MXZDP-UcNqkh878BVTXMrlAuTPGuTgpY</t>
  </si>
  <si>
    <t>KOMPRAO 50,COOPER ATACAREJO</t>
  </si>
  <si>
    <t>https://drive.google.com/open?id=1scz93qvi8upC8KNZclLtfIw6QXkGWwda</t>
  </si>
  <si>
    <t>https://drive.google.com/open?id=1stnNs_wDYxRPeBL4s51VYgxsZXZ1N6u8</t>
  </si>
  <si>
    <t>Brasil atacadista 
Fort 130
Fort 290
Koch biguaçu 
Komprao</t>
  </si>
  <si>
    <t>https://drive.google.com/open?id=1RZ2Kno9ccTljQC1G0VUzVLZ0R-f_9yFf</t>
  </si>
  <si>
    <t>https://drive.google.com/open?id=1SZgYawic6ki5uWNtKceHnL3Q84GyKLJG</t>
  </si>
  <si>
    <t>Mwm, brasil rio Tavares, Fort campeche</t>
  </si>
  <si>
    <t>https://drive.google.com/open?id=1S1QD48j0-x25_YFU1rqi77A0mxFnahWu</t>
  </si>
  <si>
    <t>https://drive.google.com/open?id=1cFIMjaaXCyJE4td5zg6Gqpc8FTTa2Kqi</t>
  </si>
  <si>
    <t>Kompra 12 
Komprao 55
Komprao 38</t>
  </si>
  <si>
    <t>https://drive.google.com/open?id=1iKGC-NTdxaoFjBuLqj0OBr6lgPN1zDlG</t>
  </si>
  <si>
    <t>https://drive.google.com/open?id=17Z9wr0jpEBlwObHq-vYcpNlLxcE08Zff</t>
  </si>
  <si>
    <t>Komprao Tijucas 53
Komprao 20
Komprao 02
Komprao 24
Fort atacadista kobrasol</t>
  </si>
  <si>
    <t>https://drive.google.com/open?id=1PUlnm9SzKo77FZ1TgfAqgH9A0jkPSw51</t>
  </si>
  <si>
    <t>https://drive.google.com/open?id=1cuv2ueX-7wnyOetD6Gn1PH3K3y3pn1y6</t>
  </si>
  <si>
    <t>Fort campeche, jardim atlântico, imperatriz coqueiros</t>
  </si>
  <si>
    <t>https://drive.google.com/open?id=1ZM024ggvHGNQ1GJRj0NSTsIPlEb6a1jY</t>
  </si>
  <si>
    <t>https://drive.google.com/open?id=1GzhTadtzKuA4F02TcpS5laKFX6lWIl9A</t>
  </si>
  <si>
    <t>Koch 52 integração 
Koch 09 gsl
Brasil Atacadista integração</t>
  </si>
  <si>
    <t>Fort atacadista Tuiuti Joinville</t>
  </si>
  <si>
    <t>https://drive.google.com/open?id=1G2bRFmW_35BzT4ly4-uARpPbyawomK0k</t>
  </si>
  <si>
    <t>https://drive.google.com/open?id=1fHbheHpZAUUQSLq_sOXqP9EC-Zwq4alr</t>
  </si>
  <si>
    <t xml:space="preserve">Komprao 91
Fort atacadista 
Brasil atacadista 
Komprao ponte do imaruim 
</t>
  </si>
  <si>
    <t>https://drive.google.com/open?id=1X05iDPwfMC3AFYYygVQ7gcTKjNZhgQPM</t>
  </si>
  <si>
    <t>https://drive.google.com/open?id=1ov-HyVb08nXAyLf0hBpm0iQn_fDrLGFP</t>
  </si>
  <si>
    <t>Meschek filial 01 integração 
Fort 325 itajai levar cartão caju aos colaboradores 
Bistek 23 levar carta caju</t>
  </si>
  <si>
    <t>https://drive.google.com/open?id=1-hbOErrCabJ47g1FG2rLXNaJqipNb7ix</t>
  </si>
  <si>
    <t>https://drive.google.com/open?id=1mdOgyK-hs4AaLFagTbyMlWyOm1QFmoVt</t>
  </si>
  <si>
    <t>buscar material casa coordenadora destino joinville</t>
  </si>
  <si>
    <t>https://drive.google.com/open?id=1T3B2AVc9BTFg-Tc2zpV9iXMsRblvLD-p</t>
  </si>
  <si>
    <t>https://drive.google.com/open?id=1ANa5Sw8Qs7fu-e6frVbU-9NL2svPifFV</t>
  </si>
  <si>
    <t>atacarejo vizinhao gsr supervisor aline, supervisor Ricardo, supervisor Brenon</t>
  </si>
  <si>
    <t>20.80</t>
  </si>
  <si>
    <t>https://drive.google.com/open?id=1h1X9Eq1-o1FrjW3jFE_-F_ELGPFevFhd, https://drive.google.com/open?id=10xSzk6r5WWopBVMZylp93e-S6KtWNlZy, https://drive.google.com/open?id=11ytiac8RymcH3ej2j24_bK_stJ5mbe_e, https://drive.google.com/open?id=1HnolUye7IEWtGo1ljkW1eFqoZ8W3BoK0</t>
  </si>
  <si>
    <t>perdi o comprovante do pedagio de Porto Belo sentido norte</t>
  </si>
  <si>
    <t>https://drive.google.com/open?id=1PMnf9rKq763vobprb5gjSQAEtbhkl5JF</t>
  </si>
  <si>
    <t>https://drive.google.com/open?id=1_mJyQEp7OO3_ETNCjzxt2px703EtN132</t>
  </si>
  <si>
    <t>Brasil atacadista central 
Fort 306
Fort 365
Fort 290 Komprao 
Komprao pedra branca 
Fort 130</t>
  </si>
  <si>
    <t>https://drive.google.com/open?id=1YB_qwntXnfwV-uNOdj_ZC8_rAfKHkImW</t>
  </si>
  <si>
    <t>https://drive.google.com/open?id=1RMv5UjS4244Aq2dLgaTOwPVa1MD0Zx-S</t>
  </si>
  <si>
    <t>Fort vargem, mwm, Fort kobrasol</t>
  </si>
  <si>
    <t>https://drive.google.com/open?id=1McR_A6ctg2QfO5LNsB_UE7ZTGLVSaYmV</t>
  </si>
  <si>
    <t>https://drive.google.com/open?id=1hcfYkxiCrfL4PEDYNJ-Pvn3os-3CMya2</t>
  </si>
  <si>
    <t>KOMPRÃO 36, COOPER GASPAR COLONINHA, ATACADÃO BLUMENAU E GALEGÃO ESC AGRICOLA</t>
  </si>
  <si>
    <t>8.00</t>
  </si>
  <si>
    <t>https://drive.google.com/open?id=1RzgE86-kmN-zFsC4ZtQMSJfXx81VvDmg</t>
  </si>
  <si>
    <t>18.25</t>
  </si>
  <si>
    <t>https://drive.google.com/open?id=1YciWGkdOft5x-Wdwl6z0metNX15BmroF</t>
  </si>
  <si>
    <t>https://drive.google.com/open?id=1BBjDW8zA9JcakuD83aulS_7TBPFGXlVe</t>
  </si>
  <si>
    <t>https://drive.google.com/open?id=1YafHreTtRx29Ps-iToKu0RQ0CQW9Bo6-</t>
  </si>
  <si>
    <t>mocam 403, atacadão blumenau, kock 89, sams, galegão fortaleza, bisteck park europeu e mocam 401</t>
  </si>
  <si>
    <t>https://drive.google.com/open?id=1QKAua0alrVKGU5ClKVnaxp_W6qotzkfI</t>
  </si>
  <si>
    <t>https://drive.google.com/open?id=11GinyXb_p6BVNGOgjcLAih-i-YTppAKz</t>
  </si>
  <si>
    <t>supermercado mocam indaial, preceiro rodeio, schmoller lontras, nardelão 201, supermercado central 101 e komprão 32</t>
  </si>
  <si>
    <t>https://drive.google.com/open?id=1to1SsS5iC-qk3sWFKKM8xoKNoXheYZRw</t>
  </si>
  <si>
    <t>https://drive.google.com/open?id=1EYwG99HIOy4hlYYkn0b7pEOQ8VivBpDX</t>
  </si>
  <si>
    <t>giassi, atacadão blumenau, bisteck garcia, archer gaspar, zeus, gtop 19 e top fortaleza</t>
  </si>
  <si>
    <t>https://drive.google.com/open?id=1L9O3tWtAUAGxBgdh94EvDClnicWvmrtu</t>
  </si>
  <si>
    <t>https://drive.google.com/open?id=1DHvK4xo0sivwxhTT52opi6OQZXoH7mKl</t>
  </si>
  <si>
    <t>cooper vila nova, cooper itoupava e komprão 40</t>
  </si>
  <si>
    <t>https://drive.google.com/open?id=1rc9G4uB2NpfTJOfywCZPoWzd0RN4YbL1</t>
  </si>
  <si>
    <t>https://drive.google.com/open?id=1L_Lsyu_jlGKi7zVTLgSKkzKkpCfGfNwZ</t>
  </si>
  <si>
    <t>carrefour shopping vila romana( EPI Diego)</t>
  </si>
  <si>
    <t>https://drive.google.com/open?id=1pXm69yixAtlnnYXjAdklQ-9jbBjP_J7q</t>
  </si>
  <si>
    <t>https://drive.google.com/open?id=1m_95KQhbPwIvH7OTgOYS7FshvQWUb2FA</t>
  </si>
  <si>
    <t>https://drive.google.com/open?id=1RK1WtySDwQ9ozvCcytmz4ZD-hzQbhUuK</t>
  </si>
  <si>
    <t>Stok Center Lages, Atacadao Lages, Angeloni Lages, Fort 260 Lages, Bistek Lages, Fort 960 Lages, Brasil Atacadista Lages</t>
  </si>
  <si>
    <t>https://drive.google.com/open?id=1fVN72cxlgKHvO46M_m-YmHYwqavlpX4z</t>
  </si>
  <si>
    <t>https://drive.google.com/open?id=1tL0xdLmkWIrJzE6K3l25mcAj3AhYGhlA</t>
  </si>
  <si>
    <t>Segunda feira 02/03/2026
Brasil Atacadista 
Koch 06 
Koch 09 
Komprao 15</t>
  </si>
  <si>
    <t>https://drive.google.com/open?id=1v6_lcOOyY6g6zjWQJxQhTCZmO91B3A-K</t>
  </si>
  <si>
    <t>https://drive.google.com/open?id=1y2siOoFkcXuyi_KHuqGSbmATyHYqWBWF</t>
  </si>
  <si>
    <t>brasil atacadista fort 190- koch 07 komprao 37</t>
  </si>
  <si>
    <t>https://drive.google.com/open?id=1FL6WOCzxpBEx6L69CHlp3E-EBXrbKUcZ</t>
  </si>
  <si>
    <t>https://drive.google.com/open?id=1VUE3VWQAOY8qhdJt9rEDjBqYVpbrXABm</t>
  </si>
  <si>
    <t>https://drive.google.com/open?id=1RKqDkdQQjaXR7bHUmrY50y5v7GLE79s1</t>
  </si>
  <si>
    <t>Koch Meia Praia 
Koch Hipermercado 
Fory 825 itajai 
Fort 310 
Meschke Atacadista 
Komprão 37 PB</t>
  </si>
  <si>
    <t>https://drive.google.com/open?id=13o02JwrLFWOqjZe0QDtQeXYWpKgiG6vI</t>
  </si>
  <si>
    <t>https://drive.google.com/open?id=1ZT53ENWi0Kv8ITw_Mj3K5SaM-a7SB613</t>
  </si>
  <si>
    <t>komprao 38 
fort 214</t>
  </si>
  <si>
    <t>https://drive.google.com/open?id=1l5tzQ2PtE4Xyl4dKOuwrA9_nGC11lg3_</t>
  </si>
  <si>
    <t>https://drive.google.com/open?id=1giLBUu4yxZ73EhTvCZlnat2-4-AjYJ8V</t>
  </si>
  <si>
    <t>Carrefour, Angeloni beira mar, Fort campeche, hiperselect</t>
  </si>
  <si>
    <t>https://drive.google.com/open?id=1ncYX4DQreZl__0fg9axFQNgCyIC5h_l_, https://drive.google.com/open?id=1eCQGceMk1NaDo7foLfto3bIc8T6L-fNj</t>
  </si>
  <si>
    <t>https://drive.google.com/open?id=1a_1DV6TfZ4Z8ERpkuPzhH4Aw8C7FaJ9n</t>
  </si>
  <si>
    <t>https://drive.google.com/open?id=1deK5U8gGowPhpNiWuSLHoHhEVHzu_-kB</t>
  </si>
  <si>
    <t>koch 06 
komprao 37
koch 07</t>
  </si>
  <si>
    <t>https://drive.google.com/open?id=128nrlrUk9t1btBnmm84Q6ZpgkXG2B6N2</t>
  </si>
  <si>
    <t>https://drive.google.com/open?id=1Zl1hzrl-hvcX_0luYTYrrELmkjsJgqnv</t>
  </si>
  <si>
    <t>coleta EPI com coordenadora</t>
  </si>
  <si>
    <t>https://drive.google.com/open?id=1KAj8slaG8HzsnAsKKwoaOPvAhGqb4KL7</t>
  </si>
  <si>
    <t>https://drive.google.com/open?id=1u1vRRAADiLaxQ3Tu77dJjy2rIgrtyhq1</t>
  </si>
  <si>
    <t>COOPER CAÇADORES (RECOLHER MATERIAL DO ISSAC)</t>
  </si>
  <si>
    <t>https://drive.google.com/open?id=1fpPpEIutiWZGRWRMbxlEtYN-BGuHhXzQ</t>
  </si>
  <si>
    <t>https://drive.google.com/open?id=1Zl-9PWD4Qwu3U_zref0NGfZCu59cQCSV</t>
  </si>
  <si>
    <t>MOCAM INDAIAL E COOPER NAÇÕES</t>
  </si>
  <si>
    <t>https://drive.google.com/open?id=1w1xj0oPYYt7WNvhyLKol3v9RLPNF5LDm</t>
  </si>
  <si>
    <t>https://drive.google.com/open?id=19Dyen8KZJY-pRFZ3oEQ4Dt6VJN4YcEj5</t>
  </si>
  <si>
    <t>Fort 306</t>
  </si>
  <si>
    <t>https://drive.google.com/open?id=1R8DMYnHdEKWzc0x9gQ0dS4dNEhlG0B3m</t>
  </si>
  <si>
    <t>https://drive.google.com/open?id=1pzEVRFOz4IPzIcGZGNP03TRxgJJ7j8Na</t>
  </si>
  <si>
    <t>Atacadão via expressa, komprao Laguna, Angeloni beira mar</t>
  </si>
  <si>
    <t>https://drive.google.com/open?id=17-z_LZLku898SfLm-RaXlnK1mBvKtHLk</t>
  </si>
  <si>
    <t>https://drive.google.com/open?id=1mhaUYtGD6A9CXTtqWcM-Gijz1gtvz_bF</t>
  </si>
  <si>
    <t>https://drive.google.com/open?id=1DsnO2AuEa0kQVHqqeWa9z64BajSDEC70</t>
  </si>
  <si>
    <t>https://drive.google.com/open?id=1uRgvtMKxTCJxXxAYngEbZMTJeGPd1HNf</t>
  </si>
  <si>
    <t>rede top agricola/GSR SUPERVISOR MATHEUS E DESYREE</t>
  </si>
  <si>
    <t>10.40</t>
  </si>
  <si>
    <t>https://drive.google.com/open?id=1xBLMpvJNata7_WMmVY7fyq-7Jz-1jAsS, https://drive.google.com/open?id=13NlsWb53D-Q29KCTOMaDnOYoNYTkx3O6</t>
  </si>
  <si>
    <t>https://drive.google.com/open?id=1OFfZffpLMSaJu1sp_NpurET01T3YskLd</t>
  </si>
  <si>
    <t>https://drive.google.com/open?id=1_9deMcMhN0g1d3Gp8DE7-Kxu_n5O6qSF</t>
  </si>
  <si>
    <t>Komprao pedra branca 
Fort atacadista 
Brasil atacadista</t>
  </si>
  <si>
    <t>https://drive.google.com/open?id=1f5OvNq3zh5RFrxUUzoz2l4eWGcbH7sbm</t>
  </si>
  <si>
    <t>https://drive.google.com/open?id=1WfM0Hs-imKhtaR-y139kwmy_3zEMO0v1</t>
  </si>
  <si>
    <t>Kompra 01 Tijucas 
Komprao 02
Komprao 24
Komprao 20 
Fort atacadista 
Brasil atacadista</t>
  </si>
  <si>
    <t>https://drive.google.com/open?id=1fjeWsPdCP1K1lvbmFlSKUYJ7TGox10JD</t>
  </si>
  <si>
    <t>https://drive.google.com/open?id=1n_Yc9gLV_oB96xEUTZLDYDvXhQN3B3K5</t>
  </si>
  <si>
    <t>Carrefour, Angeloni Trindade, Fort vargem</t>
  </si>
  <si>
    <t>https://drive.google.com/open?id=1TGAkH95CjEkfz8zJbS5cD3WBLXZyB1Lk</t>
  </si>
  <si>
    <t>https://drive.google.com/open?id=1Ve5D_a8P6cnss-NTbsIuDabTFUnNQ_-y</t>
  </si>
  <si>
    <t>https://drive.google.com/open?id=1rZcllbw3PY9ljXG2gr2yMPO-EZP60cjp</t>
  </si>
  <si>
    <t>Komprao Garopaba</t>
  </si>
  <si>
    <t>https://drive.google.com/open?id=1LcgaRQuHAHv47U_MTEnskv5t6KXVhnd4</t>
  </si>
  <si>
    <t>https://drive.google.com/open?id=1kvC2zufAQ6pqEpqbYbQDxe8t6o4mvM85</t>
  </si>
  <si>
    <t>https://drive.google.com/open?id=1wVl1dcgZIJlbUmEWHLpla7XwXQuWdY21</t>
  </si>
  <si>
    <t>KOCH 06 
KOMPRAO 37
KOCH 07</t>
  </si>
  <si>
    <t>https://drive.google.com/open?id=1kwqnHXgSzLYc_GQIyosgW8STYsPLIsRj</t>
  </si>
  <si>
    <t>https://drive.google.com/open?id=1KRuuooH5NgG7CDvObfZgcghv_-s1mWNl</t>
  </si>
  <si>
    <t>KOCH 06 KOMPRAO 18</t>
  </si>
  <si>
    <t>https://drive.google.com/open?id=1UK72Kw5ToIZ3wQnmDZSilLOor1YIDYni</t>
  </si>
  <si>
    <t>https://drive.google.com/open?id=1McZ9AM7pPXP-sTAkXAa-fo-8seRg6AyK</t>
  </si>
  <si>
    <t>KOMPRAO 74 
KOCH EXPRESS 
KOMPRAO CAMBOIRIU AREAIS
ZEUS</t>
  </si>
  <si>
    <t>https://drive.google.com/open?id=1VhPcohQGXr8fh4fC7Anj10dkcwpO-cQJ</t>
  </si>
  <si>
    <t>https://drive.google.com/open?id=1FyNZuc2OvWAGZx7ZSMnvFhV1pZDkorHB</t>
  </si>
  <si>
    <t>KOMPRAO 18 
COMPER ITAPEMA FORT 
FORT 190</t>
  </si>
  <si>
    <t>https://drive.google.com/open?id=1kgiYF7HusbD03_j6aqHzk-JodIpqK85A</t>
  </si>
  <si>
    <t>https://drive.google.com/open?id=1LzNaYQQKmjcp5Pk_dNNNxcNC2ttd9c3J</t>
  </si>
  <si>
    <t>KOMPRAO 18 
KOMPRAO 12 
ZEUS 
KOMPRAO 18</t>
  </si>
  <si>
    <t>https://drive.google.com/open?id=1-l2RuzBBvjiJSzmIBvcieHafW-0kYeXe</t>
  </si>
  <si>
    <t>https://drive.google.com/open?id=1cWHTWlTsZMgj1WxZmcUEJXO9Cubti9jR</t>
  </si>
  <si>
    <t>KOCH 09 
KOMNPRAO 37
KOMPRAO 18</t>
  </si>
  <si>
    <t>Cooper fresh, Fort 250, vizinhaoJoinville, komprao 77, komprao 45, Bistek, Jaraguá</t>
  </si>
  <si>
    <t>https://drive.google.com/open?id=1vXYikr5RISg0ECt44GC7SgRpS_tjscMs</t>
  </si>
  <si>
    <t>https://drive.google.com/open?id=1-CBaF8M9Ik-TQtaQbbbsKl8nDDpJrXo8</t>
  </si>
  <si>
    <t>Koch biguaçu 
Brasil atacadista 
Fort atacadista</t>
  </si>
  <si>
    <t>Komprao 50, komprao 26, kock SFS, Jaraguá</t>
  </si>
  <si>
    <t>Komprao Guaramirim, Angeloni 10, super A</t>
  </si>
  <si>
    <t>Komprao 51, Fort Tuiuti, Fort 405, Jaraguá</t>
  </si>
  <si>
    <t>Preceiro SFS</t>
  </si>
  <si>
    <t>https://drive.google.com/open?id=1Wfewjwv5dorg7QGZ4Tk_k7j-6Yi7r_0P</t>
  </si>
  <si>
    <t>https://drive.google.com/open?id=1DVfaR1Y7NUwUw5ds3qAKCTqsvDUuAqo3</t>
  </si>
  <si>
    <t>Fort 290 
Koch 
Fort 306
Fort 365
Fort 130
Brasil atacadista 
Komprao</t>
  </si>
  <si>
    <t>https://drive.google.com/open?id=19TtATU9E2x4kRXhO0hSo645IeVjtIaQg</t>
  </si>
  <si>
    <t>https://drive.google.com/open?id=1qBUSV0hd6VspjoXO8Z4Za53PzwIWUpmx</t>
  </si>
  <si>
    <t>KOMPRAO 50,CONDOR COMASA,FORT</t>
  </si>
  <si>
    <t>https://drive.google.com/open?id=1PPpT9-dYPEyXoDBIBgk4PkMGp56R9Gh-</t>
  </si>
  <si>
    <t>https://drive.google.com/open?id=1nKxYxLBhipGgD2CJgfnK6hdcRJl66Jf1</t>
  </si>
  <si>
    <t>KOMPRÃO45,SAMS</t>
  </si>
  <si>
    <t>https://drive.google.com/open?id=1zxA3ATrimwoSwcBJJSrEsqsPKEvyuEFF</t>
  </si>
  <si>
    <t>https://drive.google.com/open?id=1QRLGH_X2AW_YjddG5QXBw9JTdERF8pPt</t>
  </si>
  <si>
    <t>COMPRE MAIS RIO NEGRINHO,POSTO RIO NEGRINHO,SUPER PAO</t>
  </si>
  <si>
    <t>https://drive.google.com/open?id=1dK5Aoe5yeI7OTv796i8EASQgfrnILVIK</t>
  </si>
  <si>
    <t>https://drive.google.com/open?id=1zI8rRW7VNw0Nu96CI2VyDo6YmCilNv0D</t>
  </si>
  <si>
    <t>COOPER JARAGUA,COOPER CENTRO ,KOMPRAO,CONDOR 51,HIPERMAIS</t>
  </si>
  <si>
    <t>https://drive.google.com/open?id=1jzUZs3Zgl1ZXeB3gQlb2fVJqrXJxITuC</t>
  </si>
  <si>
    <t>https://drive.google.com/open?id=1IJx9Tte9-BZCdw4AYonBxPTHv_XPvjNP</t>
  </si>
  <si>
    <t>komprao 18 komprao 37 koch 04</t>
  </si>
  <si>
    <t>https://drive.google.com/open?id=1pFJLOgqs7-YJOVGhgKjFc6nNRq8paDhQ</t>
  </si>
  <si>
    <t>https://drive.google.com/open?id=1VeoWHv_j2ZH3EawX-ZS-egih1tWlXe_p</t>
  </si>
  <si>
    <t>Gsr,mwm, Fort campeche, correio Trindade , Fort vargem</t>
  </si>
  <si>
    <t>https://drive.google.com/open?id=1MReDOWUJsfsiCxvM0NDSgk2snk24PAGS</t>
  </si>
  <si>
    <t>https://drive.google.com/open?id=12AZZcrUyNz2zUXr4Oyz0CmV6G1PjqPw_</t>
  </si>
  <si>
    <t>Fort atacadista 
Komprao 
Brasil atacadista</t>
  </si>
  <si>
    <t>https://drive.google.com/open?id=1lU8XXm_v6qfRinEdeNHyWeg9ecm49wkJ</t>
  </si>
  <si>
    <t>https://drive.google.com/open?id=1opAPURNBhNBKtXavVCNi-Xrjlp5mocg7</t>
  </si>
  <si>
    <t>komprao 21 
zeus 
komprao 23 giovana 
zeus</t>
  </si>
  <si>
    <t>231.70</t>
  </si>
  <si>
    <t>https://drive.google.com/open?id=1_JzYWj7CfgF9QxeuXbbYwID0mEdturKW</t>
  </si>
  <si>
    <t>Komprao 77, Fort 905, imperatriz 37, Fort 450, Jaraguá do Sul</t>
  </si>
  <si>
    <t>https://drive.google.com/open?id=1AMhJyFGCBqnLsVsLbGB-CgI2qahDRSqd</t>
  </si>
  <si>
    <t>https://drive.google.com/open?id=1fOuxxOAJakRbp_jJg1ZJTfUhanv8KG64</t>
  </si>
  <si>
    <t>Cdd palhoça, kock Itapema, Komprao tijucas, Carrefour</t>
  </si>
  <si>
    <t>https://drive.google.com/open?id=1cVNmUdpeIy8OxqHhTe8btNDEctm8AFXh</t>
  </si>
  <si>
    <t>https://drive.google.com/open?id=1XOhQARQ5iKlk8N-bhiN4j7WNb6iZzvU2</t>
  </si>
  <si>
    <t>Brasil atacadista sertão do imaruim 
Brasil atacadista Ipiranga 
Fort atacadista</t>
  </si>
  <si>
    <t>https://drive.google.com/open?id=19Vs2KyWKhRaShiO-M7rJN6JgU-PiDqec</t>
  </si>
  <si>
    <t>https://drive.google.com/open?id=1Iq6ZmZkBNbEeI6VnXwJyexAh5OAdl8EL</t>
  </si>
  <si>
    <t>ZEUS MATRIZ, ZEUS BR, ARCHER GASPAR, MOCAM INDAIAL</t>
  </si>
  <si>
    <t>https://drive.google.com/open?id=121LBQeOxNgsSUKZqou2hvC0vzPm8NIQ3</t>
  </si>
  <si>
    <t>https://drive.google.com/open?id=10SHFbt6FMoRcxE-xEomdI64U3axVayW0</t>
  </si>
  <si>
    <t>koch porto belo
komprao 37 
komprao 82 
komprao 18 
koch hiper ltda</t>
  </si>
  <si>
    <t>https://drive.google.com/open?id=1DHE8VedOAlAWGlL5hu6ErVjXTAzGVDgl</t>
  </si>
  <si>
    <t>https://drive.google.com/open?id=1sCFhoNqIYk5uxpCVAB8U_mp8UJtnLRjy</t>
  </si>
  <si>
    <t>Fort Chapeco, Atacadao avenida senador Chapecó , Atacadao Fernando Machado Chapecó</t>
  </si>
  <si>
    <t>https://drive.google.com/open?id=1mcnkNwqCDxuExUtE6MTRQiLfK0ZHTxNM</t>
  </si>
  <si>
    <t>https://drive.google.com/open?id=10AwjFmPS1GnJdgpLJcsqdApw0iH6mHWm</t>
  </si>
  <si>
    <t>Bistek park europeu, cooper vila nova, supermercado central 103, sams blumenau e supermercado central 104</t>
  </si>
  <si>
    <t>https://drive.google.com/open?id=1IexopgIwGOWd-c1HGLMh9WHWmGFJonuY</t>
  </si>
  <si>
    <t>https://drive.google.com/open?id=1pdigEqYuqP1Y7WzFbXvMnFgB2VhlcwEx</t>
  </si>
  <si>
    <t>Fort atacadista 
Brasil atacadista 
Komprao</t>
  </si>
  <si>
    <t>https://drive.google.com/open?id=197ymn_gVg9XF8ab52XHozB602yTY1BKn</t>
  </si>
  <si>
    <t>https://drive.google.com/open?id=1zMoJbDWhBLn-r7zaiq9qTeeAUCA6Tgh6</t>
  </si>
  <si>
    <t>Cdd AmBev, Fort jardim atlântico, Carrefour</t>
  </si>
  <si>
    <t>14.25</t>
  </si>
  <si>
    <t>https://drive.google.com/open?id=1U8kQd3jm_7dLg4zH-j5aicraK0nk5Q9G, https://drive.google.com/open?id=1j7H-knS8MdmnLpO-S7Mf35QbDgmbrSYR</t>
  </si>
  <si>
    <t>https://drive.google.com/open?id=1lJT-mzmRglF0O7MaVq7PPHPgY6VMsTDg</t>
  </si>
  <si>
    <t>https://drive.google.com/open?id=1vqw5vSnJ7sPR98_el94Fu-xw_fkWC-zd</t>
  </si>
  <si>
    <t>Retorno de Chapecó</t>
  </si>
  <si>
    <t>https://drive.google.com/open?id=1sfxZuPUJNrcpY4EnRVJNh3doFhad95Rb</t>
  </si>
  <si>
    <t>https://drive.google.com/open?id=1IOSzCDCIL4APdWgeB4Yoc0nYQVVU4W_u</t>
  </si>
  <si>
    <t>Fort 825 
Fort 225
Zeus 
Komprao 21 
Koch 14 
Komprao 37.</t>
  </si>
  <si>
    <t>Atacadao São José 
Imperatriz palhoça 
Fort atacadista 160</t>
  </si>
  <si>
    <t>https://drive.google.com/open?id=1zj38EVeIP50IUX1_t8xdCY7pl-MfBwRy</t>
  </si>
  <si>
    <t>Angeloni 10</t>
  </si>
  <si>
    <t>https://drive.google.com/open?id=1NRdyXrsW3OiOLualP8WiCXSB986KlDur</t>
  </si>
  <si>
    <t>https://drive.google.com/open?id=1jdEVc7i0dvWPJaMNybomDRFnSykiT9m5</t>
  </si>
  <si>
    <t>Fort campeche, base aérea recolher EPI Adrielle, Fort vargem recolher EPI Lisiane</t>
  </si>
  <si>
    <t>Brasil atacadista, Fort 960, Angeloni Lages</t>
  </si>
  <si>
    <t>https://drive.google.com/open?id=16UdUJnU6dQ-ZtUCCu_tfgh_X4DqMUDTD</t>
  </si>
  <si>
    <t>https://drive.google.com/open?id=1oK5NbaB9x0GMMHKye2kQiWcmaHFUzl9N</t>
  </si>
  <si>
    <t>Zeuz CD, cooper mafisa, komprão indaial</t>
  </si>
  <si>
    <t>Komprao 29
Komprao bom viver 
Bisteck 
Brasil atacadista 
Forte 462
Fort 130</t>
  </si>
  <si>
    <t>https://drive.google.com/open?id=1hE_viZm69hjHX9riwml0A5z6WSNsZZdN</t>
  </si>
  <si>
    <t>https://drive.google.com/open?id=1lQZnq51zrmV3g8Qo9gtE6mki07vFbbs9</t>
  </si>
  <si>
    <t>https://drive.google.com/open?id=13p7rX7GEVFP8K1mwiwxSDlaBrGeVcY3G</t>
  </si>
  <si>
    <t>https://drive.google.com/open?id=1iZOwa2es_gmkZu6l8DhIIMrABCfgAnCW</t>
  </si>
  <si>
    <t>https://drive.google.com/open?id=1qfbajAAzpp4HH-lOD3dFIiWNvKlPh5-7</t>
  </si>
  <si>
    <t>imperatriz coqueiros Floripa/Fort Atacadista lj 130 Palhoça</t>
  </si>
  <si>
    <t>https://drive.google.com/open?id=1pJKimmll2b6GeMdGcecbmIXjdFyHf17C</t>
  </si>
  <si>
    <t>https://drive.google.com/open?id=1Zf_Sw7cLvlhLj9cqFl88_O5zKDyxgB8c</t>
  </si>
  <si>
    <t>COOPER VILA NOVA</t>
  </si>
  <si>
    <t>Fort 250, komprao 51</t>
  </si>
  <si>
    <t>https://drive.google.com/open?id=1spx3eSwWBCUecJDuMg0eI9JGSSof2R7E</t>
  </si>
  <si>
    <t>https://drive.google.com/open?id=1GTRayTu-pMsNB-oUHVzfmo3Z5xDG54on</t>
  </si>
  <si>
    <t>komprao 18 
koch 06 
meschke filial 1 
brASIL ATACDISTA PB 
KOMPRAO 37</t>
  </si>
  <si>
    <t>https://drive.google.com/open?id=1FQ8itc0RjxP5k2lvLme19OvT6pjoU35K</t>
  </si>
  <si>
    <t>https://drive.google.com/open?id=1i3arKquQ5B4XCKSQYJW2fiUJ923hYv_Z</t>
  </si>
  <si>
    <t>Fort 810, Fort vargem, kock 47</t>
  </si>
  <si>
    <t>QHD3D74</t>
  </si>
  <si>
    <t>https://drive.google.com/open?id=1gNFY1ZkWl_FRfiUNzzROnEcuXv0M1-OP</t>
  </si>
  <si>
    <t>https://drive.google.com/open?id=184iQ_5YpJkyfFkWytal8LQAfwi3blTEV</t>
  </si>
  <si>
    <t>FOrt compacto palhoça/Brasil atacadista Palhoça</t>
  </si>
  <si>
    <t>Fort kobrasol 
Fort 306
Fort 290
Koch biguaçu 
Fort 365 
Komprao Palhoça 
Fort 462</t>
  </si>
  <si>
    <t>https://drive.google.com/open?id=1sQOIxtl1GT9MYPWsy81LoUw1m4tDikd5</t>
  </si>
  <si>
    <t>https://drive.google.com/open?id=1jpu2C40OVgf0Zi6mIEXIUWcfM_IKolHg</t>
  </si>
  <si>
    <t>KOMPRAO LAGUNA/ANGELONI LAGUNA</t>
  </si>
  <si>
    <t>16.40</t>
  </si>
  <si>
    <t>https://drive.google.com/open?id=1TWx0kvg1Gnrr-KKLtJG08mI2oWavviEu, https://drive.google.com/open?id=1eLYm8o0WPDrDneVJbfrtZgrY8vbXuGYY, https://drive.google.com/open?id=1tRChIrYCR_vSjVNKnYAo-P7mkUgFq89D, https://drive.google.com/open?id=1oXY7vooKJPScb98AMlZ-K9dgJQ_74nGR</t>
  </si>
  <si>
    <t>https://drive.google.com/open?id=1GCcV46IcnSGRFJQasnH-L8H1Cp0NTNsb</t>
  </si>
  <si>
    <t>https://drive.google.com/open?id=1R9vG4J7vTt8XyFhN6InB1v4jUqH88SJt</t>
  </si>
  <si>
    <t>Angeloni agronômica, brasil atacadista</t>
  </si>
  <si>
    <t>https://drive.google.com/open?id=1cHsnvZE1M-9tUNAe7hQ-NNhsjp2WXy8j</t>
  </si>
  <si>
    <t>https://drive.google.com/open?id=1uptkT0P4stQilZ9wp1-JZBNf7LICyWoq</t>
  </si>
  <si>
    <t>https://drive.google.com/open?id=1cxStzcL6j6vFkcSdxEjk-GJbHw-iggfV</t>
  </si>
  <si>
    <t>Fort biguaçu 
Atacadao 
Komprao bom viver 
Komprao real parque
Brasil atacadista Ipiranga 
Brasil central</t>
  </si>
  <si>
    <t>https://drive.google.com/open?id=1wXGiKRhzbJuFrJwlRKvofS68dXLwXkxF</t>
  </si>
  <si>
    <t>https://drive.google.com/open?id=1d0lU9waf9Tb6ob56VeqHZkuN1nFOt2iv</t>
  </si>
  <si>
    <t>Angeloni itajai 
Bistek itajai 
Comper disper 
Carrefour 
Koch 04 
Fort porto belo 
Koch 14 
Komprao 82 
Komprao 37</t>
  </si>
  <si>
    <t>https://drive.google.com/open?id=1BV4fB0as88tMcF1WuFg5HS6mAqFThyvS</t>
  </si>
  <si>
    <t>https://drive.google.com/open?id=1lj7Fqzp3qX7h1PbJAWXMFc_XsK7BAqlt</t>
  </si>
  <si>
    <t>Atacadão via expressa, Zeus</t>
  </si>
  <si>
    <t>25.47</t>
  </si>
  <si>
    <t>https://drive.google.com/open?id=1m6AnXnJul9s75LidMao6-JY8xIhtZWrZ</t>
  </si>
  <si>
    <t>Comprado para os promotores, pois estavam na virada de planograma do Atacadão via expressa.</t>
  </si>
  <si>
    <t>Komprao Guaramirim</t>
  </si>
  <si>
    <t>Condor Jaraguá, rancho bom amizade</t>
  </si>
  <si>
    <t>https://drive.google.com/open?id=1fp-Gd7ykkfzOo1q5gwgELA0eLNKh8PJO</t>
  </si>
  <si>
    <t>https://drive.google.com/open?id=1oepk_NYxsi5Q-Xalwwk4IhD6sSNPpHiX</t>
  </si>
  <si>
    <t>Fort 214 CAMBORIU
Koch 52 ITAPEMA
Koch 41 MEIA PRAIA
Komprao 37 PORTO BELO</t>
  </si>
  <si>
    <t>https://drive.google.com/open?id=10QVh-7vRVTwL1XghfYUBS2pMNb9vkqW6</t>
  </si>
  <si>
    <t>https://drive.google.com/open?id=1Q6lEakcMqN-PjJTWVbuSS9xe-kAfDZyV</t>
  </si>
  <si>
    <t>Fort vargem</t>
  </si>
  <si>
    <t>https://drive.google.com/open?id=1CKTq98kXcylXxQxeMci3lNTB-vnoRg3z</t>
  </si>
  <si>
    <t>https://drive.google.com/open?id=1XCN0fNt7SznnZEHFpesRBlMJyQm_8qM3</t>
  </si>
  <si>
    <t>MOCAM 403, TOP ESCOLA AGRICOLA, COOPER GARCIA, COOPER ITOUPAVA</t>
  </si>
  <si>
    <t>13.20</t>
  </si>
  <si>
    <t>https://drive.google.com/open?id=1_XB7QlJfRhwVZiArh-v55hh5qpftsf5E</t>
  </si>
  <si>
    <t>Fort 260, Angeloni Lages, atacadão Lages, Bistek Lages, Fort 960 lages</t>
  </si>
  <si>
    <t>https://drive.google.com/open?id=16Pb_z8f5cc6r7-0lzSf5IouM8lzNsw3c</t>
  </si>
  <si>
    <t>https://drive.google.com/open?id=1Auj9xnnNFVmvyS7QyfFkMVTEqvu-GGHn</t>
  </si>
  <si>
    <t>CONDOR MAFRA ,SUPER PAO RIO NEGRINHO</t>
  </si>
  <si>
    <t>https://drive.google.com/open?id=1i2LwwWvXwg5alzt7FvHLUA4-y4EVgSBM</t>
  </si>
  <si>
    <t>https://drive.google.com/open?id=1zSIwAvmetmLq9qXn38WG5C4yG2V_Nxc_</t>
  </si>
  <si>
    <t>CONDOR 57,CONDOR 51,KOMPRAO 29</t>
  </si>
  <si>
    <t>https://drive.google.com/open?id=1ZPJslKFvMabGhq6n_DlIN60YsV_hzMd3</t>
  </si>
  <si>
    <t>https://drive.google.com/open?id=1fWOcKZ8wajc5szvkjrK-pWyMM2HJ5Qpz</t>
  </si>
  <si>
    <t>KOMPRAO RIO NEGRINHO,CONDOR RIO NEGRINHO,SUPER PAO</t>
  </si>
  <si>
    <t>https://drive.google.com/open?id=1WKMgZY7Sxp6itANH7uT266XuY3npqSiP</t>
  </si>
  <si>
    <t>https://drive.google.com/open?id=1bnYkBw-0_iRet1e8DcOOcIm8zQqJ30BP</t>
  </si>
  <si>
    <t>SAMS,BRASIL ATACADISTA,KOMPRAO</t>
  </si>
  <si>
    <t>https://drive.google.com/open?id=1VjxNhSTk4G71JV7Dx2eQDyPSSXjJKszR</t>
  </si>
  <si>
    <t>https://drive.google.com/open?id=1F1OzpqZfjYRJMa3ErEW0RZenk5kWtOzm</t>
  </si>
  <si>
    <t>FORT SAO BENTO,CONDOR SAO BENTO,HIPER MAIS SAO BENTO</t>
  </si>
  <si>
    <t>Bisteck avenida das torres 
Prado de biguaçu 
Atacadao</t>
  </si>
  <si>
    <t>Casa da cordenadora 
Imperatriz ponte do imaruim 
Morro do gato casa da promotora</t>
  </si>
  <si>
    <t>https://drive.google.com/open?id=10uSkdl6IQktpt7hy_21bX_bUUfa_wKRU</t>
  </si>
  <si>
    <t>https://drive.google.com/open?id=1ocyJmdp3CUaFf6PSLTdzbAIRE4vGz21z</t>
  </si>
  <si>
    <t>atacadao biguaçu, FORT CAMPECHE, BRASIL ATACADISTA RIO TAVARES, AGELONI BEIRA MAR, ATADAO BIGUAÇU, FORT KOBRASOL, KOMPRAO 84, KOMPRAO 79, BRASIL ATACADISTA PALHOÇA</t>
  </si>
  <si>
    <t>https://drive.google.com/open?id=1vKwDO4VG5vdxfIgizZPI4v1P-5SLKXiQ</t>
  </si>
  <si>
    <t>https://drive.google.com/open?id=1DX05ObKYvM7TqZHLnsrQJvy0ICywTl4x</t>
  </si>
  <si>
    <t>komprao 18 
koch 07 
fort 190
komprao 37</t>
  </si>
  <si>
    <t>https://drive.google.com/open?id=1g0zc3YEqS7EiPDMsdsIUmTnWUNDj_e7S</t>
  </si>
  <si>
    <t>https://drive.google.com/open?id=1h7mf7zQC0pyh7A1QsXE_I0Ebf6Q1cQo5</t>
  </si>
  <si>
    <t>komprao 18
kopch 04
koch 09
koch 14
komprao 37</t>
  </si>
  <si>
    <t>https://drive.google.com/open?id=1-QHiQwPqLiTuBoMJ5ybngS8F9NEfx44C</t>
  </si>
  <si>
    <t>https://drive.google.com/open?id=15nxRVo9bGbkXCTgqA-sbQ3bGANSlhB_K</t>
  </si>
  <si>
    <t>Angeloni Trindade, Fort kobrasol, Fort 306</t>
  </si>
  <si>
    <t>https://drive.google.com/open?id=1cmNVJh-Z5FGINEOOJB-NFKZAmex24iAl</t>
  </si>
  <si>
    <t>RICARDO ALEXANDRE LOMBARDI Total</t>
  </si>
  <si>
    <t>https://drive.google.com/open?id=1lh4FDqfWFU0qpkaYHpgFUtzOeTsjppiQ</t>
  </si>
  <si>
    <t>https://drive.google.com/open?id=19Mpapm3ZOpiW1pLkHys-oMxVNteG8EZy</t>
  </si>
  <si>
    <t>cooper garcia, bisteck garcia, super a, gtop fortaleza 19, brasil atacadista, atacadão, cooper itoupava, komprão 32</t>
  </si>
  <si>
    <t>https://drive.google.com/open?id=1_dhsUU99ebBjw1YHLmS_o9JmBmgIdhSJ</t>
  </si>
  <si>
    <t>https://drive.google.com/open?id=1aD1h_JD3tvqYoU3PA0gnWMsvBvUQF7Po</t>
  </si>
  <si>
    <t>Brasil atacadista bairro progresso rio do sul, Brasil atacadista av aristides Rio do Sul</t>
  </si>
  <si>
    <t>https://drive.google.com/open?id=1loRN8HaonmrbywKeIJYgIshSrLXYTyfq</t>
  </si>
  <si>
    <t>https://drive.google.com/open?id=1Y-dc1hxtFs1Vm7XO5aWiorKNbCIwPds2</t>
  </si>
  <si>
    <t>https://drive.google.com/open?id=1_lyHg4uZscdnJqpIzJjp3ky2I3Vg_2DA</t>
  </si>
  <si>
    <t>https://drive.google.com/open?id=1rCoSjlACG_pRSKU4w0X9qYZIMIOgA3Ps</t>
  </si>
  <si>
    <t>https://drive.google.com/open?id=11IITcBkqPcVtXPukMiXfBI6R1-ZSAZ92</t>
  </si>
  <si>
    <t>Imperatriz Coqueiros, Angeloni beira mar, Angeloni capoeiras,atacadão, Fort vargem</t>
  </si>
  <si>
    <t>https://drive.google.com/open?id=1vmwv9XcqXpnYxmJ_WeuvEvwLSiYtaF9f</t>
  </si>
  <si>
    <t>https://drive.google.com/open?id=1mQIBFKHBV6eb71fdyWU-pN3TpXVX5oLO</t>
  </si>
  <si>
    <t>Fort campeche, hiperselect morro das pedras</t>
  </si>
  <si>
    <t>Azc9232</t>
  </si>
  <si>
    <t>Brasil atacadista sertão do imaruim 
Brasil atacadista Ipiranga 
Komprao for</t>
  </si>
  <si>
    <t>Fort 462
Fort 130 
Brasil central 
Komprao</t>
  </si>
  <si>
    <t>https://drive.google.com/open?id=13hF_5pRq6UJ5Tvzix0gC6_GITsxL7xXC</t>
  </si>
  <si>
    <t>https://drive.google.com/open?id=1eFIwaGu9S8-8ftHMjOtjMPq7GRVQ2B-M</t>
  </si>
  <si>
    <t>Angeloni capoeiras, brasil atacadista palhoça</t>
  </si>
  <si>
    <t>https://drive.google.com/open?id=1SRaD3j1bmY8JPWbBssX1_co5q24sqJj9</t>
  </si>
  <si>
    <t>https://drive.google.com/open?id=1FZow0EyD3CcTBxiA1No1KEIlrCJsjmYD</t>
  </si>
  <si>
    <t>angeloni beira mar/ vila romana/atacadao via expressa florianopolis</t>
  </si>
  <si>
    <t>https://drive.google.com/open?id=1LHf0WbUHIx36i1inuS_CbXkVcVjCl_5S</t>
  </si>
  <si>
    <t>https://drive.google.com/open?id=1biHbCAv1pP6lpNDX_cCT3C2lQs3j7SGD</t>
  </si>
  <si>
    <t>Angeloni capoeiras</t>
  </si>
  <si>
    <t>https://drive.google.com/open?id=1X0gt6-KkoH7YmaOFgc1k4hV6uEdUpp-7</t>
  </si>
  <si>
    <t>https://drive.google.com/open?id=1EVFOmfI_puzPf0S1annrI6reTwNIjRrG</t>
  </si>
  <si>
    <t>7.18</t>
  </si>
  <si>
    <t>https://drive.google.com/open?id=1aEQK4QwE20X6S4LTdpWrdbI8NfjHt4CL</t>
  </si>
  <si>
    <t>https://drive.google.com/open?id=1HWPlk6ZIlA12KgJle6puXpyvWWVL891F</t>
  </si>
  <si>
    <t>https://drive.google.com/open?id=1vt__gb1J8nEQ6IAjWui1v4jptLLAmPVw</t>
  </si>
  <si>
    <t>Komprao 18 
Komprao 21 
Komprao 55 
Koch 07 
Komprao 37</t>
  </si>
  <si>
    <t>https://drive.google.com/open?id=1RBtltzgJ6e5eVl4JxKc6zm04xGkzRbTd</t>
  </si>
  <si>
    <t>https://drive.google.com/open?id=1aGJZx374CR8nQjFBT7h1qfvSNKsqEDn0</t>
  </si>
  <si>
    <t>Koch 04 
Komprao 18 
Carrefour balneário 
Komprao 37</t>
  </si>
  <si>
    <t>https://drive.google.com/open?id=1Mvr3PT51otgxEr9m6GgjUpPbWlsoOBzB</t>
  </si>
  <si>
    <t>https://drive.google.com/open?id=1url-ZC8QahSMgOTDb25ziI4VubrKlFL3</t>
  </si>
  <si>
    <t>KOMPRAO 18</t>
  </si>
  <si>
    <t>https://drive.google.com/open?id=1x_7APvN7tBoXQOAGNwO2naVu97nl13ea</t>
  </si>
  <si>
    <t>https://drive.google.com/open?id=1C4-hcyW8SFJWQjFJQ8QtEDah4oxlu82d</t>
  </si>
  <si>
    <t>KOMPRAO 18 KOCH 04 KOCH 41 
KOCH 52 KOCH 07</t>
  </si>
  <si>
    <t>https://drive.google.com/open?id=1nbEbOUh_cm4QGk7TanrHJbPin613sTqP</t>
  </si>
  <si>
    <t>https://drive.google.com/open?id=12YWtyM1cTgRgyjVgwstFXYmxr5rUDNxX</t>
  </si>
  <si>
    <t>BISTEK ITJAI MECHKE FILIAL 1</t>
  </si>
  <si>
    <t>https://drive.google.com/open?id=1K0NMBr__bce0J8bKI7kCIVWwQW6XRGfp</t>
  </si>
  <si>
    <t>https://drive.google.com/open?id=1v4kizJ7CHe5_jntdEJ0yJozO44jhXUIr</t>
  </si>
  <si>
    <t>CARREFOUR CAMBORIÚ 
MESCHKE ATACADISTA
KOCH FLORIPA
KOMPRÃO 23
KOCH 08
KOMPRÃO 55
KOMPRÃO 38</t>
  </si>
  <si>
    <t>Brasil atacadista central 
Fort 462</t>
  </si>
  <si>
    <t>Brasil atacadista</t>
  </si>
  <si>
    <t>Angeloni capoeiras 
Komprao ponte do imaruim</t>
  </si>
  <si>
    <t>Komprao ponte do imaruim 
Fort 130</t>
  </si>
  <si>
    <t>Komprao 53 Tijucas 
Komprao 20 Tijucas 
Koch 02 Tijucas 
Komprao 24 Tijucas 
Komprao Bayer filho Tijucas 
Komprao São João Batista</t>
  </si>
  <si>
    <t>https://drive.google.com/open?id=146sDvHpgDhlmQkqUv-YncO7BbuCfLmkE</t>
  </si>
  <si>
    <t>https://drive.google.com/open?id=18PCiHimvgZPhf6IXz8985cJqjZE13wtw</t>
  </si>
  <si>
    <t>komprao laguna/fort tubarao</t>
  </si>
  <si>
    <t>https://drive.google.com/open?id=172726aiYZVzEZetPX4-5QZdS8VTyQQqn</t>
  </si>
  <si>
    <t>https://drive.google.com/open?id=1VtbE1qjMY-W7Nxqb4CoBxENYoaEFnPKg</t>
  </si>
  <si>
    <t>Kock ingleses</t>
  </si>
  <si>
    <t>https://drive.google.com/open?id=13yaMOoSg4pK4iQT_JQdVcYhuTmQYYCMr</t>
  </si>
  <si>
    <t>https://drive.google.com/open?id=1uXuwoAEL6WdGD5I8voRj3YafZPMfSrlG</t>
  </si>
  <si>
    <t>COOPER INDAIAL (RECOLHER MATERIAL DA VANESSA)</t>
  </si>
  <si>
    <t>https://drive.google.com/open?id=1rp4IwssczdDcGDVNezvzO2ZAvrY0iV_W</t>
  </si>
  <si>
    <t>https://drive.google.com/open?id=1oyqdks3T74V7tl76_qC83LW5gNEe1Us2</t>
  </si>
  <si>
    <t>fort santo antono de lisboa , fort vargem grande, koch ingleses, fort campeche</t>
  </si>
  <si>
    <t>https://drive.google.com/open?id=1FEEtf64Z1ek7Wk2G8R_kI3v631VT73Zz</t>
  </si>
  <si>
    <t>https://drive.google.com/open?id=1JDp2wkgLvo7xPU1vUgyFitW3J_S1bI97</t>
  </si>
  <si>
    <t>SUPER A, GIASSI E COOPER GENERAL OSORIO</t>
  </si>
  <si>
    <t>https://drive.google.com/open?id=1hiv39p4mJ8hu-I76s5cIYtSpqNbtu3Nb</t>
  </si>
  <si>
    <t>https://drive.google.com/open?id=1AqTeau-Nc3DFOIwIy8YR4CuLx-2VByLh</t>
  </si>
  <si>
    <t>KOMPRÃO 37 
KOMPRÃO 15 
KOCH 07 
FORT 190 
KOMPRÃO 18 
KOCH 52
KOCH 14
KOCH 09 
COMPER ITAPEMA 
KOCH 04 
KOCH 41
KOCH 06</t>
  </si>
  <si>
    <t>https://drive.google.com/open?id=123y3X9OjsNO7izmIkFZuOkapNY-GY2am</t>
  </si>
  <si>
    <t>https://drive.google.com/open?id=1MyZ611kd_FFQ5a6MRAkDgYFHfmQdA3K2</t>
  </si>
  <si>
    <t>Imperatriz lagoa, Fort campeche, Carrefour</t>
  </si>
  <si>
    <t>56.65</t>
  </si>
  <si>
    <t>https://drive.google.com/open?id=16MxU4IwPAtipIL94N3xh3d5AtvUwHd0Q, https://drive.google.com/open?id=1UwXHuvtYZ9XLCz7bfAi-sXMaSH3RRJ5O</t>
  </si>
  <si>
    <t>https://drive.google.com/open?id=1W8No0qy4_DXP-RNaBlUU1XIWP-qcaBkY</t>
  </si>
  <si>
    <t>https://drive.google.com/open?id=1alCQolshrV23eEO5JO1Wn-Q1iLFor41P</t>
  </si>
  <si>
    <t>fort brusque, mercado archer, mercado stock, mercado archer são luiz, komprão 36, cooper itoupava norte, zeus e komprão pomerode</t>
  </si>
  <si>
    <t>Brasil atacadista bairro progresso, Brasil atacadista rio do sul, fort rio do sul</t>
  </si>
  <si>
    <t>https://drive.google.com/open?id=1FkyUVFJWGlcTGZAVF91VMdImiMYRNRR1</t>
  </si>
  <si>
    <t>https://drive.google.com/open?id=1IfHvGZm_Y0m0UI0GzVXRCeFgHfeLTu7e</t>
  </si>
  <si>
    <t>PRECEIRO INDAIAL E RUA FRANCISCO MARGARIDA (RECOLHER MATERIAL DO JOÃO)</t>
  </si>
  <si>
    <t>https://drive.google.com/open?id=1ZDN4ka1m9iwpDMwLETTL2-odytsXiAvD</t>
  </si>
  <si>
    <t>https://drive.google.com/open?id=1sjNn8DL4dqQnBm0H9xzOwxU2CjhRgpoc</t>
  </si>
  <si>
    <t>Fort 225 Itajaí
Fort 310 Itajai
Komprão 74 Itajai
Angeloni Itajai
Fort 825 Itajaí
Bistek Itajaí 
Fort 32 São João It
KOMRPÃO 18 RECOLHER EPI</t>
  </si>
  <si>
    <t>https://drive.google.com/open?id=1TmvVhAdPMaepE-OsFfiFVyoHdDq078ck</t>
  </si>
  <si>
    <t>https://drive.google.com/open?id=1-n_5lERE6G8mCih3DRF_TfSMEcXyOYcp</t>
  </si>
  <si>
    <t>Pegar EPI coordenadora, hotel</t>
  </si>
  <si>
    <t>20.70</t>
  </si>
  <si>
    <t>https://drive.google.com/open?id=1UHnPJMCt6cVCE7jdmu7IhlXajI750_7W</t>
  </si>
  <si>
    <t>https://drive.google.com/open?id=1x2LSlyiF3tWE5m5s7DJenggkkuTVtRUf</t>
  </si>
  <si>
    <t>https://drive.google.com/open?id=1VjImCWPAvalpSEYwTd2mz3kOwpHx3r4k</t>
  </si>
  <si>
    <t>Brasil atacadista 
Fort 130 
Fort 462</t>
  </si>
  <si>
    <t>Komprao real parque 
Komprao bom viver 
Komprao pedra branca</t>
  </si>
  <si>
    <t>https://drive.google.com/open?id=1z-FmbUPJHpRL5SF1Jn_9xysfpi1CJIEp</t>
  </si>
  <si>
    <t>https://drive.google.com/open?id=15vPFn7HW_Mb18hRfCloRz9MAOvgRRPZ5</t>
  </si>
  <si>
    <t>https://drive.google.com/open?id=1JJp9qcnsE1OO1tBM81hB_3SpeAOkqrKo</t>
  </si>
  <si>
    <t>https://drive.google.com/open?id=1I67HW7vPrefdZ4KTmjopjn1P_5lPEqE3</t>
  </si>
  <si>
    <t>RIO NEGRINHO</t>
  </si>
  <si>
    <t>https://drive.google.com/open?id=1ZMQTV82g_TW9Uxdp0ca5LuLl62te22SY</t>
  </si>
  <si>
    <t>https://drive.google.com/open?id=1uJVBjOb0kgXui0_ds72dXrDuMb8aMZ7r</t>
  </si>
  <si>
    <t>BRASIL ATACADISTA,CONDOR COMASA,ANGELONI,CONDOR 51</t>
  </si>
  <si>
    <t>https://drive.google.com/open?id=1TwP-0NQwVcKlglApsMmumSWnwMCytkIY</t>
  </si>
  <si>
    <t>https://drive.google.com/open?id=1YHGHM-NkrABDN1s7MxZE0lKkFyXmfelS</t>
  </si>
  <si>
    <t>MAFRA E SÃO BENTO</t>
  </si>
  <si>
    <t>ABRIL Total</t>
  </si>
  <si>
    <t>JANEIRO Total</t>
  </si>
  <si>
    <t>FEVEREIRO Total</t>
  </si>
  <si>
    <t>MARÇO Total</t>
  </si>
  <si>
    <t>https://drive.google.com/open?id=1FEWrtdX12ywWsbBpPRiVGROZ94R2CJTU</t>
  </si>
  <si>
    <t>https://drive.google.com/open?id=1lJfr2cwyuO0Zkp2ntUd2DRx3immx4uPI</t>
  </si>
  <si>
    <t>https://drive.google.com/open?id=1l7v1vllPoqE_YgD255eTAqpjB2RSql8b</t>
  </si>
  <si>
    <t>https://drive.google.com/open?id=1zZjzUj_bpq5gt_f5nGLOBDhisJ7q3nK9</t>
  </si>
  <si>
    <t>Atacadão içara, manentti,.Fort tubarão</t>
  </si>
  <si>
    <t>11.70</t>
  </si>
  <si>
    <t>https://drive.google.com/open?id=1fN2GB1Ypcja3ZA2km0oAJ51orh2W_1ZX</t>
  </si>
  <si>
    <t>https://drive.google.com/open?id=1xwnAyuJxGxBfUJYhqTTGBl5O98I6Y6z7</t>
  </si>
  <si>
    <t>https://drive.google.com/open?id=1Ve93M1s4Q8SYMAyw6BHwfc4w-t2vYzVv</t>
  </si>
  <si>
    <t>SUPER A E SAMS</t>
  </si>
  <si>
    <t>https://drive.google.com/open?id=13l4peLUNJoojnJRfiQMJ7MdK91lCiotR</t>
  </si>
  <si>
    <t>https://drive.google.com/open?id=1j-pXiWtOUZIZooJ6MzBP3tRymSDbvb6s</t>
  </si>
  <si>
    <t>TOP ESCOLA AGRICOLA, GIASSI, COOPER INDAIAL, KOMPRÃO 49 E SUPERMERCADO CENTRAL 104</t>
  </si>
  <si>
    <t>20.75</t>
  </si>
  <si>
    <t>https://drive.google.com/open?id=18JNY43nrcANeUd2I9NF-WedHOF9OgUJg</t>
  </si>
  <si>
    <t>tch4e45</t>
  </si>
  <si>
    <t>https://drive.google.com/open?id=1THBfcZWnksS4hBkHYqNB_BqsR1bOuyOT</t>
  </si>
  <si>
    <t>https://drive.google.com/open?id=1J0wnz4DUDR_e1pEREaptgPmoG7VggKTq</t>
  </si>
  <si>
    <t>atacadao florianopolis, fort sao jose,angeloni</t>
  </si>
  <si>
    <t>https://drive.google.com/open?id=17JmJ5HVt3jqXVtVIClZs_dQAv4S_Mizp</t>
  </si>
  <si>
    <t>https://drive.google.com/open?id=13MfrZHKfjBoSMXgnoSg0ICgGFe9D3pgR</t>
  </si>
  <si>
    <t>COOPER NAÇÕES (RECOLHER MATERIAL DA LARISSA)</t>
  </si>
  <si>
    <t>https://drive.google.com/open?id=1yzKNMmyByV4ac0bSEUmWoARL2jEOajFY</t>
  </si>
  <si>
    <t>https://drive.google.com/open?id=1whswN1zDOH9cMHSIDqLCPC42FTRb8QxA</t>
  </si>
  <si>
    <t>brasil ipiranga, komprao 24,komprao 83,koch tijucas,komprao 53</t>
  </si>
  <si>
    <t>https://drive.google.com/open?id=19IHPateG02gLZd1XXDUfcmhG6wxoyHhb</t>
  </si>
  <si>
    <t>https://drive.google.com/open?id=1UuRA4Whj8ugXVvn8Y62k1P9-_OZoA3Sy</t>
  </si>
  <si>
    <t>Zeus, Fort kobrasol, imperatriz coqueiros, magia Canasvieiras</t>
  </si>
  <si>
    <t>12.00</t>
  </si>
  <si>
    <t>https://drive.google.com/open?id=12zwqb-Ky19_WIgngBr8uzhKsx8AZHxtZ</t>
  </si>
  <si>
    <t>Impressão para colaborador entrar no Angeloni capoeiras</t>
  </si>
  <si>
    <t>https://drive.google.com/open?id=1aJRYPfrUXTPL0sslPhQ_sxQkxqSkxweX</t>
  </si>
  <si>
    <t>https://drive.google.com/open?id=12SxOncqDqam8oXdRJgMNrVhjk8MLaVPD</t>
  </si>
  <si>
    <t>Atacadão, Fort 379, Zeus, brasil atacadista</t>
  </si>
  <si>
    <t>https://drive.google.com/open?id=1mw6wlE2aIREVK30VMQk_xZF8cImunm52</t>
  </si>
  <si>
    <t>https://drive.google.com/open?id=16-V7X4knTYUXwP_qLKPQY0dRfKUymxlC</t>
  </si>
  <si>
    <t>Komprao 12
Meschek Atacadista 
Meschke filial 01</t>
  </si>
  <si>
    <t>https://drive.google.com/open?id=10RBe4TTji6s34X5XN8F6fxxafG7cDBkg</t>
  </si>
  <si>
    <t>https://drive.google.com/open?id=1EcdwBXGZZgya3B89fCQDaZx2-_N5YWIi</t>
  </si>
  <si>
    <t>ANGELONI ITAJAI BISTEK ITAJAI</t>
  </si>
  <si>
    <t>https://drive.google.com/open?id=1ixB_iSZ5r1GIRXpHAFvAFdlZQ0FSR9TW</t>
  </si>
  <si>
    <t>https://drive.google.com/open?id=1ea0_YvkrgIF8bQu0ZPOlW7zvTd5RkRLu</t>
  </si>
  <si>
    <t>KOCH 52 ZEUS KOMPRAO 55</t>
  </si>
  <si>
    <t>https://drive.google.com/open?id=1Df5jqd_wG6aLJJcXqxgckb_nI-OsZnqQ</t>
  </si>
  <si>
    <t>https://drive.google.com/open?id=1bryMhiTpYiNhJ6mqxQVMsX5d3UV4YU2E</t>
  </si>
  <si>
    <t>komprao garopaba, komprao laguna, komprao garopaba</t>
  </si>
  <si>
    <t>https://drive.google.com/open?id=16tZ15YcfpeIV4RxEQVhuxogK5KM829S9, https://drive.google.com/open?id=1uvHfWRTbN_b48BFPwNEHBZpPEkg4Jscw, https://drive.google.com/open?id=1XkaHUriIIEwdeWl7jHK2fz4aCYO24ZZk, https://drive.google.com/open?id=18JutFsJAdrfIr5Wd3U32fLw3c5WvblI8</t>
  </si>
  <si>
    <t>tive que passar na ida e na volta em garopaba</t>
  </si>
  <si>
    <t>https://drive.google.com/open?id=13y3QdHvZFhEK_z9rXEDddUOJ5KlwnGwF</t>
  </si>
  <si>
    <t>https://drive.google.com/open?id=1knPK5WIPw3Jh-h0wDELKe9H4J1GRnJie</t>
  </si>
  <si>
    <t>Komprao 18 
Koch 52 
Koch 08 
Komprão 38</t>
  </si>
  <si>
    <t>https://drive.google.com/open?id=1JAwOg9sHKc2ILcWP8mk1e6aVXqtPDDYI</t>
  </si>
  <si>
    <t>https://drive.google.com/open?id=1BtTCVS8DWg-lBkXsrDDyHUQivb1ezo27</t>
  </si>
  <si>
    <t>COOPER VILA NOVA, COOPER GARCIA, COOPER CAÇADORES</t>
  </si>
  <si>
    <t>https://drive.google.com/open?id=1aM9X2lJ97d7Ot1B4AXdiosKPd-NvfeY0</t>
  </si>
  <si>
    <t>https://drive.google.com/open?id=1wo6-ah5isw9qzq8fvSIMNwoefe-zFRm0</t>
  </si>
  <si>
    <t>Angeloni beira mar, Carrefour, imperatriz Floripa,Fort 810, Fort 210</t>
  </si>
  <si>
    <t>38.00</t>
  </si>
  <si>
    <t>https://drive.google.com/open?id=13euQ5oHFFAUdPgA9AhKiCoVR_ARBkgNy, https://drive.google.com/open?id=1yz6LLq6FoLhLizC7ywc5lIp-Ds6oJcgV</t>
  </si>
  <si>
    <t>aline.moreira@mazzini.com.br</t>
  </si>
  <si>
    <t>Rancho bom amizade, rancho bom três Rios, rancho bom Schroeder, rancho bom vieiras</t>
  </si>
  <si>
    <t>Komprao 77, komprao 45, Bistek, CDD AmBev,</t>
  </si>
  <si>
    <t>Angeloni 10, super A</t>
  </si>
  <si>
    <t>Preceiro, Angeloni SFS, komprao SFS,kock sfs</t>
  </si>
  <si>
    <t>Fort 405, Fort 905, komprao 51, imperatriz 37, komprao 50</t>
  </si>
  <si>
    <t>https://drive.google.com/open?id=1O40EeC4iEyevFDoVO6KM2uIS_VkvtViV</t>
  </si>
  <si>
    <t>https://drive.google.com/open?id=1SI2uNgUceYtySNnFexE2VTX3zBI232TT</t>
  </si>
  <si>
    <t>Komprao 18 
Komprão 37 
Koch 52 
Komprão 82 
Comper Itapema</t>
  </si>
  <si>
    <t>https://drive.google.com/open?id=1fxhVmN76MvTNJM-HxDxYwAmMEyPI_5XQ</t>
  </si>
  <si>
    <t>https://drive.google.com/open?id=1cDUze20ElV9Xh9DJ1EF1NtqNvEYqe7Uu</t>
  </si>
  <si>
    <t>https://drive.google.com/open?id=1G83-RLShjFF8twKIkZqsQAOxkft_abCq</t>
  </si>
  <si>
    <t>K59,BR ATAVADISTA,SAMS</t>
  </si>
  <si>
    <t>https://drive.google.com/open?id=1sHOr68hRf9vpK9BVg4a4jDbbvJ2P5ALs</t>
  </si>
  <si>
    <t>https://drive.google.com/open?id=1j0iDhE0Fdk3IldEqeNMUcJXpd9-JKCbE</t>
  </si>
  <si>
    <t>CONDOR COMASA,CDD AMBEV</t>
  </si>
  <si>
    <t>https://drive.google.com/open?id=1CF12Gpjv24WOZYv7OVL9K52tSwuo0wrO</t>
  </si>
  <si>
    <t>https://drive.google.com/open?id=1kGgsFFYHeel4HK5z578TbZQePFhQ5lJQ</t>
  </si>
  <si>
    <t>K59,CONDOR 51,ANGELONI</t>
  </si>
  <si>
    <t>https://drive.google.com/open?id=1HZyStWGuD0-YUoY5Maki7MBZT7PvAIVx</t>
  </si>
  <si>
    <t>https://drive.google.com/open?id=1yI7jpXOJraCAyJU3-lmq2UAHBv26VrcH</t>
  </si>
  <si>
    <t>Setor de viagem (Florianópolis)</t>
  </si>
  <si>
    <t>https://drive.google.com/open?id=1PrCmbz8rcHclEtDBNuaSCPKqk5eM1-Gz</t>
  </si>
  <si>
    <t>https://drive.google.com/open?id=1hY3l_pkG7EKaSFGgUGle8f-7EukmVKGM</t>
  </si>
  <si>
    <t>fort 310 
ccomper camboriu 
komprão 38 
koch 06 
komprao 37</t>
  </si>
  <si>
    <t>qpa6g65</t>
  </si>
  <si>
    <t>https://drive.google.com/open?id=19fUekq9FlH8I_vZMbfgW5D3Sk1Eu8z0A</t>
  </si>
  <si>
    <t>https://drive.google.com/open?id=1XsfJJQRpGFvmG93FSQ2JSYxiIelgujea</t>
  </si>
  <si>
    <t>Brasil atacadista/ loja EPI MWM Palhoça</t>
  </si>
  <si>
    <t>https://drive.google.com/open?id=1CZJe3UxjeaYiW84ihnE9tmBCKVr1MYah</t>
  </si>
  <si>
    <t>https://drive.google.com/open?id=1qHXlUza9B4y6lrGoq4j3T3lsjiZASCj7</t>
  </si>
  <si>
    <t>https://drive.google.com/open?id=12JQNbRhVUBc_-PNc8imfS2z1dlmduA_7</t>
  </si>
  <si>
    <t>https://drive.google.com/open?id=1P6ve18SRRoqwZY-gzLx_VMT2AENFe_4F</t>
  </si>
  <si>
    <t>Komprão 49. cooper nações, fort indaial, kompão 49, mocam 401</t>
  </si>
  <si>
    <t>UAB1D19</t>
  </si>
  <si>
    <t>https://drive.google.com/open?id=1yETM0djnO8fiVNun7elgKGcJWCI4-VU6</t>
  </si>
  <si>
    <t>https://drive.google.com/open?id=1JRysmcg1T7Mwo9HuHBgHRxqQxNw1ne_P</t>
  </si>
  <si>
    <t>CARREFOUR FLORIPA</t>
  </si>
  <si>
    <t>estou utilizando carro reserva pois o meu esta na oficina</t>
  </si>
  <si>
    <t>Rancho bom Schroeder, rancho bom amizade, rancho bom vieiras, rancho bom três Rios</t>
  </si>
  <si>
    <t>https://drive.google.com/open?id=1GgWObHkPj0Q7ujMlj3yCOUXUf9TsVmgI</t>
  </si>
  <si>
    <t>https://drive.google.com/open?id=10_zNW1sgz75FB1LzfKHR9Vn1bed698uB</t>
  </si>
  <si>
    <t>Komprão49 Indaial Estados</t>
  </si>
  <si>
    <t>Multiseg EPI, Fort 250, komprao 77</t>
  </si>
  <si>
    <t>tch4e15</t>
  </si>
  <si>
    <t>https://drive.google.com/open?id=1TCFKHYnfXfmDOw7-pTDm6nNaNDc1pmH0</t>
  </si>
  <si>
    <t>https://drive.google.com/open?id=1An4R39mUj-758-g1MTrf3WBKemX7lcK4</t>
  </si>
  <si>
    <t>Angeloni beira mar, koch ingleses, brasil rio tavares, fort campeche, angeloni capoeiras,vila romana.</t>
  </si>
  <si>
    <t>https://drive.google.com/open?id=1_eosak6hac31j3irDpQDQn2LS8ER1iyw</t>
  </si>
  <si>
    <t>https://drive.google.com/open?id=1OyOX8A_0OFjYDBArQq8dzoSDgOy4wjOZ</t>
  </si>
  <si>
    <t>fort 310 itajai mechke fikial 01 komprao 37 koch 07 komprao 15</t>
  </si>
  <si>
    <t>Fort 905, cooper aventureiro, cooper vil nova, rancho bom Jaraguá esquerdo, rancho da barra, rancho bom vieiras</t>
  </si>
  <si>
    <t>Fort 130 
Fort 462
Brasil atacadista central 
Imperatriz ponte do imaruim</t>
  </si>
  <si>
    <t>Imperatriz floripa shopping</t>
  </si>
  <si>
    <t>https://drive.google.com/open?id=1i54LP8qkhCqk9K_7BPBUa7YjGIDMWlWd</t>
  </si>
  <si>
    <t>https://drive.google.com/open?id=1vL--vnpAYT3cr5YxKBlNQOADUoYd-VXR</t>
  </si>
  <si>
    <t>https://drive.google.com/open?id=1V-RB9xZB_UIPNkBnVK0rT3qq0S3VDFuC</t>
  </si>
  <si>
    <t>Brasil Atacadista Blumenau - Cooper Filial Blumenau Vorstadt - Zeus - Cooper Garcia Florianopolis Sc</t>
  </si>
  <si>
    <t>oliveiraagm7@gmail.com</t>
  </si>
  <si>
    <t>https://drive.google.com/open?id=1NBEVD7JH16IDXR6bXu2pfqZXGVW3cKs6</t>
  </si>
  <si>
    <t>https://drive.google.com/open?id=1lvvrzFbEGtoNSOO__XaKsuosXZ_FMayS</t>
  </si>
  <si>
    <t>Angeloni Lages, Stok Center Lages, Bistek Lages, Fort 260 Lages, Fort 960 Lages, Brasil Atacadista Lages, Atacadão Lages</t>
  </si>
  <si>
    <t>Fort kobrasol 
Fort 306 
Fort 365</t>
  </si>
  <si>
    <t>https://drive.google.com/open?id=1RBwG02N52uegnQ7z2jvMe5DRvaC7m6JC</t>
  </si>
  <si>
    <t>https://drive.google.com/open?id=1iouB6-whVlMon7qZ8qCdSZCtcA5ewizl</t>
  </si>
  <si>
    <t>Komprao forquilinhas 
Komprao pedra branca 
Komprao ponte do imaruim</t>
  </si>
  <si>
    <t>https://drive.google.com/open?id=1l2w_IVv39Pj4TKBU-EPRUQpGFWNrK9P_</t>
  </si>
  <si>
    <t>https://drive.google.com/open?id=1xw4SuTEYUZklJAR5M68Won5Bmhs4lZ0C</t>
  </si>
  <si>
    <t>cooper itoupava central, bisteck park europeu, koch 89, komprão 40 e top general osorio</t>
  </si>
  <si>
    <t>16.00</t>
  </si>
  <si>
    <t>https://drive.google.com/open?id=15F16cZdLXt1gSflxmpVHgLsGpNnnTDwu, https://drive.google.com/open?id=1UF1prBeM3rBL2CA6Zrk-kdOtwviFjHLW</t>
  </si>
  <si>
    <t>o local não fazia nota</t>
  </si>
  <si>
    <t>Rancho bom vieiras, rancho bom amizade, rancho bom barra, rancho Jaraguá esquerdo</t>
  </si>
  <si>
    <t>https://drive.google.com/open?id=19f0vwas6aYJOjM38WQJymYYBK2dZYLAu</t>
  </si>
  <si>
    <t>https://drive.google.com/open?id=1_PYZb013Gfell21lOBCmpmNhvZfvVkHD</t>
  </si>
  <si>
    <t>FORT ATACADISTA TUBARAO,COMBO IÇARA, ATACADAO CRICIUMA, SUPERMERCADO MANENTTI CRICIUMA</t>
  </si>
  <si>
    <t>23.40</t>
  </si>
  <si>
    <t>https://drive.google.com/open?id=1wvofdvHs3VFRYhy7uEgZU_dgdzG64-GC, https://drive.google.com/open?id=1_qD736nVLzSX3x9N3NmhW68bHTfK4OTn, https://drive.google.com/open?id=1yQsx-p3sJhY-8H3a8OW_x-cBf5UmyLSe, https://drive.google.com/open?id=12hzc3fBP9GnmINTTIqoQ_L0qyOzebCH4, https://drive.google.com/open?id=12WieRyOVog6pHkckN2lM6yuRuJUeymxI</t>
  </si>
  <si>
    <t>utilizando automovel HB20 reserva</t>
  </si>
  <si>
    <t>Cooper atacarejo figueira Komprao 77, Fort 905, Fort 250,</t>
  </si>
  <si>
    <t>https://drive.google.com/open?id=1Q4Az-NxgQyJyBHa9nB4lcbDpJb3lC8ty</t>
  </si>
  <si>
    <t>https://drive.google.com/open?id=1MVk_MsiOiFHv8I7SAOjT_aJos1QB1wVd</t>
  </si>
  <si>
    <t>TOP GENERAL OSORIO</t>
  </si>
  <si>
    <t>Fort Tuiuti, Bistek, cooper aventureiro</t>
  </si>
  <si>
    <t>qil7h04</t>
  </si>
  <si>
    <t>https://drive.google.com/open?id=17dxk6R4PHtGaOLE67BOxhhBV-2SrjiLK</t>
  </si>
  <si>
    <t>https://drive.google.com/open?id=1jiXjEqQJh0WsKCI9C6Tg9R3OdDieWbdt</t>
  </si>
  <si>
    <t>Top bela vista e atacadão blumenau</t>
  </si>
  <si>
    <t>https://drive.google.com/open?id=1wjod4dM_T8msuU-FmgTPv0tpnmeZ3zxv</t>
  </si>
  <si>
    <t>https://drive.google.com/open?id=1wTO17BcJO3pGJppsIWeZRMJWK_C_S-9J</t>
  </si>
  <si>
    <t>Atacadao Fernando Machado Chapecó, Atacadao av senador Chapecó, Fort Chapecó</t>
  </si>
  <si>
    <t>https://drive.google.com/open?id=1e4XuTqYTrVtOjhN9Y_iI81cw_mZUbIJS</t>
  </si>
  <si>
    <t>https://drive.google.com/open?id=1ECJBM0WWxnn2xWhAZvE2mx70jWSgAsvk</t>
  </si>
  <si>
    <t>mercado schimidt sao jose/GSR supervisor Anderson Simas</t>
  </si>
  <si>
    <t xml:space="preserve">Fort kobrasol 
Fort 306
Fort 290
Koch biguaçu 
Fort 365
</t>
  </si>
  <si>
    <t>https://drive.google.com/open?id=10df8UHJk-dCDuWPGNCvi7rzRqiVF0bA7</t>
  </si>
  <si>
    <t>https://drive.google.com/open?id=1gCRWICjO44IJO8zYEvxHsPBfiTH7p00W</t>
  </si>
  <si>
    <t>ANGELONI,K59,SAMS,CONDOR 51,CONDOR 57</t>
  </si>
  <si>
    <t>https://drive.google.com/open?id=1BsuNYqPeAOGZwNOtJL7JDcLC2-7X3pfs</t>
  </si>
  <si>
    <t>https://drive.google.com/open?id=1nWnq1pzrS036-E1-2RkdqSY1PJ4UYKOA</t>
  </si>
  <si>
    <t>Retorno setor de viagem</t>
  </si>
  <si>
    <t>https://drive.google.com/open?id=1-af5eBkbllolhEVrWo6P73KnL1Mag_m-</t>
  </si>
  <si>
    <t>https://drive.google.com/open?id=12remu_h4QBqWGfNGDGh7iJjsXCOk5awN</t>
  </si>
  <si>
    <t>Brasil atacadista, bisteck park europeu, cooper general, cooper ominio, cooper mafisa</t>
  </si>
  <si>
    <t>Fort 905, komprao 77, komprao 51, cooper Guaramirim, komprao Guaramirim, rancho bom vieiras, cooper figueira</t>
  </si>
  <si>
    <t>Bisteck av das torres 
Komprao real parque
Komprao bom viver 
Brasil atacadista Ipiranga</t>
  </si>
  <si>
    <t>Komprao pedra branca 
Komprao ponte do imaruim 
Imperatriz ponte do imaruim 
Fort 462
Fort 130</t>
  </si>
  <si>
    <t>https://drive.google.com/open?id=16yOBUSARHQ8npgMP1uy1AFBxw5fe-ksx</t>
  </si>
  <si>
    <t>https://drive.google.com/open?id=1Ksn3K9OOsmFsAKwNMDHRJjyjYCNNF-2M</t>
  </si>
  <si>
    <t>Super A, Zeus e top gustavo</t>
  </si>
  <si>
    <t>Komprao 77, Fort 905, komprao 51,</t>
  </si>
  <si>
    <t>https://drive.google.com/open?id=1kJQ4wPfnvUvKud2QcDyPla_TiLc3Mo0U</t>
  </si>
  <si>
    <t>https://drive.google.com/open?id=1uvXGlOu3vpj9ww0adM7W31S_AIoffwxO</t>
  </si>
  <si>
    <t>MAFRA E RIO NEGRINHO</t>
  </si>
  <si>
    <t>Komprao SFS, preceiro SFS, Angeloni SFS,kock SFS, Brasil atacadista 40</t>
  </si>
  <si>
    <t>Comper Camboriú e Carrefour</t>
  </si>
  <si>
    <t>MAIO Total</t>
  </si>
  <si>
    <t>Balneário Camboriú</t>
  </si>
  <si>
    <t>Rota em porto belo</t>
  </si>
  <si>
    <t>Rota Itapema</t>
  </si>
  <si>
    <t>Iut1c03</t>
  </si>
  <si>
    <t>Roteiro em bombinhas</t>
  </si>
  <si>
    <t>Balneario Camboriú rede Meschke, rota com bruno</t>
  </si>
  <si>
    <t>https://drive.google.com/open?id=1tVtH7Enef6QakuRtwOoYY9TXWxSNIoKV</t>
  </si>
  <si>
    <t>https://drive.google.com/open?id=1wIREohPAPRZbXeJskccaLca_MT1Y0Cm2</t>
  </si>
  <si>
    <t>COOPER ITOUPAVA, CENTRAL 102, SUPER A E COOPER GEN OSORIO</t>
  </si>
  <si>
    <t>https://drive.google.com/open?id=1w0bXeWyIYCLIHvgE3J29LN4Qhyc3haWQ</t>
  </si>
  <si>
    <t>https://drive.google.com/open?id=1TYtmn7k3VTwRJ5hTp00y6klpXG0sQqch</t>
  </si>
  <si>
    <t>https://drive.google.com/open?id=1gN0kblhVK2_q_-wKz18OD9awKZ4rGD-M</t>
  </si>
  <si>
    <t>Angeloni capoeiras, Zeus brasil, wmw palhoça, imperatriz coqueiros recolher epi elchin</t>
  </si>
  <si>
    <t>https://drive.google.com/open?id=1lhglYaW8tjvcGC8ujrp86byuaRckV9kJ</t>
  </si>
  <si>
    <t>https://drive.google.com/open?id=11vqFH88JWI4PZhi6meOewLKGlh0Dmex_</t>
  </si>
  <si>
    <t>Carrefour, Fort campeche, imperatriz lagoa</t>
  </si>
  <si>
    <t>https://drive.google.com/open?id=1oz5yLX3Ojm7yuY4W5H9fseBeMl0l_LQi</t>
  </si>
  <si>
    <t>https://drive.google.com/open?id=14a4G8yQYZk8gvQafKFXWwym7pcuTR7vv</t>
  </si>
  <si>
    <t>https://drive.google.com/open?id=1S-0H8g1uER93jTNRzUSuCoVXdvkE0l83</t>
  </si>
  <si>
    <t>rede top lontras e preceiro rodeio</t>
  </si>
  <si>
    <t>https://drive.google.com/open?id=1STo_2JuhUI5foIjI3zIIX-6AAbK7W-PD</t>
  </si>
  <si>
    <t>https://drive.google.com/open?id=1UDpleaRGMtac9sr3vPac--sm0nIlkaY2</t>
  </si>
  <si>
    <t>Carrefour, gsr com coordenadora, Komprao tijucas</t>
  </si>
  <si>
    <t>https://drive.google.com/open?id=18ntHlRrCMfyHGCF-U471Yn3v6k4gHi8Q</t>
  </si>
  <si>
    <t>https://drive.google.com/open?id=1YkEEpN4fo7X4hPipsdTHeKV4rCtWdXUr</t>
  </si>
  <si>
    <t>https://drive.google.com/open?id=1ANZJfr732iHqRkystk63VmBdTvPERjnX</t>
  </si>
  <si>
    <t>Carrefour, Angeloni Trindade e Angeloni agronômica</t>
  </si>
  <si>
    <t>contato.martinsneto@gmail.com</t>
  </si>
  <si>
    <t>https://drive.google.com/open?id=1RSbDv4ivy-zwUCVFPpAsTvCHQwTWs1Jf</t>
  </si>
  <si>
    <t>https://drive.google.com/open?id=1eK56X_BPPKWqyRvYrOT2yXl1KA9ZmScH</t>
  </si>
  <si>
    <t>porto belo e itapema</t>
  </si>
  <si>
    <t>https://drive.google.com/open?id=11WMxBMuz8fRsXMeD1GQuTVdNEnlJd6N8</t>
  </si>
  <si>
    <t>https://drive.google.com/open?id=1G03WTeiTwJuHPNBAi7gwvkSmXVu32VBu</t>
  </si>
  <si>
    <t>BALNEARIO</t>
  </si>
  <si>
    <t>https://drive.google.com/open?id=1I7QqW4I4GhY8kctY3J6P62OjBuLaLrS9</t>
  </si>
  <si>
    <t>https://drive.google.com/open?id=1Ccx_ohoTntBb526H8jcua3kMLQw2EuRw</t>
  </si>
  <si>
    <t>ITAJAI</t>
  </si>
  <si>
    <t>https://drive.google.com/open?id=1SdLUtb4rp9p0QmtRV1ja9maxT-wXz07q</t>
  </si>
  <si>
    <t>https://drive.google.com/open?id=1Sb5ODLcXp5FHxbcPxILsfMgAj0ohXRLc</t>
  </si>
  <si>
    <t>GSR SAIDDA, PORO BELO E TIJUCAS</t>
  </si>
  <si>
    <t>https://drive.google.com/open?id=16XYyIsCnv1DJtPA9NLf7W1cNWpj0OZ0l</t>
  </si>
  <si>
    <t>https://drive.google.com/open?id=1vnyJqD6E-UTRqOENta9lq7vrirsDvoN-</t>
  </si>
  <si>
    <t>Fort 810, Fort vargem, kock</t>
  </si>
  <si>
    <t>https://drive.google.com/open?id=1z_YsftOU2WyyiEEH3DHEzxfGF5sQvRSj</t>
  </si>
  <si>
    <t>https://drive.google.com/open?id=1MgVi72dNV2KsDJbQrOz5lct9robnQwGA</t>
  </si>
  <si>
    <t>Cooper Gen. Osorio e Supermercados Central 103</t>
  </si>
  <si>
    <t>https://drive.google.com/open?id=17knNYXH3P3725eSa5-5EpjmgWFsN1hRo</t>
  </si>
  <si>
    <t>https://drive.google.com/open?id=1TLs9FYYyPruiSxY8oU7yFrBFcnakChoS</t>
  </si>
  <si>
    <t>Hiperselect, brasil atacadista, Fort campeche</t>
  </si>
  <si>
    <t>QUV8F59</t>
  </si>
  <si>
    <t>https://drive.google.com/open?id=1kNNdNjrUPmhZ4ukfvkHUkblxBTSiO2x2</t>
  </si>
  <si>
    <t>https://drive.google.com/open?id=1x34nFFN3ptmzoJFEDfSEeKRUv9oAP2mo</t>
  </si>
  <si>
    <t>Deslocamento envios de Epi's</t>
  </si>
  <si>
    <t>https://drive.google.com/open?id=1xTd-12IylLv0u-cC4JqEXJdMb3rsyDXt</t>
  </si>
  <si>
    <t>https://drive.google.com/open?id=1Pkd2PfCSYZfiYzJPTsKXunPtaueOaClD</t>
  </si>
  <si>
    <t>Komprão 55
Komprão 74 
Fort 225 
Fort 310 
Angeloni itajai 
Bistek itajai 
Fort lj 32 
Komprao 37 PB</t>
  </si>
  <si>
    <t>https://drive.google.com/open?id=159eNz5vbBAv-QDNUqvmzocUpLI3c27V9</t>
  </si>
  <si>
    <t>https://drive.google.com/open?id=1IBJ823PfzING6dTVRhz1tidYyHNWEkp6</t>
  </si>
  <si>
    <t>Imperatriz Coqueiros, Angeloni capoeiras, atacadão, sams , Fort 379</t>
  </si>
  <si>
    <t>https://drive.google.com/open?id=1rY6k_EIEBXode-lB0HbLo38Vu6M_aTU8</t>
  </si>
  <si>
    <t>https://drive.google.com/open?id=1kErK_ULPgEbfWZgo3LxhAZ-tiCZlN1Bn</t>
  </si>
  <si>
    <t>for 190 komprao 69 comper itapema komprao 37</t>
  </si>
  <si>
    <t>https://drive.google.com/open?id=19cXBsD0o_A0JoBaU6aUZ2UtrG7hMB8tq</t>
  </si>
  <si>
    <t>https://drive.google.com/open?id=15LVLe31BzvSSMyx4c832s85npWHy2XMt</t>
  </si>
  <si>
    <t>K59,SAMS,CONDOR COMASA,CONDOR 51,CDD</t>
  </si>
  <si>
    <t>https://drive.google.com/open?id=1CxSlNWWZhW2ZzgOGRlNY9oFH_EqdXpBh</t>
  </si>
  <si>
    <t>https://drive.google.com/open?id=1S874AKmsPGPgO5U7Y-qje8velopfbEWe</t>
  </si>
  <si>
    <t>BR ATACADISTA ,CONDOR 51,KOMPRAO</t>
  </si>
  <si>
    <t>https://drive.google.com/open?id=1hnelPQtXwjFxxg3wmi55q6Zrcan3Tvt-</t>
  </si>
  <si>
    <t>https://drive.google.com/open?id=1ZZiz5gX5O0moqa4KunYd7Fi00Td4k3R_</t>
  </si>
  <si>
    <t>CDD ,BR ATACADISTA,HIPER 740,HIPER MARECHAL</t>
  </si>
  <si>
    <t>https://drive.google.com/open?id=1-EKaR7tHZQ2PyfO2uMwQ2uG16OyNE7ld</t>
  </si>
  <si>
    <t>https://drive.google.com/open?id=1tR8eW8cH1bYt3WZFyvW8nI7k8j8_zoC_</t>
  </si>
  <si>
    <t>CDD,HIPER,CONDOR 51</t>
  </si>
  <si>
    <t>https://drive.google.com/open?id=1DuBwxJOii_ExN1RGDFTJormpqycm6Sr7</t>
  </si>
  <si>
    <t>https://drive.google.com/open?id=1Df_UWPblz4cZ4BANEQO0C-voLDKIYhn8</t>
  </si>
  <si>
    <t>KOMPRAO BARRA DO SUL,BARRA VELHA ,BR ATACADISTA</t>
  </si>
  <si>
    <t>https://drive.google.com/open?id=1GCkGuZbt7dqqjIOiav-xK9UQ0mL5Tvlr</t>
  </si>
  <si>
    <t>https://drive.google.com/open?id=1Exwa7fEfN_HCxdnitZzDeNI9pUXnLSml</t>
  </si>
  <si>
    <t>Imperatriz estreito, Fort kobrasol, Angeloni beira mar</t>
  </si>
  <si>
    <t>Parador da ilha, atacadão via expressa, santos forquilhinhas, mwm, imperatriz estreito</t>
  </si>
  <si>
    <t>Komprao real parque 
Komprao bom viver 
Komprao forquilinhas</t>
  </si>
  <si>
    <t>Super A 
Brasil sertão do imaruim 
Fort 130</t>
  </si>
  <si>
    <t>Komprao 24
Koch 01
Koch02
Komprao 53 
Koch 20</t>
  </si>
  <si>
    <t>Fort 462
Fort 365
Fort 130</t>
  </si>
  <si>
    <t>CAMILA CRISTINE ALTHOFF Total</t>
  </si>
  <si>
    <t>Komprao Laguna, Fort tubarão, atacadão içara.</t>
  </si>
  <si>
    <t>https://drive.google.com/open?id=1j7v15ZXitoRrpjUkum_LCGWu8BvPMLGE</t>
  </si>
  <si>
    <t>https://drive.google.com/open?id=1Kyh3L5G8NTW7MU2LWNgKb9KtqN232vO5</t>
  </si>
  <si>
    <t>Brasil atacadista Rio do Sul, Fort Rio do sul</t>
  </si>
  <si>
    <t>https://drive.google.com/open?id=1vDQDvxTgZRTXiUzvY78pCAK3Dlx_Lqkn</t>
  </si>
  <si>
    <t>https://drive.google.com/open?id=1M8D1-n_B3tE9zFHRGSx4oh50jk44EZED</t>
  </si>
  <si>
    <t>Carrefour, Angeloni Trindade, imperatriz lagoa</t>
  </si>
  <si>
    <t>https://drive.google.com/open?id=1cEwI89ewEpMNRE0gJ9Zq6dzWpxpOvrSm</t>
  </si>
  <si>
    <t>https://drive.google.com/open?id=1lUEy4GyozX3QIcmxl-kriMWZ2gSGCWYu</t>
  </si>
  <si>
    <t>Manentti içara, atacadão içara</t>
  </si>
  <si>
    <t>https://drive.google.com/open?id=1JJh2Mkmal7KWhNtJY-YMsS7Qu9bRCHRo</t>
  </si>
  <si>
    <t>Zeus, komprao 45, komprao 51, Bistek , Fort Tuiuti</t>
  </si>
  <si>
    <t>Preceiro SFS, Comper 395, Koch SFS, Brasil atacadista boa vista</t>
  </si>
  <si>
    <t>Cooper Guaramirim, rancho bom Corupá</t>
  </si>
  <si>
    <t>https://drive.google.com/open?id=15hQGiB3xcy2jyHhcuaeP3G9YhSSI52Lw</t>
  </si>
  <si>
    <t>https://drive.google.com/open?id=1dFlh56_1s3eTj_QqBfwXfnICzVy8OT2B</t>
  </si>
  <si>
    <t>Fort 960 Lages, Stok Center Lages, Bistek Lages, Atacadao Lages, Brasil atacadista Lages</t>
  </si>
  <si>
    <t>https://drive.google.com/open?id=18Rk4d3BcdXsrdg5GMCkLKiAVPP5sBUJr</t>
  </si>
  <si>
    <t>https://drive.google.com/open?id=1XTg27yicXLj7EaZGQ_CO2eCFnzKAhRl8</t>
  </si>
  <si>
    <t>Cooper Itoupava Norte, Cooper Filial vila nova, Cooper Itoupava, Komprão Timbo Lj34 e Supermercados Mocam 401</t>
  </si>
  <si>
    <t>https://drive.google.com/open?id=15L-jrNEKXO3RGjYLppq42SSR9TU1-7lH</t>
  </si>
  <si>
    <t>https://drive.google.com/open?id=17IWFYtwVql54-svRxysRwDPx0o64odxU</t>
  </si>
  <si>
    <t>Cooper Atacarejo, Fort Brusque, Arcker Lj7, Komprão Lj36, Arcker Gaspar</t>
  </si>
  <si>
    <t>https://drive.google.com/open?id=1-30eNKx5c_uLvn6t-xKzUw1NH-5qBhA2</t>
  </si>
  <si>
    <t>https://drive.google.com/open?id=1jug9FENALIgN5iQ8zINAAGbfBrZJ6aGX</t>
  </si>
  <si>
    <t>Supermercados Nardelão 201, Fort Indaial Lj270, Komprão 49 Indaial Estados, Supermercados Mocam 402 e Komprao Timbo Lj34</t>
  </si>
  <si>
    <t>https://drive.google.com/open?id=1DXeYgmiJYL0_ETDw-MUUnNBaJhLFouCE</t>
  </si>
  <si>
    <t>https://drive.google.com/open?id=1RPXNrwDG7qoYIYXwXIcJhVpYOkwOxsGe</t>
  </si>
  <si>
    <t>Angeloni itajai 
Fort 825 
Comper itapema 
Komprão 37</t>
  </si>
  <si>
    <t>https://drive.google.com/open?id=1G-0P8SZhvuFpBR02IBXZT8qHaB4owwbI</t>
  </si>
  <si>
    <t>https://drive.google.com/open?id=1CV8Xtl-4wpSlmGhd1erSX1dAijJ6LdtH</t>
  </si>
  <si>
    <t>Fort 190 
Komprão 37 
Brasil Atacadista 
koch 14 
koch 09</t>
  </si>
  <si>
    <t>https://drive.google.com/open?id=1F60UQWGNZiFSlakKpCjvYICmpcSbe88W</t>
  </si>
  <si>
    <t>https://drive.google.com/open?id=1eYqNzT7MSYe-C8DCkzKavgWOSenD6TRW</t>
  </si>
  <si>
    <t>brasil atacadista porto belo, Fort 190. koch 04,kock 06, koch 07,komprao 18,</t>
  </si>
  <si>
    <t>https://drive.google.com/open?id=1zBrvGYp9DJEDdcWajrhOxzXQ-6NVGQr2, https://drive.google.com/open?id=18DDQt1VHBRWMkcHZaYpYQTKVIN_GsstX</t>
  </si>
  <si>
    <t>https://drive.google.com/open?id=1epgCaIJ_WTO9C2j55RMIeQUV3dTT8XRY</t>
  </si>
  <si>
    <t>https://drive.google.com/open?id=13roGGvhZy9yCPckgPF7FVHoMVdhbgWqA</t>
  </si>
  <si>
    <t>Atacadão via expressa, super A, Carrefour</t>
  </si>
  <si>
    <t>https://drive.google.com/open?id=1TzCT1eanvF6o2DUWUBfIu2buWqnYF7Pa</t>
  </si>
  <si>
    <t>https://drive.google.com/open?id=14EFKT90zQs2GSkQqgCnLAjamu1Hbj5nY</t>
  </si>
  <si>
    <t>angeloni beira mar floripa, gsr supervisor ricardo, gsr supervisora camila, gsr coodenadora saidda e gsr tst carlos</t>
  </si>
  <si>
    <t>https://drive.google.com/open?id=12p_EM8p320QZRS6_HKwgAVM7Zw6z0pty</t>
  </si>
  <si>
    <t>https://drive.google.com/open?id=1f-RxHh8u8Fqcceb6acvy6cWmUBZ40I-7</t>
  </si>
  <si>
    <t>Angeloni beira mar, AmBev, gsr</t>
  </si>
  <si>
    <t>iu1c03</t>
  </si>
  <si>
    <t>https://drive.google.com/open?id=1bMwpZ-txX_uo5W7HQcjsSW80ZBZfaV3Y</t>
  </si>
  <si>
    <t>https://drive.google.com/open?id=1wKejA32UK3DCcerCLFQ-jTckNtnTbL8Z</t>
  </si>
  <si>
    <t>Carrefour Camboriu 
Koch 09
Komprao 82
Komprão 18 
Komprão 37 
Komprão 69</t>
  </si>
  <si>
    <t>https://drive.google.com/open?id=1bXLHY3pcLOEG0AaxmR1RaP5HIeO4zCsC</t>
  </si>
  <si>
    <t>https://drive.google.com/open?id=165_4GZKk7s92MQMIfe-C7wMOuyFcuayZ</t>
  </si>
  <si>
    <t>Carrefour 
Scarlett 
Komprão 55 
Meschke Atacadista</t>
  </si>
  <si>
    <t>https://drive.google.com/open?id=1g39m7k4oIAZkdJ2YohdiXI_2DlDSR2RW</t>
  </si>
  <si>
    <t>https://drive.google.com/open?id=1YWvOOa5EDGBt9jVJ7lf12eFmUVZJEnAc</t>
  </si>
  <si>
    <t>Brasil tijucas
Komprão 82
Komprão 18
Komprão 37 
Komprão 69 
Anderson Góis encontro</t>
  </si>
  <si>
    <t>https://drive.google.com/open?id=1cOhiyJAWyZC2zWsy5x6KREQGK4WPtOUJ</t>
  </si>
  <si>
    <t>https://drive.google.com/open?id=1cvikV5s6vpBLsm9mpMM51AV56PNrkVjw</t>
  </si>
  <si>
    <t>GIASSI, SUPER A, COOPER GARCIA, COOPER VILA NOVA, KOMPRÃO 40, ATACADÃO BNU</t>
  </si>
  <si>
    <t>https://drive.google.com/open?id=1lgnlsE-QM0IIeWtZvGrtCH-xYYotaDp8</t>
  </si>
  <si>
    <t>https://drive.google.com/open?id=1cfa4sZtNLuRC9Yt2dqywt4oga507rkH3</t>
  </si>
  <si>
    <t>https://drive.google.com/open?id=1opO84TpLRL4zap050AF5DikwuS64YEZj</t>
  </si>
  <si>
    <t>ARCHER 7</t>
  </si>
  <si>
    <t>https://drive.google.com/open?id=1Nk8hPDKloUMkFNynxkxGE5yWcCqW9wCi</t>
  </si>
  <si>
    <t>https://drive.google.com/open?id=13MBDEBQ0hXGZIUawDW_c9L3Ipkzohce_</t>
  </si>
  <si>
    <t>SAMS, GTOP FPRTALEZA 19, BISTECK PARK EUROPEU, SUPER A, COOPER ITOUPAVA E KOMPRÃO POMERODE</t>
  </si>
  <si>
    <t>https://drive.google.com/open?id=1M9n80mFku8-dTBmKy1UKiseGmQJsAQxG</t>
  </si>
  <si>
    <t>https://drive.google.com/open?id=1OVGvNbJMbXQP3_GenZtB1tcQOG0vTvEf</t>
  </si>
  <si>
    <t>Fort campeche, atacadão , Angeloni capoeiras</t>
  </si>
  <si>
    <t>55.66</t>
  </si>
  <si>
    <t>https://drive.google.com/open?id=1LtbBXILJvclTHNUEYy8D-J3Z2VUCQ_S_</t>
  </si>
  <si>
    <t>Devido a virada de loja pra visita foi gasto com os promotores esse valor</t>
  </si>
  <si>
    <t>https://drive.google.com/open?id=1PRZFwP0os7N_yE_AyMwppv-psr073CrQ</t>
  </si>
  <si>
    <t>https://drive.google.com/open?id=1s2CXUxjRucytwIuwJRvBWB227V46yrtv</t>
  </si>
  <si>
    <t>CDD FLORIPA</t>
  </si>
  <si>
    <t>https://drive.google.com/open?id=164pcn0ecVbHNScdlJMflvvzYy6Yv0x8Q</t>
  </si>
  <si>
    <t>https://drive.google.com/open?id=1iYxPhg8cqhEWj-Q3ZF-jTS2FXv8e95Fe</t>
  </si>
  <si>
    <t>Casa coordenadora</t>
  </si>
  <si>
    <t>Fort 306
Fort 160 
Fort 290
Koch biguaçu</t>
  </si>
  <si>
    <t>Komprao bom viver
Komprao avenida das torres 
Bisteck avenida das torres</t>
  </si>
  <si>
    <t>Komprao 53 Tijucas 
Komprao 20 Tijucas 
Koch 2 Tijucas 
Komprao 24 Tijucas 
Fort barreiros</t>
  </si>
  <si>
    <t>Brasil atacadista central 
Fort 462
Fort 130
Brasil atacadista Ipiranga</t>
  </si>
  <si>
    <t xml:space="preserve">Komprao forquilhas 
Brasil atacadista sertão do imaruim 
Imperatriz ponte do imaruim 
</t>
  </si>
  <si>
    <t>Komprao pedra branca 
Komprao ponte do imaruim 
Imperatriz ponte do imaruim 
Fort 306</t>
  </si>
  <si>
    <t>Fort 306
Fort 160
Atacadao biguaçu 
Super A</t>
  </si>
  <si>
    <t xml:space="preserve">Fort 462
Komprao forquilhas
Brasil atacadista 
Bisteck 
</t>
  </si>
  <si>
    <t>Fort 130 
Komprao pedra branca 
Komprao imperatriz</t>
  </si>
  <si>
    <t>https://drive.google.com/open?id=1i9KPTcr6XuOpl5kiX9xdXjzV5okAcHUH</t>
  </si>
  <si>
    <t>https://drive.google.com/open?id=1F29mC4QKLTtVJpORTUo-ZQ7DgBLg0bOr</t>
  </si>
  <si>
    <t>RIO NEGRINHO E JOINVILLE</t>
  </si>
  <si>
    <t>https://drive.google.com/open?id=1uZXKErd8GapmyHbOYxqE79IJPzKb8oq3</t>
  </si>
  <si>
    <t>https://drive.google.com/open?id=1FSXi9m3wZNgh2bvkc9YFfd8e3kNSefEW</t>
  </si>
  <si>
    <t>KOMPRAO BARRA DO SUL,KOMPRAO 92</t>
  </si>
  <si>
    <t>https://drive.google.com/open?id=12V_c3XIVsFt__xVIBY2_kjvXRtt1CY52</t>
  </si>
  <si>
    <t>https://drive.google.com/open?id=1pr14aFEi2Y5JuDw2xw296GUTDWRPMzBY</t>
  </si>
  <si>
    <t>KOMPRAO 59,HIPERMAIS,BR ATACADISTA,CONDOR ,KOMPRAO 92,COOPER</t>
  </si>
  <si>
    <t>https://drive.google.com/open?id=1eoPIa-h7a9BrrgBXfxUDVuUjZiXiIjyc</t>
  </si>
  <si>
    <t>https://drive.google.com/open?id=1h7GDFXf5jphdwGgaEm6htWi13oweSk-M</t>
  </si>
  <si>
    <t>CONDOR 51,FORT TUIUTI,KOMPRAO ARAQUARI</t>
  </si>
  <si>
    <t>https://drive.google.com/open?id=1dskQr5jYbjBUG6IjZYWkmsucRJ-LvP7A</t>
  </si>
  <si>
    <t>https://drive.google.com/open?id=1HuqUjIh8PMEvDatzf-FL79axgkzbtOWc</t>
  </si>
  <si>
    <t>ANGELONI,KOMPRAO 59,SAMS CLUB</t>
  </si>
  <si>
    <t>JUNHO Total</t>
  </si>
  <si>
    <t>CARLOS PROENÇA Total</t>
  </si>
  <si>
    <t>MZ-335327</t>
  </si>
  <si>
    <t>TXO5F06</t>
  </si>
  <si>
    <t>https://drive.google.com/open?id=1Ra6sMcahFExr1yTSYpNS2pgidYyvEE_6</t>
  </si>
  <si>
    <t>https://drive.google.com/open?id=1rXQ2ZzDjMs_Bdul_mduKDBfoz-GaFmxi</t>
  </si>
  <si>
    <t>KOMPRAO GAROPABA</t>
  </si>
  <si>
    <t>https://drive.google.com/open?id=1l43D-YX51NuoowBUvSD2UGw4zLEb-35H, https://drive.google.com/open?id=1PlFSeOXQXhzuOYSDdv43Dj_79yIp8rbK</t>
  </si>
  <si>
    <t>Ida no pdv komprao com carro reserva para verificar situaçao de principio de incendio e condiçoes da loja .</t>
  </si>
  <si>
    <t>https://drive.google.com/open?id=1kL4bv37Txym_SuK823gDlka2Y2z6SB68</t>
  </si>
  <si>
    <t>https://drive.google.com/open?id=1SoML9WLgukMwmD1oCjWKXMSGzqTugBsT</t>
  </si>
  <si>
    <t>Setor de viagem Florianópolis</t>
  </si>
  <si>
    <t>https://drive.google.com/open?id=1aRZa-9sfQTUbZntjfZtWkH8L6UDqt7Bo</t>
  </si>
  <si>
    <t>https://drive.google.com/open?id=1OrSu4zR7VD3paJu-GhzSCWLyBp3nrJvx</t>
  </si>
  <si>
    <t>https://drive.google.com/open?id=1xg6YpFjKnx_Dt2JDXXLyJlnEQrZTrLC9</t>
  </si>
  <si>
    <t>https://drive.google.com/open?id=1p3XxFKpWq--517ZfqnX6xP4qAeTu9HYn</t>
  </si>
  <si>
    <t>Roteiro de viagem Florianópolis</t>
  </si>
  <si>
    <t>https://drive.google.com/open?id=1XTws3KDSyCdVh-Tl7uFvIuDsdR1tfhxJ</t>
  </si>
  <si>
    <t>https://drive.google.com/open?id=1loJ6NslCNcAI4sQBZKg9ISXrQT6ZUDMh</t>
  </si>
  <si>
    <t>Pegar Geovana, Saidda reunião, brasil atacadista tijucas kock tijucas, Komprao tijucas</t>
  </si>
  <si>
    <t>https://drive.google.com/open?id=1t-UCHvDJdeRbiUTRkOUhJTpzigURsEsI</t>
  </si>
  <si>
    <t>https://drive.google.com/open?id=1aM9t5Itcq0IC9nJS9_bJj2H0OrfN1ngv</t>
  </si>
  <si>
    <t>cooper itoupava, cooper gloria</t>
  </si>
  <si>
    <t>1.5</t>
  </si>
  <si>
    <t>https://drive.google.com/open?id=1SYDcyMjRrhH6hlnHVFF0iKd8ERDDmHeW</t>
  </si>
  <si>
    <t>https://drive.google.com/open?id=14YDWjFAbPTDfw92YUe5j_MZkVSwHVA5P</t>
  </si>
  <si>
    <t>https://drive.google.com/open?id=1Z3BNXsWmZ1M04Z3CrxheYOldx8CWiLEQ</t>
  </si>
  <si>
    <t>reversao</t>
  </si>
  <si>
    <t>https://drive.google.com/open?id=1bgfOnETahJtB9PqnVXUdu7y3KD_VR6-F</t>
  </si>
  <si>
    <t>https://drive.google.com/open?id=1AOTz_R8fgCG9GiUDwG5JTEI8qBdXy_93</t>
  </si>
  <si>
    <t>revrsao</t>
  </si>
  <si>
    <t>https://drive.google.com/open?id=1MbKgQ5C6Hvw9CzO87jPvgxCnFH4wAUHE</t>
  </si>
  <si>
    <t>https://drive.google.com/open?id=1Wt9ZuSXVa4g18EFJ34x_vVzANoQ8Ie1K</t>
  </si>
  <si>
    <t>https://drive.google.com/open?id=1Ki4e7xDulHnQQ3x5VBI8uga62kqSbfFo</t>
  </si>
  <si>
    <t>https://drive.google.com/open?id=1S0ZATASU43fUfURew1j1MZYbRsoyjrmR</t>
  </si>
  <si>
    <t>rervrsao</t>
  </si>
  <si>
    <t>https://drive.google.com/open?id=1youyEJhRWxbmuHgmr1_j6zEpdpXXMC0I</t>
  </si>
  <si>
    <t>https://drive.google.com/open?id=1Sb7NzBIu1iD6_-YrDMIkR8Uk-L-_M9QS</t>
  </si>
  <si>
    <t>komprao 18
komprO 82
KOMPRAO 37</t>
  </si>
  <si>
    <t>https://drive.google.com/open?id=1w0jQaF4uOtWOV2eUYWqv9B1Df6g3swUd</t>
  </si>
  <si>
    <t>https://drive.google.com/open?id=1idgLUJF9_4WGza0vjVtPV6CJ4V06KyRr</t>
  </si>
  <si>
    <t>https://drive.google.com/open?id=1A9IOrHWRwaT8BGGUHacFqgSO1AWcRGnz</t>
  </si>
  <si>
    <t>https://drive.google.com/open?id=1nE1dqD-0t029BprnuooU1Fts7n8ZDquq</t>
  </si>
  <si>
    <t>Carrefour, fort campeche, hiperselect,brasil atacadista</t>
  </si>
  <si>
    <t>https://drive.google.com/open?id=1A3QqspV8eTzS80t4IdhBOLjx8g4bfoAx</t>
  </si>
  <si>
    <t>https://drive.google.com/open?id=1Xc43CXHmEUzm4t4ePHO-RvGZo4u3BLDm</t>
  </si>
  <si>
    <t>Imperatriz Coqueiros, super a, Zeus , mwm</t>
  </si>
  <si>
    <t>34.00</t>
  </si>
  <si>
    <t>https://drive.google.com/open?id=1-pVhki_fH-FATKX-Ty02ZE8euYM1MF3a, https://drive.google.com/open?id=1WaKytdnhWOR25K17cwuRjDcHlkP0U5_N</t>
  </si>
  <si>
    <t>https://drive.google.com/open?id=1QHB9ZQowG_YsjWb8Vx1KcrQWcJOnY5Hy</t>
  </si>
  <si>
    <t>https://drive.google.com/open?id=1rldpq92AT0V1kt8-QGoXmkZDnOTEgqyK</t>
  </si>
  <si>
    <t>Atacadão via expressa</t>
  </si>
  <si>
    <t>https://drive.google.com/open?id=138I8gUfdUHdS7Eb6Ecd7A7UdC9IAVdHd</t>
  </si>
  <si>
    <t>https://drive.google.com/open?id=1CAdOSFm_9TMReMN_C16Aju7w-Yaeaxz4</t>
  </si>
  <si>
    <t>rota viista</t>
  </si>
  <si>
    <t>https://drive.google.com/open?id=13LC1uMjGbwV1mMYNYGdp1DLPnlHvGCvK</t>
  </si>
  <si>
    <t>https://drive.google.com/open?id=1pPdFZTyCk6Jza0hIffvPIhQvT2hY6Bey</t>
  </si>
  <si>
    <t>lojaS ITAJAI</t>
  </si>
  <si>
    <t>https://drive.google.com/open?id=1wn_6-8wnAb1ivmgVjfiRj0BggbbBnvQj</t>
  </si>
  <si>
    <t>https://drive.google.com/open?id=1Mxkul-sw85zCZ0YImWpQZpXayAAQ22wz</t>
  </si>
  <si>
    <t>BRASIL PORTO BELO KOMPRAO 18</t>
  </si>
  <si>
    <t>https://drive.google.com/open?id=1v5vfMnEJAVIkdx7tJIeitJSn_NXH_9Xp</t>
  </si>
  <si>
    <t>https://drive.google.com/open?id=1aaCoiBd9QQJLFMmn9-FgRGeBCntAGsSP</t>
  </si>
  <si>
    <t>ROTA ITAPEMA E BALNEARIO</t>
  </si>
  <si>
    <t>KOMPRAO 37 E KOMPRAO 82</t>
  </si>
  <si>
    <t>https://drive.google.com/open?id=1FEovxm8mpMUrghvjzNshFaHhVoyQa-J1</t>
  </si>
  <si>
    <t>https://drive.google.com/open?id=1kzeR8aTwPVQK_oHdSvILmXbPxZnaiZuK</t>
  </si>
  <si>
    <t>KOMPRAO 38 BC KOMPRAO 37</t>
  </si>
  <si>
    <t>https://drive.google.com/open?id=1Fi1-0e1eRBKMSOLwbY9hmPsRR7XG01RW</t>
  </si>
  <si>
    <t>https://drive.google.com/open?id=1yAQKE0fObklSI9RMqX9NnIlRcIieox9X</t>
  </si>
  <si>
    <t>Fort 810, Fort 210, kock 47</t>
  </si>
  <si>
    <t>https://drive.google.com/open?id=1M4zUNVAUkS2aJhh3zOPX61muW7qk5srN</t>
  </si>
  <si>
    <t>https://drive.google.com/open?id=15NGbwEpigLT1eMvX4bzZA1dmdiYS3ecp</t>
  </si>
  <si>
    <t>CONDOR MAFRA ,HIPER MAFRA</t>
  </si>
  <si>
    <t>https://drive.google.com/open?id=1tLR5qc1ocrsZxOeMTn-dYW88mPyrUK9b</t>
  </si>
  <si>
    <t>https://drive.google.com/open?id=1Yk8xRJmbKzRQNl6JQwxt6rp0VGYsJT2g</t>
  </si>
  <si>
    <t>CONDOR RIO NEFRINHO,KOMPRAO RIO NEGRUINHO,FORT SÃO BENTO</t>
  </si>
  <si>
    <t>https://drive.google.com/open?id=19PN2_aaS-CbCsyLtXyIR0kDC1bEse2DF</t>
  </si>
  <si>
    <t>https://drive.google.com/open?id=1nFAXWxWfRkuupZzXI8-3WVdam06CIBGF</t>
  </si>
  <si>
    <t>K59,ANGELONI 23,CONDOR 57</t>
  </si>
  <si>
    <t>MZ-331203</t>
  </si>
  <si>
    <t>https://drive.google.com/open?id=1wXgLIia7scNjRneUDXGEj8glBzbiQXc3</t>
  </si>
  <si>
    <t>https://drive.google.com/open?id=1U0KyyOrE3SkwDBfgO8UrBtm9-x-UOOuI</t>
  </si>
  <si>
    <t>Deslocamento Chapecó, Atacadao av Atílio Fontana, Atacadao av Fernando Machado e Fort Chapecó</t>
  </si>
  <si>
    <t>https://drive.google.com/open?id=1Idg7T-pA4T050VZ0dauiL9oPPTAUk7EH</t>
  </si>
  <si>
    <t>https://drive.google.com/open?id=1kD7f9NWZSVPJM08MO5PEEKqbhj-yLDTZ</t>
  </si>
  <si>
    <t>Wmw EPI, super A são José, Angeloni beira mar</t>
  </si>
  <si>
    <t>6.00</t>
  </si>
  <si>
    <t>https://drive.google.com/open?id=1Yo1aaTx8DW7bIzs_KvOh4H_t_j2FJ7h9</t>
  </si>
  <si>
    <t>https://drive.google.com/open?id=1NFVGWXw19r0N_kb_IQmIWU6DisRhs4Uu</t>
  </si>
  <si>
    <t>https://drive.google.com/open?id=1Uprz4T2wPQb2P1bWmok5v9kSJf511TdS</t>
  </si>
  <si>
    <t>Atacadao av Atílio Fontana Atacadao av Fernando Machado Fort Chapecó retorno setor de viagem</t>
  </si>
  <si>
    <t>https://drive.google.com/open?id=1hj773yyBZgfD5lUN1EFQkGmdxC8ZPngS</t>
  </si>
  <si>
    <t>https://drive.google.com/open?id=1yIYbpOJE19GDOL76BLUmnPPkKvxCHawR</t>
  </si>
  <si>
    <t>Imperatriz lagoa</t>
  </si>
  <si>
    <t>https://drive.google.com/open?id=1boaS9YX0qG3juhjSkBWO_r4xOLabAnP-</t>
  </si>
  <si>
    <t>https://drive.google.com/open?id=1uuEPJT_02iRzPsFKw_0dJ9Iss0lvcPYL</t>
  </si>
  <si>
    <t>SUPER A JARAGUA</t>
  </si>
  <si>
    <t>https://drive.google.com/open?id=1-KCbasyj0brCdF_Lw1VomNwmYSpmnuIm</t>
  </si>
  <si>
    <t>https://drive.google.com/open?id=1Ga7XFWtsKv97LltAAQHXUtAcpG5lkkUv</t>
  </si>
  <si>
    <t>galegão escola agric., koch 89, copper vorstadt, cooper garcia florianopolis, cooper vila nova, gtop general 9, cooper general osorio, cooper nações, komprão 24 e mocam 401</t>
  </si>
  <si>
    <t>https://drive.google.com/open?id=1SId867HH02RUXlnmmJVOhKF40ddqxOl-</t>
  </si>
  <si>
    <t>Fort 260, Lages Fort 960 Lages, Bistek Lages, Brasil atacadista Lages, Stok Center Lages</t>
  </si>
  <si>
    <t>https://drive.google.com/open?id=1h3zSml1oQ0BEHnTs1_3kI9uynRlrsT0X</t>
  </si>
  <si>
    <t>https://drive.google.com/open?id=1Ynfkncfd1tqmUdtEQSqzPzi9sFh36LxI</t>
  </si>
  <si>
    <t>Combo içara,atacadão, fort tubarão</t>
  </si>
  <si>
    <t>https://drive.google.com/open?id=1E2-6lSjZt8gq9y_yD_nBc-Pvd6LsYbvo</t>
  </si>
  <si>
    <t>https://drive.google.com/open?id=1falz0V6zejZoU2ZcU_JYxnV6eez7lFts</t>
  </si>
  <si>
    <t>https://drive.google.com/open?id=13M5xHEONhq0QTm0pMAkOMWZuPjiyuTPl</t>
  </si>
  <si>
    <t>Fort 390, super A, Coordenadora</t>
  </si>
  <si>
    <t>TCH4E45</t>
  </si>
  <si>
    <t>https://drive.google.com/open?id=19_mzkFa1_x4l70nhcQtabtyluuF-tyEA</t>
  </si>
  <si>
    <t>https://drive.google.com/open?id=1AVh8jJnUxa6zQ9ags7oGviioa4OYRv-r</t>
  </si>
  <si>
    <t>LOJA EPI MWM</t>
  </si>
  <si>
    <t>https://drive.google.com/open?id=1Ic2Vj8A-Ak3P2y_ojJ7dBmI0VQ40riVA</t>
  </si>
  <si>
    <t>https://drive.google.com/open?id=1F2nwpnr8s6tzqaA8ZTALPkyifVa-1bI0</t>
  </si>
  <si>
    <t>Correio centro.</t>
  </si>
  <si>
    <t>56.10</t>
  </si>
  <si>
    <t>https://drive.google.com/open?id=1YsDm1zPagLRN5CPkJiAxo6fojTn6rZvC</t>
  </si>
  <si>
    <t>https://drive.google.com/open?id=12YMZmvcxh5qeJ3i7mC2NvA-MZfzXrquP</t>
  </si>
  <si>
    <t>https://drive.google.com/open?id=1CHvA6b35PjrDD8yp35I3bHzKdA606sqK</t>
  </si>
  <si>
    <t>komprao tijucas, atacadao meu vizinho joinville, fort acadista joinville</t>
  </si>
  <si>
    <t>https://drive.google.com/open?id=1bmcZkUAWSreOAn42_nynU6RRKFklMlNL, https://drive.google.com/open?id=1yowsXmSoZH1LJLy3GFMaAlh5fi7n1Z9a, https://drive.google.com/open?id=1WZbeKLEjcVQ4sveCOFap3nsCvdpZIyWF, https://drive.google.com/open?id=1vXyEgvX4GAo0VZ40Rbx336-5rYaTXbEB</t>
  </si>
  <si>
    <t>rota para realizaçao de GSR inicial de supervisora Thays e supervisor Ricardo</t>
  </si>
  <si>
    <t>https://drive.google.com/open?id=1BYi_lu98aoXxnXfemQJMjRrcK8TtWfU6</t>
  </si>
  <si>
    <t>https://drive.google.com/open?id=1P6YcajTzTesLZeW0Jmr6OfMAyKfIheLt</t>
  </si>
  <si>
    <t>Brasil rio Tavares, Fort campeche</t>
  </si>
  <si>
    <t>TXX2G41</t>
  </si>
  <si>
    <t>https://drive.google.com/open?id=1sfBJcbW-cn6k5-dqVyXbgE0pOpkE-gw6</t>
  </si>
  <si>
    <t>https://drive.google.com/open?id=128F4hozWHhR1d8m5a6UVXDhswPhDJeHn</t>
  </si>
  <si>
    <t>FORT ATACADISTA PORTO BELO,BRASIL ATACADISTA PORTO BELO, KOMPRAO 37, KOMPRAO 15, KOCH 06,BRASIL ATACADISTA SAO JOSE SERTAO MARUIM.</t>
  </si>
  <si>
    <t>https://drive.google.com/open?id=1yC-rbPUw43BjLYUvmLBlkWzt8rz-HbgY, https://drive.google.com/open?id=1RT5KZV_QHBbx_EwepcenMIJnYv2iJfAY</t>
  </si>
  <si>
    <t>https://drive.google.com/open?id=1gZ37z0L--mUyMYoXIF0ByCHNBklQmHv2</t>
  </si>
  <si>
    <t>https://drive.google.com/open?id=1vbyugEsTFkyRBATh_hyPJUtsPrcbjF-8</t>
  </si>
  <si>
    <t>Atacadão, sams, mwm, correio</t>
  </si>
  <si>
    <t>https://drive.google.com/open?id=1m_ctTZZI1hGCy7vQUvF8LSVmZmnt8UMN</t>
  </si>
  <si>
    <t>https://drive.google.com/open?id=1WO9rnF4Q5bUWryEu4fRVD6hRlh9fu70D</t>
  </si>
  <si>
    <t>Angeloni capoeiras, coordenadora reunião</t>
  </si>
  <si>
    <t>https://drive.google.com/open?id=1_jeAgSZi4WhtprjGmyYR9cm3Oha9u1lh</t>
  </si>
  <si>
    <t>https://drive.google.com/open?id=1hvIcLVGHHeYGDHPGAc2cnaWbx3o1RrDy</t>
  </si>
  <si>
    <t>https://drive.google.com/open?id=13bA_oOG9QVNyY9J0HEuRe2dpeZ6ye6WI</t>
  </si>
  <si>
    <t>Fort Indaial Lj 270, Supermercados Central 104, Brasil Atacadista Blumenau e Bistek Blumenau Park Europeu</t>
  </si>
  <si>
    <t>https://drive.google.com/open?id=1CeLBt9xyOgTG0AR9qdRJCBpXI5cpwrw4</t>
  </si>
  <si>
    <t>https://drive.google.com/open?id=1swMjwS1LIKCncD0o4M08lfs25Ee_p1lx</t>
  </si>
  <si>
    <t>Cooper Rodeio, Komprao49 Indaial Estados, Supermercados Mocam 402, Komprao Timbo Lj34 e Supermercados Mocam 401</t>
  </si>
  <si>
    <t>https://drive.google.com/open?id=1mvgz7Pfup-_Ay69jivb0A7cb-6R7I3uj</t>
  </si>
  <si>
    <t>https://drive.google.com/open?id=1TOa5algMTBXj6gjmq4hUbbWXAZ8M_QHp</t>
  </si>
  <si>
    <t>brasil pb komprao 37komprao 82 koch 41</t>
  </si>
  <si>
    <t>https://drive.google.com/open?id=1Z9o9mEhE2522bIZ1pFUxz3BAH67c7wnz</t>
  </si>
  <si>
    <t>https://drive.google.com/open?id=1MjwPkBn0zm3aA1BqLsOtbQ5-qvnWn9gr</t>
  </si>
  <si>
    <t>palhoça fort 190 komprao 37</t>
  </si>
  <si>
    <t>https://drive.google.com/open?id=1W-2vKXNyK_FECzHlWTSEixx9kS-HQSSE, https://drive.google.com/open?id=1oPsMbYrLN4o3IRU_2eHs-sU6LI111dvf</t>
  </si>
  <si>
    <t>https://drive.google.com/open?id=1xZgVxMWxxMxV4f35CZ_w0hMKj7y1ouYI</t>
  </si>
  <si>
    <t>https://drive.google.com/open?id=1gLpMmOaYaHjCj2EVLW7MrJKJ-gFFDUFW</t>
  </si>
  <si>
    <t>Carrefour 
Meschke Atacadista 
Meschke 2848
Meschke avenida dos estados
Koch Floripa 
Koch monte Agulhas Negras
Komprão 23 
Koch 08 
Komprão 55 
Komprão 38</t>
  </si>
  <si>
    <t>https://drive.google.com/open?id=1kZpOryV16OZElYcmUe3A6Ja7KxtXlGga</t>
  </si>
  <si>
    <t>https://drive.google.com/open?id=1fOhGxnHSjE_la3w7r0vklBB7eM58R8DR</t>
  </si>
  <si>
    <t>ko9ch 07 brasil pb koch 14</t>
  </si>
  <si>
    <t>https://drive.google.com/open?id=1V5A2uD7YtKF_ccxKZ0B-9EKA189JYtPo</t>
  </si>
  <si>
    <t>https://drive.google.com/open?id=1UtetwO4232dutdChRlDUFDArvrIA3_XT</t>
  </si>
  <si>
    <t>Komprão 69 bombinhas 
Komprão 15 PB
Komprão 37
Fort190
Brasil Atacadista 69
Koch 52
Komprão 18 
Komprão 82 
Comper itapema 
Koch 09
Koch 14 
Koch 06 
Koch 04 
Joch41</t>
  </si>
  <si>
    <t>https://drive.google.com/open?id=13-8n7ScNSjero7jLgqfMT_DGf_C5K3Un</t>
  </si>
  <si>
    <t>https://drive.google.com/open?id=1jnI8SSYeir4BOfnGO9KWbhoxQ3yzvxoZ</t>
  </si>
  <si>
    <t>Komprão 74 
Fort 424 
Fort 310 
Comper itajai 
Komprão 18</t>
  </si>
  <si>
    <t>https://drive.google.com/open?id=1b7P2Si_KrOu5Rw_ikv1F3aSveWxxEsoZ</t>
  </si>
  <si>
    <t>https://drive.google.com/open?id=1DBcy-1KUnOyGJwSA6NYyY8nKwWb6J3oZ</t>
  </si>
  <si>
    <t>brasil atadista sertao maruim sao jose, fort kobrasol sao jose, fort atacadista jardim atlantico florianopolis</t>
  </si>
  <si>
    <t>https://drive.google.com/open?id=1Uy3R5FPenSGkaYOnOgC_-XpzJt2cEs8U</t>
  </si>
  <si>
    <t>https://drive.google.com/open?id=19YIuNoEH1bFKuqadAgCtrBuRm3COyUtN</t>
  </si>
  <si>
    <t>Home office coordenadora</t>
  </si>
  <si>
    <t>https://drive.google.com/open?id=1T4JQT1ilFOcgGalAyBY9Qzv8DZ84GiAm</t>
  </si>
  <si>
    <t>https://drive.google.com/open?id=1NiU8D-ijyUB1GPLdPyWvhI_ofK-iG_W3</t>
  </si>
  <si>
    <t>Angeloni beira mar, Carrefour recolher EPI</t>
  </si>
  <si>
    <t>https://drive.google.com/open?id=1fmZRCcJpOA7h5iCOHGR4yVspHn-K573X</t>
  </si>
  <si>
    <t>https://drive.google.com/open?id=1mb5LmXrHWCGZbKuqX5Xz_agN5DHLgsVx</t>
  </si>
  <si>
    <t>Fort Lj 270 Indaial, Cooper General Osorio e Mocam 401</t>
  </si>
  <si>
    <t>66.20</t>
  </si>
  <si>
    <t>https://drive.google.com/open?id=1VM5GWq5lFUksQdkgEJT8bmb38-ZRN0pW, https://drive.google.com/open?id=1gYM-V99xG0tPNxcaImN0WYL5UL8R1bSX</t>
  </si>
  <si>
    <t>https://drive.google.com/open?id=1jHOq0iScSTE938wkVYYUdo9myyihSUml</t>
  </si>
  <si>
    <t>https://drive.google.com/open?id=1eNeZqQ_qI-kuIQAnUmK9RfaJzH-TKi1_</t>
  </si>
  <si>
    <t>komprão 18 komnprão 37 brasil atacdista pb</t>
  </si>
  <si>
    <t>https://drive.google.com/open?id=1UAIYcpYrTRXyPtGsfGPlL7SRWr3OewLO</t>
  </si>
  <si>
    <t>https://drive.google.com/open?id=19Qa--Kbd4GjSj3rFh5UCHfB8Y7z9iC6R</t>
  </si>
  <si>
    <t>FORT 310 FORT 825 FORT 425</t>
  </si>
  <si>
    <t>https://drive.google.com/open?id=12t51mNz9EUID0kTFIsh-kxiqTAQ_NV3q</t>
  </si>
  <si>
    <t>thayscarvalho.sfs2026@gmail.com</t>
  </si>
  <si>
    <t>BAQ1E86</t>
  </si>
  <si>
    <t>https://drive.google.com/open?id=1xQJm6-xqiq5hB1LFfJEmSnXayn5J4IDh</t>
  </si>
  <si>
    <t>https://drive.google.com/open?id=1C7oo7vumH6q9OmGErLs8VsG18Y7Z40Lq</t>
  </si>
  <si>
    <t>Fort 250
Komprão 51
Fui fazer o GSR com Carlos</t>
  </si>
  <si>
    <t>https://drive.google.com/open?id=1E6przQ66mIjxJjCNaFimDpfpxffX4ztf</t>
  </si>
  <si>
    <t>https://drive.google.com/open?id=1q2uHS4oRbicrLugtO3xpaSSu8ECy0KqF</t>
  </si>
  <si>
    <t>Fort 405
Komprão guaramirim 
Cooper Jaraguá 
Condor Jaraguá 
Komprão araquari 51</t>
  </si>
  <si>
    <t>https://drive.google.com/open?id=1rBnF-I4HrxA1K5CLX7SZwsroLo32kPXx</t>
  </si>
  <si>
    <t>https://drive.google.com/open?id=1YdP3pGsIOC2sSq7bVHZqZPPJgXc7fvWu</t>
  </si>
  <si>
    <t>Fort são francisco 
Koch São Francisco 
Angeloni são francisco</t>
  </si>
  <si>
    <t>https://drive.google.com/open?id=1_eH-LEtjfI4Qqz3yYTfI6sEfAjJGgayw</t>
  </si>
  <si>
    <t>https://drive.google.com/open?id=111qzx9jVhHEawZs4QSnCgDr9vEjXMYMj</t>
  </si>
  <si>
    <t>Imperatriz Coqueiros</t>
  </si>
  <si>
    <t>https://drive.google.com/open?id=1As1tEyQqj98FtGhK4wbQQtxJ5fuX1b1b</t>
  </si>
  <si>
    <t>https://drive.google.com/open?id=1LwvPMPK_waJFsx5FsNq2CVs7iqCyZH2N</t>
  </si>
  <si>
    <t xml:space="preserve">
Preceiro sao francisco 
Retirar epis zeus
Fort 905
Komprão boa vista
</t>
  </si>
  <si>
    <t>https://drive.google.com/open?id=156ATPjlktc3YUC9BgYewB6DEcN_kPtK8</t>
  </si>
  <si>
    <t>https://drive.google.com/open?id=1tUWRkV6Lb_p28WMpKwh5E7AoJlmrEqNb</t>
  </si>
  <si>
    <t>CONDOR MAFRA E HIPER MAIS</t>
  </si>
  <si>
    <t>https://drive.google.com/open?id=1KJ0FzJHy04fqO6y1Lz5wAb9REgbs7hmC</t>
  </si>
  <si>
    <t>https://drive.google.com/open?id=1gv7ODfZk4ge0GE2stIY0xJiyXhXtma6t</t>
  </si>
  <si>
    <t>KOMPRAO BARRA DO SUL,ANGELONI ,CONDOR 57</t>
  </si>
  <si>
    <t>https://drive.google.com/open?id=1SWMuRi79bXEyE4pkm-wCIyGuqlNa_Iy6</t>
  </si>
  <si>
    <t>https://drive.google.com/open?id=1nNTHxGOxDtcOb-e_LGo7GE-PEwkR1LwB</t>
  </si>
  <si>
    <t>HIPER 740,KOMPRAO 59,HIPER MAIS</t>
  </si>
  <si>
    <t>https://drive.google.com/open?id=1-KpjtpDGsmM2Gd605O831C_YezD78nhl</t>
  </si>
  <si>
    <t>https://drive.google.com/open?id=1ey5wmj6Xd3NmcmEnAM6uhOsorBFkwWg-</t>
  </si>
  <si>
    <t>CONDOR RIO NEGRINHO,KOMPRAO 65,KOMPRAO 71</t>
  </si>
  <si>
    <t>geovanna.fdg@gmail.com</t>
  </si>
  <si>
    <t>Geovana Duarte Farias</t>
  </si>
  <si>
    <t>QIJ6F98</t>
  </si>
  <si>
    <t>https://drive.google.com/open?id=12z8g1H4fX-jLZEasZodqA6AS3t21tmkF</t>
  </si>
  <si>
    <t>https://drive.google.com/open?id=1PEHtexjDBFPFw36kxSoSSqxJWV9N6YVd</t>
  </si>
  <si>
    <t>Fort 130, Fort 306, Atacadão Biguaçu, Fort Biguaçu, Koch Hiper flor, Prado lj5,</t>
  </si>
  <si>
    <t>https://drive.google.com/open?id=1d2Vv0dTs14ImzIjbmPpg4Vu17Ll902e8</t>
  </si>
  <si>
    <t>https://drive.google.com/open?id=1M0qbBQcHWzBQOit0TlUWSzVBH2EHCwq1</t>
  </si>
  <si>
    <t>Koch lj 01 Tijucas, Koch lj 20 Tijucas, Komprão 24 Tijucas, Brasil Atac Tijucas, Komprão 53 Tijucas</t>
  </si>
  <si>
    <t>JULHO Total</t>
  </si>
  <si>
    <t>Geovana Duarte Farias Total</t>
  </si>
  <si>
    <t>https://drive.google.com/open?id=1tWP99SR5YLk4m4Yk_cshU-zJx9Iteezf</t>
  </si>
  <si>
    <t>https://drive.google.com/open?id=123cr-RM6zHE8MVrYJQB5EhV1lnXK7C0k</t>
  </si>
  <si>
    <t>Cooper guaramirim 
Cooper centro
Angeloni e cia jaragua 
Super A Jaraguá 
Rancho bom esquerda</t>
  </si>
  <si>
    <t>https://drive.google.com/open?id=1-uhoxthpVnat3rm9fdxQyqSLua2hCZm8</t>
  </si>
  <si>
    <t>https://drive.google.com/open?id=1YlIUioV9tQD135CUl6Vp6V2iG1Ai9xN2</t>
  </si>
  <si>
    <t>Cdd AmBev Blumenau</t>
  </si>
  <si>
    <t>https://drive.google.com/open?id=18Z9WYlzo4IZOYG6nXMJUV6YpXCHpUDLT</t>
  </si>
  <si>
    <t>https://drive.google.com/open?id=18_8ptSJAToFC-OoI_j2Rh3c1UkRqi1Sw</t>
  </si>
  <si>
    <t>57.80</t>
  </si>
  <si>
    <t>https://drive.google.com/open?id=1RJdO0cRWCmTMoniD1xBK8xzRPeUQ8BGP, https://drive.google.com/open?id=1nBX3jJsrpQHTUA2N1DRZeZiYx1D-W9q4, https://drive.google.com/open?id=16_VV1PwE2c6b0y_gtGM6PlyfV7uqI3ym</t>
  </si>
  <si>
    <t>https://drive.google.com/open?id=1dSfKYrBsGOXVKfeObeBQZvaIpMa6ip7v</t>
  </si>
  <si>
    <t>https://drive.google.com/open?id=1LNaeS6ogLOFGLIU7Sm9lPS99t2H504TF</t>
  </si>
  <si>
    <t>XXXX</t>
  </si>
  <si>
    <t>https://drive.google.com/open?id=1CQqp_l8cnUHKQ78rhPdIsKtfbuhg0dMc</t>
  </si>
  <si>
    <t>https://drive.google.com/open?id=1T5LDJRletG5BSEVVvk3zIvpdRfBDOO8E</t>
  </si>
  <si>
    <t>Cooper,Fort brusque</t>
  </si>
  <si>
    <t>27.00</t>
  </si>
  <si>
    <t>https://drive.google.com/open?id=1tlxcNu2QW1Z-DM8axRXQJYCMKOOCjt4A</t>
  </si>
  <si>
    <t>https://drive.google.com/open?id=1I-VXz-xeJNYiL8u-5bUyeY0erbtLbT1k</t>
  </si>
  <si>
    <t>Renião no CDD de Blumenau</t>
  </si>
  <si>
    <t>https://drive.google.com/open?id=1sn8DsJY-OHQU9-Uq2lLvQw-vXXnhmSOr</t>
  </si>
  <si>
    <t>https://drive.google.com/open?id=1p2SRaxuoTQ3TNSFbPOD2IRPG4Ez7c3mL</t>
  </si>
  <si>
    <t>Cooper Atacarejo, Cooper Mafisa, Cooper Itoupava, Cooper General Osório, Cooper Nações, Cooper Centro Indaial</t>
  </si>
  <si>
    <t>https://drive.google.com/open?id=1xztl1sU6vz2lDCmRLRqqtqIolHc313CP</t>
  </si>
  <si>
    <t>https://drive.google.com/open?id=1qyr5TiFAKzhQPdP-DR0WpoTrkSQFphTr</t>
  </si>
  <si>
    <t>REUNIAO BLUEMNEAU</t>
  </si>
  <si>
    <t>https://drive.google.com/open?id=1vYKq07Yx9GCHzJKGqhNxbqKNUEcLXNkh</t>
  </si>
  <si>
    <t>https://drive.google.com/open?id=1G9pWi4Y28Gfqkr2riaZumn5zaYbYXE8l</t>
  </si>
  <si>
    <t>https://drive.google.com/open?id=1FXa4OkWwmXZDtkQnR6PmZsnco0qWf8sa</t>
  </si>
  <si>
    <t>https://drive.google.com/open?id=1OgNIRwpYiPIQ8Cmd1F-l8wlfUvF3f-9a</t>
  </si>
  <si>
    <t>Wmw equipamentos</t>
  </si>
  <si>
    <t>https://drive.google.com/open?id=1joU_mmnAmvfnqCqinmHRwnQX_DLA9lXF</t>
  </si>
  <si>
    <t>https://drive.google.com/open?id=16md5e_qONab1E4rOgTD_CSjbNGv_mfPn</t>
  </si>
  <si>
    <t>Angeloni beira mar, Angeloni Trindade, Carrefour</t>
  </si>
  <si>
    <t>https://drive.google.com/open?id=1hKSG6ThcJRGMBZCB3YHERcOxTEbMtSex</t>
  </si>
  <si>
    <t>https://drive.google.com/open?id=1ga8mmSjGACjMpA2ZqlMvJFaI6yzuyhMK</t>
  </si>
  <si>
    <t>https://drive.google.com/open?id=1He9Gg_eN68htyHrx2qlR6bvg-B7h7s6n</t>
  </si>
  <si>
    <t>Fort 130, Fort 462, Fort Kobrasol</t>
  </si>
  <si>
    <t>https://drive.google.com/open?id=1tzbc_JpT2UhXurcH-2K6hCkPx0-e4Ciz</t>
  </si>
  <si>
    <t>https://drive.google.com/open?id=1ITfGS86VmcVxadlX6FDXUUtLcaSEDxf-</t>
  </si>
  <si>
    <t>Cooper Omino, SuperA e Cooper Gloria</t>
  </si>
  <si>
    <t>https://drive.google.com/open?id=12yfbUfklebPqKbnAroud35zC2UW2uZGH</t>
  </si>
  <si>
    <t>https://drive.google.com/open?id=1mkb4fL4sfzZ_sjgpaY6IEdiUSJhbGbRN</t>
  </si>
  <si>
    <t>https://drive.google.com/open?id=1zxZ42hLNM7gu_pRXJCthkNApang3wu-W</t>
  </si>
  <si>
    <t>https://drive.google.com/open?id=1F6gQr1VjRz4_Xk9q7X-G8b9-3QwmuhI2</t>
  </si>
  <si>
    <t>KOMPRAO BARRA DO SUL</t>
  </si>
  <si>
    <t>https://drive.google.com/open?id=1qLMGfJPdTGtE5bmnwvPmgrIVJaz0PpR3</t>
  </si>
  <si>
    <t>https://drive.google.com/open?id=1qT4RVot1BkiE0enGB-Q5yaUEjR87pvTg</t>
  </si>
  <si>
    <t>Imperatriz aeroporto, Fort campeche, brasil rio Tavares</t>
  </si>
  <si>
    <t>24.00</t>
  </si>
  <si>
    <t>29.00</t>
  </si>
  <si>
    <t>THAYS APARECIDA CARVALHO</t>
  </si>
  <si>
    <t>https://drive.google.com/open?id=1lUvcN8wG7gJsAjSqwis22bRNw83KzNOT</t>
  </si>
  <si>
    <t>https://drive.google.com/open?id=1K4AF89M0jl7yOTjpLAHBdkSlvnEi7dGu</t>
  </si>
  <si>
    <t>Fort 250
Fort 905
Komprão 77
Komprão 45
Fort tuiuti</t>
  </si>
  <si>
    <t>https://drive.google.com/open?id=1WXTPKYddg2fkR3koztU_NuLp0tiZrKBf</t>
  </si>
  <si>
    <t>https://drive.google.com/open?id=1D5vkBKQP39eI5LlWzFG3Vg2V3TaS2SUj</t>
  </si>
  <si>
    <t>Roteiro de visita</t>
  </si>
  <si>
    <t>https://drive.google.com/open?id=13HkQbaEn8pPnpAEZ4vs5wMucwlD5VHy0</t>
  </si>
  <si>
    <t>TXZ2J88</t>
  </si>
  <si>
    <t>https://drive.google.com/open?id=1zVrFnrZ7GC4Szv94DT5PdumlHAJNDmaP</t>
  </si>
  <si>
    <t>https://drive.google.com/open?id=1GwG7cXcd680UpOwB3JfHWHk5ywtMytTF</t>
  </si>
  <si>
    <t>FORT Atacadista kobrasol,atacadao biguaçu,atacadao via expressa,supermercado angeloni capoeiras,supermercado impératriz palhoça,</t>
  </si>
  <si>
    <t>veiculo reserva pois meu fiat argo tch4e45 esta na oficina</t>
  </si>
  <si>
    <t>https://drive.google.com/open?id=1Zd5a7BjhrdlxIgLHvIpECDphCv_1xBSG</t>
  </si>
  <si>
    <t>https://drive.google.com/open?id=1oxa3c80sSrgkLinLv-zIlTW6NtJls1Pf</t>
  </si>
  <si>
    <t>Angeloni beira mar, Angeloni capoeiras,</t>
  </si>
  <si>
    <t>15.00</t>
  </si>
  <si>
    <t>https://drive.google.com/open?id=1yeEGxDk_FccED2BnDVJD4DyizHstnuUm</t>
  </si>
  <si>
    <t>40.70</t>
  </si>
  <si>
    <t>https://drive.google.com/open?id=1-XGuwyN2TpLUc7FkEB2IqAep-babDn6c</t>
  </si>
  <si>
    <t>https://drive.google.com/open?id=1naPkBNnZcV2Wnzuqo3AtC_w8IWVX68hp</t>
  </si>
  <si>
    <t>https://drive.google.com/open?id=1u4wmGcoedZNqRJ7qhDirVpeGjGnHwNCN</t>
  </si>
  <si>
    <t>Komprão 28 são francisco do sul</t>
  </si>
  <si>
    <t>https://drive.google.com/open?id=1OjF-TCZeyvU9HAYNcEDrJP7FIAvsgTxE</t>
  </si>
  <si>
    <t>https://drive.google.com/open?id=1fw7y7nRBEbWR_VP-XsnGAGN7l87FfWdW</t>
  </si>
  <si>
    <t>55.00</t>
  </si>
  <si>
    <t>https://drive.google.com/open?id=1ZJzF4kY6zNdOaiyMnIg-eHq2slC_Wsxo</t>
  </si>
  <si>
    <t>https://drive.google.com/open?id=1SQmbbB5rJZ6KC6o5WrIxV2DuWRi9rrFz</t>
  </si>
  <si>
    <t>https://drive.google.com/open?id=1Tg9yWb59AUSgaTEXQWWoZr7MRkFClAoF</t>
  </si>
  <si>
    <t>Fort Indaial ( virada de loja ) e Komprão Timbó</t>
  </si>
  <si>
    <t>https://drive.google.com/open?id=1jH-4iRv1V5oYCYXVQ-8jWZsmjHUq8S7s</t>
  </si>
  <si>
    <t>https://drive.google.com/open?id=1mavF6PjQ0oSOsXfqT49p_dASCzvU2dhp</t>
  </si>
  <si>
    <t>Angeloni capoeiras Angeloni beira mar</t>
  </si>
  <si>
    <t>https://drive.google.com/open?id=1SB9JjgvXZyw0XJUP_dFiYuWr06sOVC-X</t>
  </si>
  <si>
    <t>https://drive.google.com/open?id=1eQJTP2pBBfBAPKe0-Hu2cM_6mG78AIJH</t>
  </si>
  <si>
    <t>26.85</t>
  </si>
  <si>
    <t>https://drive.google.com/open?id=1jNDReZqReD8P3lB_tpwD136JXqF4e7SM</t>
  </si>
  <si>
    <t>https://drive.google.com/open?id=11Z6zU1iqaaQMR4djq0AdDXQhbfZxUrjx</t>
  </si>
  <si>
    <t>https://drive.google.com/open?id=1T8vvL95ZOFAcSsfLT1MHkZpKgnd4CbIB</t>
  </si>
  <si>
    <t>https://drive.google.com/open?id=1aEDkaDXak3t8FZ2eWuZn7s0g34-5Sbcf</t>
  </si>
  <si>
    <t>https://drive.google.com/open?id=1VcPE6xveDoZHMRLWW4WMKk7yA1dc6yhI</t>
  </si>
  <si>
    <t xml:space="preserve">KOMPRAO 59,ANGELONI,CONDOR 57
</t>
  </si>
  <si>
    <t>https://drive.google.com/open?id=1LdlI6AowTB7fchFEUZCOshXiKFcHjz0A</t>
  </si>
  <si>
    <t>https://drive.google.com/open?id=1elf-d65Vz5FpSOod9dyi9mOTw7Mkq8ec</t>
  </si>
  <si>
    <t>Preceiro sao francisco do sul</t>
  </si>
  <si>
    <t>https://drive.google.com/open?id=14BiaEaZjwkgoriyKVhQ2Z18_bbezT_rn</t>
  </si>
  <si>
    <t>https://drive.google.com/open?id=1Wf0m-zZM2dUwTBzO_KpXTC_TIwDFacfL</t>
  </si>
  <si>
    <t>Fort 260, Fort 960, Angeloni Lages, Brasil atacadista Lages, Bistek Lages, Stok Center Lages, Atacadao Lages</t>
  </si>
  <si>
    <t>https://drive.google.com/open?id=1YEEoTFw25QUKSpYOgVk6zT5aDNF_oCiM</t>
  </si>
  <si>
    <t>https://drive.google.com/open?id=1wyX7Z6KVSq7s3hzPbPcfHOdGQl1jGZ1K</t>
  </si>
  <si>
    <t>FORT KOBRASOL,KOMPRAO PALHOÇA, FORT ATACADISTA JARDIM ATLANTICO,KOMPRAO BIGUAÇU.</t>
  </si>
  <si>
    <t>https://drive.google.com/open?id=1XtDUadLSyHWPHWaJ6-pwzL8ny29hnvvy</t>
  </si>
  <si>
    <t>https://drive.google.com/open?id=17eX2FqyN9E2icz5EQXKM1qDCmg9mNqU4</t>
  </si>
  <si>
    <t xml:space="preserve">Komprão 50 araquari 
Fort são francisco 
Komprão 28 são francisco 
</t>
  </si>
  <si>
    <t>https://drive.google.com/open?id=1iLEwPgUp5sl2u6duJfq1IcFXtpBwma3a</t>
  </si>
  <si>
    <t>https://drive.google.com/open?id=1j2OBg6Eg29x4tOLQs5JHVtsDdgAdVYix</t>
  </si>
  <si>
    <t>INTEGRAÇÃO KOMPRAO 55 FOR 310 ITJ</t>
  </si>
  <si>
    <t>https://drive.google.com/open?id=1AOp0SGGT4SWMzakGfTx0LaPu4ksaOFI7</t>
  </si>
  <si>
    <t>https://drive.google.com/open?id=1izHs3AIeA9OqJWbSvESBbEdh8PpssTB1</t>
  </si>
  <si>
    <t>Komprão Pedra Branca, Fort Kobrasol, Fort 306</t>
  </si>
  <si>
    <t>https://drive.google.com/open?id=1DQCxTjlodp5TlSDLHQMzsHuthFifjoRm</t>
  </si>
  <si>
    <t>https://drive.google.com/open?id=1I2eXzyjCJOS35_PldKFgnc1Mbp7exNDd</t>
  </si>
  <si>
    <t>KOMPRAO RIO NEGRINHO,CONDOR ,FORT SÃO BENTO</t>
  </si>
  <si>
    <t>https://drive.google.com/open?id=1hzlwSaH3TJ4RE0hOCRosZjdTgvj0MvSd</t>
  </si>
  <si>
    <t>https://drive.google.com/open?id=1EJaxboMfsnIw7svgp3d4p5FTuBgz0J5P</t>
  </si>
  <si>
    <t>Fort 905
Fort 405
Fort tuiuti 
Retirei epis no zeus
Komprão 45 bom retiro</t>
  </si>
  <si>
    <t>https://drive.google.com/open?id=1wGk2mnzOSIKWHf_9lZKg6Cfd1HAo2DQx</t>
  </si>
  <si>
    <t>https://drive.google.com/open?id=1ZgoobAS9P7PUCTkV67xpS1FCcpvWPzeP</t>
  </si>
  <si>
    <t>Komprão Pedra Branca, Fort Kobrasol, Angeloni Beira Mar</t>
  </si>
  <si>
    <t>https://drive.google.com/open?id=1ZbKXwN6zp2_7tfJNjYZYvuE5Up_YYAiP</t>
  </si>
  <si>
    <t>https://drive.google.com/open?id=1G5xO4aa_10kk313YfNpcMr3Gkg0-Gi51</t>
  </si>
  <si>
    <t>Fort 130, Fort 462, Komprão 79, Fort 306</t>
  </si>
  <si>
    <t>https://drive.google.com/open?id=1eEYbZLmcLnQ56RYCG5Rx1wk59-5RMaJ6</t>
  </si>
  <si>
    <t>https://drive.google.com/open?id=1XOybKa_VGz5RGueHumPoTgQ1tEmqcvHl</t>
  </si>
  <si>
    <t>ANGELONI,BR ATACADISTA,KOMPRAO 59</t>
  </si>
  <si>
    <t>THAYS APARECIDA CARVALHO Total</t>
  </si>
  <si>
    <t>https://drive.google.com/open?id=11LvjRr1yngA87dL3a9bDJ4XLT8n0rZ8b</t>
  </si>
  <si>
    <t>https://drive.google.com/open?id=1iE-HYfQQ10zoGNPhaw7C5xVn8TtTMcch</t>
  </si>
  <si>
    <t>Fort Chapecó, Atacadao av Atílio Fontana e Atacadao Fernando Machado Chapecó</t>
  </si>
  <si>
    <t>https://drive.google.com/open?id=1O1-fuTVOR9uMrOYVAAH-m1K5E2XGalZd</t>
  </si>
  <si>
    <t>https://drive.google.com/open?id=1u__Zsl_7Isv8ZfVAU9l6RtatgijhpzeH</t>
  </si>
  <si>
    <t>Mwm epis</t>
  </si>
  <si>
    <t>https://drive.google.com/open?id=14eUxKM8mdZSmdTi8UwQW5ytPY_DSrTrk</t>
  </si>
  <si>
    <t>https://drive.google.com/open?id=1_5dZV1eTYSuW9t5uHjVQBpNlSMAeANfC</t>
  </si>
  <si>
    <t>Koch São Francisco. 
Preceiro sao francisco 
Gráfica</t>
  </si>
  <si>
    <t>https://drive.google.com/open?id=1k5r0dPbKwdytahnbL88F_zMC0e5z3pJB</t>
  </si>
  <si>
    <t>Despesas com gafrica ,impressão dos crachás</t>
  </si>
  <si>
    <t>https://drive.google.com/open?id=1axlJdJKFerZsGIJsdaaFWVxKBGKT0zH3</t>
  </si>
  <si>
    <t>https://drive.google.com/open?id=1gtPUzys6u231882rYeAarvGcWvM_my89</t>
  </si>
  <si>
    <t>Setor de viagem Chapecó</t>
  </si>
  <si>
    <t>https://drive.google.com/open?id=103EGoJSF4QM6IOc0L7GcbPmbh0P6FTin</t>
  </si>
  <si>
    <t>https://drive.google.com/open?id=1ozYNPnuKhu1Qfhrd907T5INMWqAoX12P</t>
  </si>
  <si>
    <t>Komprao Garopaba, manentti Criciúma, Fort tubarão</t>
  </si>
  <si>
    <t>32.00</t>
  </si>
  <si>
    <t>https://drive.google.com/open?id=1TkpVZQid20nKQsaw5v2lQs-zlrkKf0fU</t>
  </si>
  <si>
    <t>https://drive.google.com/open?id=1JpFv2vWtfCZYeC_z-tvBXknhz4oKVLWI</t>
  </si>
  <si>
    <t>https://drive.google.com/open?id=1xrm1w3ot2bBpDU8S6VvD2_raLprr8i0U</t>
  </si>
  <si>
    <t>Fort 255 Rio do Sul, Brasil atacadista progresso Rio do Sul, rede top lontras, cooper ibirama</t>
  </si>
  <si>
    <t>https://drive.google.com/open?id=17V61XzD79p_u2ye66MoQeW2xRkjXuA0s</t>
  </si>
  <si>
    <t>https://drive.google.com/open?id=1SrieThbZ5zeCH8ge0tCdm07_FUeDH4us</t>
  </si>
  <si>
    <t>Komprão 51 boa vista.
Ângeloni 40 joinville 
Imperatriz 37 joinville 
Angeloni são francisco</t>
  </si>
  <si>
    <t>https://drive.google.com/open?id=1YWWP5AtMxYuBEskuXJ9mff0MJTL8ByN5</t>
  </si>
  <si>
    <t>https://drive.google.com/open?id=1BpJ22PoWyg4nJGRas-4PMqbDEr7E6KQc</t>
  </si>
  <si>
    <t>Imperatriz Coqueiros, atacadão via expressa, sams,super A, wmw equipamentos</t>
  </si>
  <si>
    <t>TZX0A27</t>
  </si>
  <si>
    <t>https://drive.google.com/open?id=1745Nshev7H5ArJVtN1TedQ7G0t6_YeBT</t>
  </si>
  <si>
    <t>https://drive.google.com/open?id=1_BkD3GLR6hYBP_VteANTXWd5-KMKxdtw</t>
  </si>
  <si>
    <t>super vizinhao, gsr supervisora Thays, GSR supervisor Ricardo, Fort joinville, komprao joinville.</t>
  </si>
  <si>
    <t>https://drive.google.com/open?id=1rangKO5r4w28WHn0SCajqBADCJcB8ufS, https://drive.google.com/open?id=1MNyW_OF6HX-s4i-6gF7PgH2RIHzl-gF4, https://drive.google.com/open?id=1gon7B6M_WbD1s7ZDwRPNgocx2hPbFeWE, https://drive.google.com/open?id=1ev03U6ltIE8x_dy-Bl6PMVR6tIt88F63</t>
  </si>
  <si>
    <t>utilizei veiculo reserva pois o meu esta na oficina</t>
  </si>
  <si>
    <t>https://drive.google.com/open?id=19QIkYgeMRrmoYFdZVw9YYRSB0OHqiOEP</t>
  </si>
  <si>
    <t>https://drive.google.com/open?id=1iAb0abUc-qsM4buWPicjuAxmnO8XqUj6</t>
  </si>
  <si>
    <t>KOCH 48, FORT CAMBORIU, KOMPRAO Camboriu</t>
  </si>
  <si>
    <t>https://drive.google.com/open?id=1SEAdI0rodTeXG3Lwb8VN0g6IR7wcb6M8, https://drive.google.com/open?id=1BumoJJ5kHKUMoPoSiG0kHmM5KZYidtIM</t>
  </si>
  <si>
    <t>utilizei carro reserva pois o meu esta na oficina</t>
  </si>
  <si>
    <t>https://drive.google.com/open?id=13Jq_l-rY2QNzpHUHevDDc0tJLGsRPCQe</t>
  </si>
  <si>
    <t>https://drive.google.com/open?id=1lsWCYtGO50X3X6pRXjbHcH9dqIrIhhz-</t>
  </si>
  <si>
    <t>Brasil atacadista, Fort campeche</t>
  </si>
  <si>
    <t>https://drive.google.com/open?id=1-HoIlFr-FhGr1xdSUUQ_4FmoQn6Jpk2C</t>
  </si>
  <si>
    <t>https://drive.google.com/open?id=1ZEf-sBGrxzqdjF4yBi-OZehlDr-HyabE</t>
  </si>
  <si>
    <t>https://drive.google.com/open?id=1hK6yUdQ9UAIbG4xHHAnhY8PNeaCBnjYr</t>
  </si>
  <si>
    <t>https://drive.google.com/open?id=1gV52EGYyxw5K9sa_PC48YtMM4OzWq-Kf</t>
  </si>
  <si>
    <t>Reunião AmBev</t>
  </si>
  <si>
    <t>7.50</t>
  </si>
  <si>
    <t>https://drive.google.com/open?id=1HNPmYCWH5knp4KaF_GGyMYL68wfPGGKz</t>
  </si>
  <si>
    <t>https://drive.google.com/open?id=11qM-PzAalNbChSc0C2egwtTliPVuS1P0</t>
  </si>
  <si>
    <t>https://drive.google.com/open?id=1rHKaS86OP6S-dAgs0nsQk1L2mg4_UQeO</t>
  </si>
  <si>
    <t>Carrefour, Angeloni capoeiras, atacadão, sams, Fort 379, correio</t>
  </si>
  <si>
    <t>46.80</t>
  </si>
  <si>
    <t>https://drive.google.com/open?id=1vwNJFZa-BIxW2LHcqgAvnsR0fj2MWe47</t>
  </si>
  <si>
    <t>https://drive.google.com/open?id=1OLMeKkrm3bEa15v6rWkwypPf-Y0s4dNB</t>
  </si>
  <si>
    <t>https://drive.google.com/open?id=10Qs0pHSz3mbUDDDb_YJ3dtflvurxmY99</t>
  </si>
  <si>
    <t>Komprão guaramirim 
Condor jaragua
Cooper centro
Ângeloni 40
Cooper vila nova
Rancho bom vieiras
Cooper guaramirim</t>
  </si>
  <si>
    <t>https://drive.google.com/open?id=1zvQo-nJyxXn0oLf5dYaKGBIy48uZhE-r</t>
  </si>
  <si>
    <t>https://drive.google.com/open?id=1HWYEz4j8iUqnbuoiU36U_35GxWT4kMmA</t>
  </si>
  <si>
    <t>Fort costa Silva 
Fort tuiti 
Komprão 50</t>
  </si>
  <si>
    <t>https://drive.google.com/open?id=1jByGyZTpBoqejvcqDDulTsLEgtotDTPI</t>
  </si>
  <si>
    <t>https://drive.google.com/open?id=1GeRgGjqWKkCTBFSG0fq4EG1_Zwf_Mnct</t>
  </si>
  <si>
    <t>Carrefour, prado 7</t>
  </si>
  <si>
    <t>https://drive.google.com/open?id=1IMmUVypFjyd2hp7rijdOAsvrcPiCYH5R</t>
  </si>
  <si>
    <t>33.50</t>
  </si>
  <si>
    <t>https://drive.google.com/open?id=1esk9ibz-wBc_urUAo1x8bVQ-G4-vxDJO</t>
  </si>
  <si>
    <t>https://drive.google.com/open?id=1kz5724htosXA3Wkx8xfa7mgRI526XL5y</t>
  </si>
  <si>
    <t>https://drive.google.com/open?id=1JAmkp-2sWb9x8gxWaLdLBE9fp5h_NzYO</t>
  </si>
  <si>
    <t>Angeloni beira mar, Supera sao jose, fort atacadista campeche, brasil atacadista rio tavares</t>
  </si>
  <si>
    <t>https://drive.google.com/open?id=1t85s2MOkmvdph9zrgdqCaGT-A8gc2qqq</t>
  </si>
  <si>
    <t>https://drive.google.com/open?id=1wKQGfWOjzOnXeZHmuioGSd52spBbs9NS</t>
  </si>
  <si>
    <t>Angeloni agronômica</t>
  </si>
  <si>
    <t>https://drive.google.com/open?id=1-e0XpHkrE9ONVIgDbYyYPmReRBIV8tzM</t>
  </si>
  <si>
    <t>https://drive.google.com/open?id=1aMXuHy9_3LKrY_cPWzfz_CTc589hjSxb</t>
  </si>
  <si>
    <t>Fort tubarão, manentti, Komprao</t>
  </si>
  <si>
    <t>https://drive.google.com/open?id=1MgzZZnfGxm_v3u-QqNeb4RVjU5BORFtC</t>
  </si>
  <si>
    <t>https://drive.google.com/open?id=1W8uUKVI4IP-NIVXqglwfxOHWa8aAYC-d</t>
  </si>
  <si>
    <t>Komprão Blumenau, Top Fortaleza, SuperA Blumenau, Cooper Glória e Archer Gaspar</t>
  </si>
  <si>
    <t>https://drive.google.com/open?id=1elKNzS81i6SwdNCfUg1yQ8-9kI3xExjC</t>
  </si>
  <si>
    <t>https://drive.google.com/open?id=1kfT_xv-i8REWvO34ADFiEYNrANmTyWXb</t>
  </si>
  <si>
    <t>Preceiro Indaial, Komprão Indaial, Cooper Atacarejo e Giassi</t>
  </si>
  <si>
    <t>https://drive.google.com/open?id=1SG2Rp7wPbnIw0zxoqf08ON-Sb1l7dsX2</t>
  </si>
  <si>
    <t>https://drive.google.com/open?id=1LEjCDAyAJSuYlXiG-GcWl77_cJ1jTfVo</t>
  </si>
  <si>
    <t>ROTA ITAJAI</t>
  </si>
  <si>
    <t>https://drive.google.com/open?id=1t_q9YId8XdyEaPCRuRyJAlDL_r2gf7yI</t>
  </si>
  <si>
    <t>https://drive.google.com/open?id=1wZwCm_-8plJvs5ZbPiJ_EX2eAAn7xb8N</t>
  </si>
  <si>
    <t>ROTA BALNEARIO</t>
  </si>
  <si>
    <t>https://drive.google.com/open?id=1LGfuqx48fD_7NND5VveId2HMB8SVOKMr</t>
  </si>
  <si>
    <t>https://drive.google.com/open?id=1A6SF-ALvzWGj_RYp7aDycvAxpON9uRr6</t>
  </si>
  <si>
    <t>ROTA ITAPEMA E PORTO BELO</t>
  </si>
  <si>
    <t>https://drive.google.com/open?id=1qiZlXmRb_XnqH8FB6ChIgzgFTZKg33j2</t>
  </si>
  <si>
    <t>https://drive.google.com/open?id=1Y-ukfgabDFkx7xLfl4p1GmDxbvDVOPKo</t>
  </si>
  <si>
    <t>ROTEIRO BOMBINHAS E ITAPEMA RECOLHIMENTOI EPI LORHAN</t>
  </si>
  <si>
    <t>https://drive.google.com/open?id=1cjjYdaLF1eKK4JkaULO-LvxaMaLkpphx</t>
  </si>
  <si>
    <t>https://drive.google.com/open?id=1VuG7nE3lYmrkd94BOD45BznjII8gp62k</t>
  </si>
  <si>
    <t>Atacadão Biguaçu, Fort 290, Koch Hipe flor, Komprão 83 Biguaçu, Fort 365, Bistek Av. das Torres</t>
  </si>
  <si>
    <t>https://drive.google.com/open?id=1tjeBI6TIVdBIX7UP0HGQTzewzLswQ2VP</t>
  </si>
  <si>
    <t>https://drive.google.com/open?id=1k2ErOCywyh3puL0j-O_tehpyAX3A0cUb</t>
  </si>
  <si>
    <t>Fort 130, Komprão 91, Brasil Atacadista São José,</t>
  </si>
  <si>
    <t>https://drive.google.com/open?id=1DaWSKOIdeHvJImN6nheklqUmWiMwVs2V</t>
  </si>
  <si>
    <t>https://drive.google.com/open?id=1LLvo8zVVarGmKXVuzpeBQzPdleLb8oSl</t>
  </si>
  <si>
    <t>Komprão 67, Imperatriz, Komprão 91, Fort 130</t>
  </si>
  <si>
    <t>https://drive.google.com/open?id=1-xeHjpHNAIXROz85xt3cInewvjsa8AQJ</t>
  </si>
  <si>
    <t>https://drive.google.com/open?id=1SjPKXsjmgEd90-koFr605jpRJN0sn0kM</t>
  </si>
  <si>
    <t>komprão barra ,br atacadista</t>
  </si>
  <si>
    <t>https://drive.google.com/open?id=15tcY7uzF1fZ3o4j3q3C89TpNSUciCe07</t>
  </si>
  <si>
    <t>https://drive.google.com/open?id=1SotrpoGK7L3kK8kZmPkR9NtoNX8SAbCn</t>
  </si>
  <si>
    <t>KOMPRAO 71,KOMPRAO 65,CONDOR</t>
  </si>
  <si>
    <t>https://drive.google.com/open?id=1E2jqKg6sTtFZnStjJoxHJE1FwrL4JrBO</t>
  </si>
  <si>
    <t>https://drive.google.com/open?id=1-s8XzlPsJP6KtrCmLmVnqn7xci3_mLA4</t>
  </si>
  <si>
    <t>KOMPRAO 59,COCNDOR COMASA,BR ATACADISTA,HIPER MAIS</t>
  </si>
  <si>
    <t>https://drive.google.com/open?id=1HHPIKVi05h2-cyLS-zkZyuoLllxLmrKp</t>
  </si>
  <si>
    <t>https://drive.google.com/open?id=1ufzvzARHGmWk-thiLyuFD2xepUvPVMSD</t>
  </si>
  <si>
    <t>FORT SÃO BENTO,CONDOR SERRA ALTA,HIPER MAIS</t>
  </si>
  <si>
    <t>AGOSTO Total</t>
  </si>
  <si>
    <t>https://drive.google.com/open?id=1TyDaWdT4gqjlUF8X-m_3I71ryW6bklZn</t>
  </si>
  <si>
    <t>https://drive.google.com/open?id=1hM_bkNqKlW75ulPW2fvxy9EUwezJ8kYi</t>
  </si>
  <si>
    <t>Correio</t>
  </si>
  <si>
    <t>29.80</t>
  </si>
  <si>
    <t>https://drive.google.com/open?id=1Va3YwJHrCMDCBP6v2LaDRQMVdMcreCMl</t>
  </si>
  <si>
    <t>https://drive.google.com/open?id=1ve9hrBUU9BsozQ21Su45t67l_pK7CjqA</t>
  </si>
  <si>
    <t>https://drive.google.com/open?id=1gPYbor0MoSAdhqcCka2ZBZ4WlYD3Kf9Y</t>
  </si>
  <si>
    <t>Komprão 50 araquari 
Brasil atacadista 
Fort 405 Costa Silva
Zeus retirar epis
Komprão 77 vila nova
Super A Jaraguá 
Rancho bom amizade Jaraguá 
Fort costa Silva</t>
  </si>
  <si>
    <t>kamilacristine@hotmail.com</t>
  </si>
  <si>
    <t>https://drive.google.com/open?id=1rJ-wuH5K65OvLC0kvX_PEqqbZyepZDM_</t>
  </si>
  <si>
    <t>https://drive.google.com/open?id=1wbcQqy10NOlo0ItEqKma-xrlCKYYnvP9</t>
  </si>
  <si>
    <t xml:space="preserve">Imperatriz Coqueiros, atacadão via expressa, wmw
</t>
  </si>
  <si>
    <t>https://drive.google.com/open?id=14MEp9njutUyuPWh7GjeFnY6ew8CJbu9r</t>
  </si>
  <si>
    <t>https://drive.google.com/open?id=1r0TFuAvIQ6LBWUt0P-gXLeThXTMOwfu8</t>
  </si>
  <si>
    <t>Fort 960 Lages, Stok Center Lages, Bistek Lages, Atacadao Lages, Angeloni Lages, Brasil atacadista Lages e Fort 260 Lages</t>
  </si>
  <si>
    <t>https://drive.google.com/open?id=1OwGYe29CfG184qdjX_sBivB5c_kfXuPX</t>
  </si>
  <si>
    <t>https://drive.google.com/open?id=1JmzOuEaO7wHZfYaywUnSDiMQPNDWCFrc</t>
  </si>
  <si>
    <t>Komprao Garopaba recolher EPIs e celular</t>
  </si>
  <si>
    <t>https://drive.google.com/open?id=17vzKyuGX1TsVp0brCsO9lTSrYLTpHcbe</t>
  </si>
  <si>
    <t>https://drive.google.com/open?id=1NcHH4B--HRC0Uw2svrIgC4L68b9ROUqE</t>
  </si>
  <si>
    <t>https://drive.google.com/open?id=17l8z1zTRyMr5sSvv51D-xFKCU-Lv1Eyt</t>
  </si>
  <si>
    <t>Fort 250 floresta
Komprão 51 boa vista
Komprão 45 bom retiro 
Bistek filial aventureiro 
Fort tuiuti 
Fort 905 vila nova</t>
  </si>
  <si>
    <t>https://drive.google.com/open?id=1bMr5JxPY8d1PVndxaOUjYcpZ4bn5ND2V</t>
  </si>
  <si>
    <t>https://drive.google.com/open?id=1Opz-gHslUNQkj9cAXPqUHyxbxcjJXBnJ</t>
  </si>
  <si>
    <t>Setor de viagem GSR Florianópolis</t>
  </si>
  <si>
    <t>https://drive.google.com/open?id=1ClFXx6dy8dUlzs5PBGScXry2tz1EuFSu</t>
  </si>
  <si>
    <t>https://drive.google.com/open?id=1dhyAbtJ0QDQpXc1x-xWyGRBm162J_K01</t>
  </si>
  <si>
    <t>Brasil ataCADISTA PALHOÇA</t>
  </si>
  <si>
    <t>https://drive.google.com/open?id=1YzKtM03zfLK3ASPRubTo84sdVF5I4_Ph</t>
  </si>
  <si>
    <t>https://drive.google.com/open?id=1m2Hl3ojJ8zBugOkLlA_54NkkdG-lyBQG</t>
  </si>
  <si>
    <t>Setor de viagem gsr Florianópolis volta</t>
  </si>
  <si>
    <t>https://drive.google.com/open?id=18uh6N6hL_nfdVS9z9N8utuYfADTF4nqs</t>
  </si>
  <si>
    <t>https://drive.google.com/open?id=1VSxKnxh8pbz4YMtVqHIJDv8al8bEq722</t>
  </si>
  <si>
    <t>Brasil atacadista central.</t>
  </si>
  <si>
    <t>https://drive.google.com/open?id=1b4DkMROvdjmd3PWKKzSh6UxQFq1Nlvws</t>
  </si>
  <si>
    <t>https://drive.google.com/open?id=1oYjyVAe4uqudARGMBAN8A7eGAYue18OV</t>
  </si>
  <si>
    <t>https://drive.google.com/open?id=10qmuCdCnB9MLY_RzEsAfeaxKxd9lgeF1</t>
  </si>
  <si>
    <t>Hiperbom morro das pedras, Fort campeche , Carrefour</t>
  </si>
  <si>
    <t>https://drive.google.com/open?id=17YdQKATk3lQrP_n1_YTe6set_vMumdJP</t>
  </si>
  <si>
    <t>https://drive.google.com/open?id=1pa3IZL6xEmkH5uhrl6yDwOjPH5G_YZUu</t>
  </si>
  <si>
    <t>Preceiro sao francisco 
Fort são francisco 
Komprão 28 são francisco 
Angeloni são francisco</t>
  </si>
  <si>
    <t>https://drive.google.com/open?id=1Z8OU7_JzQfu3kPKowX0QfmRMBqSEmOp7</t>
  </si>
  <si>
    <t>https://drive.google.com/open?id=1PJ2QYuqXBWroxG6YTt86yUdebKliSJh5</t>
  </si>
  <si>
    <t>Fort palhoça, kock 47, fort 210</t>
  </si>
  <si>
    <t>https://drive.google.com/open?id=1HHhsG_Il5HYi8OtqX8zuGCR9-IxxVLTL</t>
  </si>
  <si>
    <t>https://drive.google.com/open?id=1L4cmLM-KBGXcdwX08dMCuusxHYg2ZQJi</t>
  </si>
  <si>
    <t>https://drive.google.com/open?id=1-1WsZUwiPta8Sbrh7GS0-krr7C7ZIt38</t>
  </si>
  <si>
    <t>https://drive.google.com/open?id=1Imn878KCxAQcQkR_8pCaIJLx3fd4RfTr</t>
  </si>
  <si>
    <t>https://drive.google.com/open?id=1exKPxLp5HyXitxltD-rEe3ID-tHY9HTF</t>
  </si>
  <si>
    <t>https://drive.google.com/open?id=1-2sQAT1FH8asb8_65-RgDmMQhq_uts8i</t>
  </si>
  <si>
    <t>ROTA ITAPMEMA</t>
  </si>
  <si>
    <t>https://drive.google.com/open?id=16yaJeCgzIdhXwSY9vWCxnIG-b48EDs55</t>
  </si>
  <si>
    <t>https://drive.google.com/open?id=1dLiVZhsH_2Fmc5bD3O5jSmn-ugyP4G6R</t>
  </si>
  <si>
    <t>ITAJAI BALNEARIO</t>
  </si>
  <si>
    <t>96.60</t>
  </si>
  <si>
    <t>https://drive.google.com/open?id=12RBGh-yjvR1CWU3IllXi8idN532-gmxt</t>
  </si>
  <si>
    <t>https://drive.google.com/open?id=1PvKWfVh2S8Z-sIFqBq6KcUVoatvla4Z9</t>
  </si>
  <si>
    <t>https://drive.google.com/open?id=1p6lSHq3HsrQLHjACvpm4T7sHqGwgS3yx</t>
  </si>
  <si>
    <t>REUNIAO FLORIANOPOLIS</t>
  </si>
  <si>
    <t>https://drive.google.com/open?id=15R5egW8wOMQc-bxMrXpQdmzuG2gHVfv1, https://drive.google.com/open?id=16RXeh3nS-4lCBeP7mtdwWOp1CQOOIwYt</t>
  </si>
  <si>
    <t>https://drive.google.com/open?id=1TCr0fxa8ZOGdTpiLjSmv6ULemkBd-Nh_</t>
  </si>
  <si>
    <t>https://drive.google.com/open?id=1s3-bpnwqjh_prtwxb8AprA3t1GOJHyNY</t>
  </si>
  <si>
    <t>ROTA PORTO BELO</t>
  </si>
  <si>
    <t>https://drive.google.com/open?id=1Urax7oaLIhyWc9K36j-w2HY7Mpah5idh</t>
  </si>
  <si>
    <t>https://drive.google.com/open?id=1ZnO67UaUPeihGuskLnqA6M6T9Ph6pJbu</t>
  </si>
  <si>
    <t>INTREGRACAO E REVERSAO ITAJAI</t>
  </si>
  <si>
    <t>https://drive.google.com/open?id=1-PNOGkgpZtN1J1yS2PVHFKcq4lyKxF9y</t>
  </si>
  <si>
    <t>https://drive.google.com/open?id=1_rWlLg-uuK9ePhC7O1TnDQLoZGFvmjuH</t>
  </si>
  <si>
    <t>CONDOR MAFRA ,KOMPRAO RIO NEGRINHO</t>
  </si>
  <si>
    <t>https://drive.google.com/open?id=1goQtyc8Mu7OmjJ1cIVPhyAqTwusJBmYj</t>
  </si>
  <si>
    <t>https://drive.google.com/open?id=18PNX_cAuS8royFnfyBmqW9UTIxUZQYOF</t>
  </si>
  <si>
    <t>KOMPRAO 59,KOMPRAO 92,BR ATACADISTA</t>
  </si>
  <si>
    <t>https://drive.google.com/open?id=1oHWHpswa2a6admoRAFt3SnCoK7Ko3T7y</t>
  </si>
  <si>
    <t>https://drive.google.com/open?id=1XO4PwDFw6NjOQhW2D6pl5RP2YxaxFFUE</t>
  </si>
  <si>
    <t>SAMS,HIPER MAIS 740,HIPER MAIS ADHEMAR GARCIA,CONDOR</t>
  </si>
  <si>
    <t>https://drive.google.com/open?id=1zV_etNhcMnoiyuLKbYfcIWQ2BGU3Y84b</t>
  </si>
  <si>
    <t>https://drive.google.com/open?id=1og1ojyk8rX3eKR2lB_E4rVbwwwl6Xnm4</t>
  </si>
  <si>
    <t>Komprão 53 Tijucas, Archer Brusque, Komprão 36 Brusque, Fort Brusque</t>
  </si>
  <si>
    <t>https://drive.google.com/open?id=1HErJLAfRQvW1jHTWb_O9dLNpY9NTKaWx</t>
  </si>
  <si>
    <t>https://drive.google.com/open?id=1owvmYQjXLgFMpzRBPAT01wmZngTHahx7</t>
  </si>
  <si>
    <t>Komprao Pedra Branca, Fort 462, Zeus do Brasil, Komprao 56 Gov. Celso Ramos, Fort 130</t>
  </si>
  <si>
    <t>https://drive.google.com/open?id=1RpTwVYJWCLZLNuPO-Vv-w7xQt6hwP-Cu</t>
  </si>
  <si>
    <t>https://drive.google.com/open?id=1XRNuogJlnxNTmZ0LkoIoEzoHwy_NrTMu</t>
  </si>
  <si>
    <t>Fort 290 Biguaçu, Prado 5 Serraria, Komprao Real Park, Brasil Ipiranga</t>
  </si>
  <si>
    <t>https://drive.google.com/open?id=1J2VWSN1EjZCULSw8r-kx1OfggrO3yxXL</t>
  </si>
  <si>
    <t>https://drive.google.com/open?id=12xpo6JHu4yMYbbQ_QCQvENkJEbi9Ud7z</t>
  </si>
  <si>
    <t>Komprao 56 Gov. Celso Ramos, Komprao 01 Tijucas, Komprao 24 Tijucas, Brasil Atacadista Tijucas</t>
  </si>
  <si>
    <t>https://drive.google.com/open?id=1_7x4Z3HDKVLTjv5ZoX3yvCrRRd15pjqW</t>
  </si>
  <si>
    <t>https://drive.google.com/open?id=1VYtiVdo_SSCZlgez-Jz8B0Hk5MA8125z</t>
  </si>
  <si>
    <t>Fort tuiti 
Cooper aventureiro 
Bistek aventureiro 
Imperatriz centro</t>
  </si>
  <si>
    <t>https://drive.google.com/open?id=1poF_oyv3S-B-gKW4oZfu4EllZVo1Tyv9</t>
  </si>
  <si>
    <t>Cracha para colaborador do cooper</t>
  </si>
  <si>
    <t>https://drive.google.com/open?id=1xn3-FdPVJIeLkMieO1OBwNdBfgRdFQ1n</t>
  </si>
  <si>
    <t>https://drive.google.com/open?id=11QS9tEEtFjkl7cVo8fa-fifbfKC9r8TG</t>
  </si>
  <si>
    <t>Angeloni agronômica, super A, cdd</t>
  </si>
  <si>
    <t>https://drive.google.com/open?id=1Rns8TdanE4WZzWR0bkLQSLEidEXcGs9D</t>
  </si>
  <si>
    <t>https://drive.google.com/open?id=1xt0NsEmYtECKp87q3E9SePxpCZNI7UZE</t>
  </si>
  <si>
    <t>Koch São Francisco do sul 
Correio para enviar os celulares para são Paulo.
Brasil atacadista para entregar cartão caju e gsl</t>
  </si>
  <si>
    <t>https://drive.google.com/open?id=1aS5bHMKEXnPrcydokvSqOaZp3pSBI0wx</t>
  </si>
  <si>
    <t>Pagamento do correio para envio dos celulares cooperativos para sao paulo</t>
  </si>
  <si>
    <t>https://drive.google.com/open?id=1efLm0D-qvclsTW4in_dyhv_Yks_nTOfr</t>
  </si>
  <si>
    <t>https://drive.google.com/open?id=1kybdPUcXGtBou3vW3HoChqo_mjv5ZPae</t>
  </si>
  <si>
    <t>Fort 379, atacadão, sams, Fort 810, Fort 210</t>
  </si>
  <si>
    <t>https://drive.google.com/open?id=1zxI2_bAWyJBn6CWx6F7fSfHcHljzxO3k</t>
  </si>
  <si>
    <t>https://drive.google.com/open?id=1Ljn894nHkgCg1p0c-9_DTttD0ao4oAja</t>
  </si>
  <si>
    <t>Carrefour, brasil rio Tavares, Fort campeche .</t>
  </si>
  <si>
    <t>https://drive.google.com/open?id=1tbSIZfPfrC7Fo8zBa9HdbXUyJTChsuKw</t>
  </si>
  <si>
    <t>https://drive.google.com/open?id=1zUvpbctk3UJa71kMIiATS1c1XfK_aET4</t>
  </si>
  <si>
    <t>Angeloni capoeiras, Fort 306</t>
  </si>
  <si>
    <t>https://drive.google.com/open?id=1lfNhrDGvi-6ns-vGlPfhvPmuGBqvkdKA</t>
  </si>
  <si>
    <t>https://drive.google.com/open?id=1DPiH5CYAX_C3p5_AQUkX-T2mhgjmpPNc</t>
  </si>
  <si>
    <t>fort atacadista Tubarao, Combo atacadista içara, Atacadao Içara, Mercado Manentti Criciuma</t>
  </si>
  <si>
    <t>https://drive.google.com/open?id=1VvFAhtOLFOVZQgtcR1nJ8NyinsB5gZcH, https://drive.google.com/open?id=1UwD4JLx2nKeR4Gd_mIVpf883Ih3ckgov, https://drive.google.com/open?id=16rt82OIgIhstY4K0x8xn4RCkVv-Wi4_3, https://drive.google.com/open?id=11_OcoRGTwLkzx4tdZizFcWrb2_csRVKN</t>
  </si>
  <si>
    <t>https://drive.google.com/open?id=1sEXpqNqtIfV8JfqT8a24sKubj5t4IteQ</t>
  </si>
  <si>
    <t>https://drive.google.com/open?id=1XzFq1dNh6lmXCbZCCe_7VCd5K3q2YvAX</t>
  </si>
  <si>
    <t>Komprão Joinville</t>
  </si>
  <si>
    <t>28.50</t>
  </si>
  <si>
    <t>https://drive.google.com/open?id=1loGniivT1jH82teKCS0HFD9K3dQUw0oJ</t>
  </si>
  <si>
    <t>43.00</t>
  </si>
  <si>
    <t>https://drive.google.com/open?id=194kdBqKCc1XRE4-xtDDQc1kvVY8nCMQF</t>
  </si>
  <si>
    <t>Qul2574</t>
  </si>
  <si>
    <t>https://drive.google.com/open?id=1HN-QRZOI4ZNggpZfg6T7BE6o0VUri50c</t>
  </si>
  <si>
    <t>https://drive.google.com/open?id=1VXBVDgy4peTi4uTcpjhwJOGArbPtJV_a</t>
  </si>
  <si>
    <t>Komprão barra do sul, Brasil atacadista,</t>
  </si>
  <si>
    <t>https://drive.google.com/open?id=1q-dl0gCrQbsx_btZkBQX6sGp7CXKRjvv</t>
  </si>
  <si>
    <t>https://drive.google.com/open?id=1XS3Uj56yk8gMyjOq03NkzXe6uRyOHADn</t>
  </si>
  <si>
    <t>Brasil atacadista 
Komprão 59
Komprão 51
Fort 250 floresta</t>
  </si>
  <si>
    <t>https://drive.google.com/open?id=1Rni935MkGPWuLj7y8OzQaHnXfJcBYz0o</t>
  </si>
  <si>
    <t>https://drive.google.com/open?id=1Kf8FPTt0UrPMUIIr0ZBG3t1lOJWgKyqh</t>
  </si>
  <si>
    <t>COOPER, rede top agricola, rede top general osorio, loja epi zeus</t>
  </si>
  <si>
    <t>https://drive.google.com/open?id=1-sWAM2mog_Q6rfN1wuyQQoB-RXIShsdy</t>
  </si>
  <si>
    <t>Qil2574</t>
  </si>
  <si>
    <t>https://drive.google.com/open?id=1OwuFwPZ9dlIjt5kS1IYc-B8xpuVb6_Yf</t>
  </si>
  <si>
    <t>https://drive.google.com/open?id=1Uk-4aV46awfNg7DajyTxylBzp0I3lTW-</t>
  </si>
  <si>
    <t>Fort 385 são bento do Sul</t>
  </si>
  <si>
    <t>https://drive.google.com/open?id=1dN7j9eR4GYUi6KCVsoHR7e9kWNP1bsyx</t>
  </si>
  <si>
    <t>https://drive.google.com/open?id=1J8Q_qih2ZkrEpAsOeNemz6p23_iADaJm</t>
  </si>
  <si>
    <t>Imperatriz Coqueiros Cdd ambev</t>
  </si>
  <si>
    <t>https://drive.google.com/open?id=1_TcDKpo8LRV7pUxez1CMvsrlrWsJRp2V</t>
  </si>
  <si>
    <t>https://drive.google.com/open?id=16HbtRpzBwI58eHc2e4N7YgBBxdkQGNHk</t>
  </si>
  <si>
    <t>Giassi Blumenau, Sam’S, Top Velha, Koch Rua Bahia e Komprão Pomerode</t>
  </si>
  <si>
    <t>https://drive.google.com/open?id=1Sy09Tr2Gfvwdx_BcYGI3VP-4FQAu4C3L</t>
  </si>
  <si>
    <t>https://drive.google.com/open?id=1B1egW0w73ibRAaoo5-WOQDuXVQWGAgZ9</t>
  </si>
  <si>
    <t>Cooper Caçadores, Cooper Vila Nova, Cooper Vorstadt e Cooper Gloria</t>
  </si>
  <si>
    <t>https://drive.google.com/open?id=1Tqwkmj5i9ZNmSXP4eWTqt6r2BpSeKuF_</t>
  </si>
  <si>
    <t>https://drive.google.com/open?id=1wLbocbWQvWGN5A3uqpXtPRE0Wtwnw0Lm</t>
  </si>
  <si>
    <t>Zeus, Cooper Vostardt ( GSR com o TST ), Cooper Ibirama, Cooper Rodeio e Top Rio dos Cedros</t>
  </si>
  <si>
    <t>https://drive.google.com/open?id=1x6yApBv0mUxQpOZN9W5mNcMpUztVB0sU</t>
  </si>
  <si>
    <t>https://drive.google.com/open?id=1HDVQD4L1yqyXeGVMWr1r2_DySvxtjil4</t>
  </si>
  <si>
    <t>Komprão Timbó, Fort Indaial, Komprão Indaial, Cooper Centro Indaial, Cooper Nações, Cooper Atacarejo e Cooper Mafisa</t>
  </si>
  <si>
    <t>https://drive.google.com/open?id=1JSI18jPLuzLIETTDCVFSqrjArc8SUnVm</t>
  </si>
  <si>
    <t>https://drive.google.com/open?id=10FnivfzlDzyw4AW5vLGPqOQQilIfhzxY</t>
  </si>
  <si>
    <t>Komprão guaramirim, rancho bom vieiras 
Cooper vila nova,super A Jaragua,Ângeloni Jaraguá, rancho bom amizade,condor Jaraguá</t>
  </si>
  <si>
    <t>https://drive.google.com/open?id=1QVBumnz-_cOIqCxu1vFHCJIu1sGFpH6q</t>
  </si>
  <si>
    <t>https://drive.google.com/open?id=1CEJRjgsNwLEWvHhwsUm8XU-iAj1U8HJ_</t>
  </si>
  <si>
    <t>Cdd AmBev</t>
  </si>
  <si>
    <t>https://drive.google.com/open?id=1x9g-scVfM0eabJ7l6yQAB90ww2o1Iv2U</t>
  </si>
  <si>
    <t>https://drive.google.com/open?id=1Sok3VZ0M_wE0GHQKPg-b0T9NiIOzfKO2</t>
  </si>
  <si>
    <t>Fort vargem,</t>
  </si>
  <si>
    <t>https://drive.google.com/open?id=1TT5Srd6TdrfjXKUotDZpJ1UfqSUu7zNK</t>
  </si>
  <si>
    <t>https://drive.google.com/open?id=1XQhzxavGT-lPg2-es8LAaFuJQwkDn3mi</t>
  </si>
  <si>
    <t>rota</t>
  </si>
  <si>
    <t>https://drive.google.com/open?id=10ffErFwmDGfRuZm4PC9HFnpAGvw0YWvv</t>
  </si>
  <si>
    <t>https://drive.google.com/open?id=1U7FwGbjOTs9AHY205ydkOLjJ4XdVoNpd</t>
  </si>
  <si>
    <t>https://drive.google.com/open?id=1NcdHQv86VZQAiWfBL_xSK1A_steBnUna</t>
  </si>
  <si>
    <t>https://drive.google.com/open?id=1pzm8IDmaJKKx1O0q4XiyNCTNLVGZ_0t_</t>
  </si>
  <si>
    <t>UNI SAIDDA FLP</t>
  </si>
  <si>
    <t>https://drive.google.com/open?id=1ECO2bGdJHL6M6qUOJFtvreRT1LH07Wk-, https://drive.google.com/open?id=1YqUHsmZKmrg5Xe4G-HHyMVLoyN0ZUvHr</t>
  </si>
  <si>
    <t>https://drive.google.com/open?id=12qP2YrDX0y5zYwOf_iOU3-f19xctuXSh</t>
  </si>
  <si>
    <t>https://drive.google.com/open?id=1oaRzVwR-Q7VZmqxgew8fIx8iyuxSPVs5</t>
  </si>
  <si>
    <t>ENTREGAS UNIFORMES</t>
  </si>
  <si>
    <t>https://drive.google.com/open?id=1XYeJ8epojA2HA1xGYSO592uXW3hUNrw4</t>
  </si>
  <si>
    <t>https://drive.google.com/open?id=1RVlk_f7YmZ42hfTCp98R9O0DYwkyxRDd</t>
  </si>
  <si>
    <t>Condor 51, Komprao 92, Cooper boa vista ,Hiper mais Profipo, Komprao 59,sams club, Komprao barra do sul</t>
  </si>
  <si>
    <t>https://drive.google.com/open?id=1DZJ1KkzfXy8e-IhznyWCieJ6SJqPUteO</t>
  </si>
  <si>
    <t>https://drive.google.com/open?id=1XsgbErL0OhzHiOSLEhsrTSQ3WtDgqhdw</t>
  </si>
  <si>
    <t>Condor comasa,Brasil atacadista</t>
  </si>
  <si>
    <t>https://drive.google.com/open?id=1z4B0IdC_vvWkBAa43g97kcPdfK_2sOeW</t>
  </si>
  <si>
    <t>https://drive.google.com/open?id=19ynsp0AKp1Z-JJ705nXlsBl5p_Z0K6Gn</t>
  </si>
  <si>
    <t>Komprão Gov, Komprão Brusque, Fort Brusque</t>
  </si>
  <si>
    <t>https://drive.google.com/open?id=1n2huqDBMaFnrMW9whIORELiimZTnJdDl</t>
  </si>
  <si>
    <t>https://drive.google.com/open?id=1a1l0F-EylFjEUce71IyCxOZUrqBDkdbG</t>
  </si>
  <si>
    <t>https://drive.google.com/open?id=1YTL67MODeAJvADGeT5K5C-X1DrcISN2u</t>
  </si>
  <si>
    <t>Komprao 79, Fort 130, Brasil Ipiranga</t>
  </si>
  <si>
    <t>https://drive.google.com/open?id=1vN7F6WyOW-6lhiAkwpt79r9fUjhybPG2</t>
  </si>
  <si>
    <t>https://drive.google.com/open?id=1aKM_TLi5OddwxIFrnDHON-PYwR9ckDbK</t>
  </si>
  <si>
    <t>Reversão de loja</t>
  </si>
  <si>
    <t>https://drive.google.com/open?id=1mlYn3ignVAdiELXcIn9PoGuWg6BQY-Gw</t>
  </si>
  <si>
    <t>https://drive.google.com/open?id=1rOOEzvHCP-ZBfReA2aMy6zU1dvEGswtm</t>
  </si>
  <si>
    <t>Atacadão Biguaçu, Fort 290, Komprão 83</t>
  </si>
  <si>
    <t>https://drive.google.com/open?id=1Cvq8Qndns54B-8SNTllIOkYIMeUM2T3f</t>
  </si>
  <si>
    <t>https://drive.google.com/open?id=1xNTxJEeJwcQSFrfq-PqJJRKKrV8gXUdr</t>
  </si>
  <si>
    <t>Prado Biguaçu, Koch Hiper Flor</t>
  </si>
  <si>
    <t>oliveiragm7@gmail.com</t>
  </si>
  <si>
    <t>https://drive.google.com/open?id=1AZwZTAFMolgWbrwS7oCXynfhyOnii3bH</t>
  </si>
  <si>
    <t>https://drive.google.com/open?id=1ZxYZAlsSWPFLRjZSeB1nSZ3kgbsTFOok</t>
  </si>
  <si>
    <t>Fort Chapecó, Atacadao av Atílio Fontana Chapecó, Atacadao av Fernando Machado Chapecó</t>
  </si>
  <si>
    <t>https://drive.google.com/open?id=1SYSo8NgWqwP7LvMZQraTUGhmxVJpu__U</t>
  </si>
  <si>
    <t>https://drive.google.com/open?id=1ZCxRHlZnPbOBztyJglEeGjRxLpc5i2k_</t>
  </si>
  <si>
    <t>itapema balneario e camboriu entrega de uniforme</t>
  </si>
  <si>
    <t>https://drive.google.com/open?id=1qO1sqkES7c4QgqPgt_Han93oAFhB5oLo</t>
  </si>
  <si>
    <t>https://drive.google.com/open?id=1M8bfwPSjPQH19yBkIlmJ1T6nD93AcG5z</t>
  </si>
  <si>
    <t>Carrefour</t>
  </si>
  <si>
    <t>https://drive.google.com/open?id=1f0V7slnrenpO_zfTsC7kPGawrWcnxwP8</t>
  </si>
  <si>
    <t>https://drive.google.com/open?id=1jsOlGtIbJTa6RvyEa0tneVPtFEWTRI3g</t>
  </si>
  <si>
    <t>Komprão 28 SAO FRANCISCO ,Komprão 50 araquari, fort são francisco</t>
  </si>
  <si>
    <t>geovana.fdg22@gmail.com</t>
  </si>
  <si>
    <t>https://drive.google.com/open?id=1yD-yq3_XrCQJFZQbt4clvxz1zrmeURQw</t>
  </si>
  <si>
    <t>https://drive.google.com/open?id=11VX_IZDtcWQbkkYrnbvifQ9nHEDsyeVk</t>
  </si>
  <si>
    <t>MWM, Imperatriz Ponte do Imaruim, Komprão 56 Gov Celso Ramos</t>
  </si>
  <si>
    <t>SETEMBRO Total</t>
  </si>
  <si>
    <t>MATHEUS DA SILVA MORAES Total</t>
  </si>
  <si>
    <t>1ª Quinzena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</si>
</sst>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0_ ;[Red]\-0\ "/>
  </numFmts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i/>
      <sz val="11"/>
      <color theme="2" tint="-0.74999237037263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sz val="10"/>
      <color rgb="FF434343"/>
      <name val="Calibri"/>
      <family val="2"/>
    </font>
    <font>
      <u/>
      <sz val="10"/>
      <color theme="10"/>
      <name val="Calibri"/>
      <family val="2"/>
    </font>
    <font>
      <b/>
      <sz val="11"/>
      <color rgb="FF7030A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sz val="11"/>
      <color theme="8"/>
      <name val="Aptos Narrow"/>
      <family val="2"/>
      <scheme val="minor"/>
    </font>
    <font>
      <b/>
      <sz val="11"/>
      <color theme="1"/>
      <name val="Aptos Narrow"/>
      <scheme val="minor"/>
    </font>
    <font>
      <b/>
      <i/>
      <sz val="11"/>
      <color theme="2" tint="-0.749992370372631"/>
      <name val="Aptos Narrow"/>
      <scheme val="minor"/>
    </font>
    <font>
      <sz val="11"/>
      <color theme="8" tint="-0.249977111117893"/>
      <name val="Aptos Narrow"/>
      <family val="2"/>
      <scheme val="minor"/>
    </font>
    <font>
      <sz val="11"/>
      <name val="Aptos Narrow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DC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8F9FA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pivotButton="1"/>
    <xf numFmtId="44" fontId="0" fillId="0" borderId="0" xfId="0" applyNumberFormat="1"/>
    <xf numFmtId="0" fontId="0" fillId="5" borderId="0" xfId="0" applyFill="1"/>
    <xf numFmtId="44" fontId="0" fillId="5" borderId="0" xfId="0" applyNumberFormat="1" applyFill="1"/>
    <xf numFmtId="8" fontId="0" fillId="0" borderId="0" xfId="1" applyNumberFormat="1" applyFont="1" applyAlignment="1">
      <alignment horizontal="center"/>
    </xf>
    <xf numFmtId="8" fontId="0" fillId="6" borderId="0" xfId="1" applyNumberFormat="1" applyFont="1" applyFill="1" applyAlignment="1">
      <alignment horizontal="center"/>
    </xf>
    <xf numFmtId="164" fontId="0" fillId="0" borderId="0" xfId="0" applyNumberFormat="1"/>
    <xf numFmtId="0" fontId="4" fillId="0" borderId="0" xfId="0" applyFont="1"/>
    <xf numFmtId="0" fontId="0" fillId="0" borderId="0" xfId="0" applyAlignment="1">
      <alignment horizontal="center"/>
    </xf>
    <xf numFmtId="8" fontId="5" fillId="7" borderId="0" xfId="1" applyNumberFormat="1" applyFont="1" applyFill="1" applyAlignment="1">
      <alignment horizontal="center"/>
    </xf>
    <xf numFmtId="8" fontId="7" fillId="0" borderId="0" xfId="1" applyNumberFormat="1" applyFont="1" applyAlignment="1">
      <alignment horizontal="center"/>
    </xf>
    <xf numFmtId="0" fontId="6" fillId="9" borderId="0" xfId="0" applyFont="1" applyFill="1"/>
    <xf numFmtId="44" fontId="6" fillId="9" borderId="0" xfId="0" applyNumberFormat="1" applyFont="1" applyFill="1"/>
    <xf numFmtId="44" fontId="0" fillId="4" borderId="0" xfId="0" applyNumberFormat="1" applyFill="1"/>
    <xf numFmtId="0" fontId="5" fillId="4" borderId="0" xfId="0" applyFont="1" applyFill="1"/>
    <xf numFmtId="0" fontId="8" fillId="0" borderId="0" xfId="0" applyFont="1"/>
    <xf numFmtId="0" fontId="0" fillId="10" borderId="0" xfId="0" applyFill="1"/>
    <xf numFmtId="0" fontId="0" fillId="11" borderId="0" xfId="0" applyFill="1"/>
    <xf numFmtId="0" fontId="9" fillId="0" borderId="0" xfId="0" applyFont="1"/>
    <xf numFmtId="8" fontId="5" fillId="7" borderId="1" xfId="0" applyNumberFormat="1" applyFont="1" applyFill="1" applyBorder="1" applyAlignment="1">
      <alignment horizontal="center"/>
    </xf>
    <xf numFmtId="8" fontId="5" fillId="7" borderId="2" xfId="0" applyNumberFormat="1" applyFont="1" applyFill="1" applyBorder="1" applyAlignment="1">
      <alignment horizontal="center"/>
    </xf>
    <xf numFmtId="8" fontId="5" fillId="7" borderId="3" xfId="0" applyNumberFormat="1" applyFont="1" applyFill="1" applyBorder="1" applyAlignment="1">
      <alignment horizontal="center"/>
    </xf>
    <xf numFmtId="0" fontId="10" fillId="0" borderId="0" xfId="0" applyFont="1"/>
    <xf numFmtId="0" fontId="9" fillId="0" borderId="0" xfId="0" applyFont="1" applyAlignment="1">
      <alignment horizontal="center"/>
    </xf>
    <xf numFmtId="8" fontId="11" fillId="7" borderId="0" xfId="1" applyNumberFormat="1" applyFont="1" applyFill="1" applyAlignment="1">
      <alignment horizontal="center"/>
    </xf>
    <xf numFmtId="8" fontId="0" fillId="6" borderId="4" xfId="1" applyNumberFormat="1" applyFont="1" applyFill="1" applyBorder="1" applyAlignment="1">
      <alignment horizontal="center"/>
    </xf>
    <xf numFmtId="8" fontId="5" fillId="7" borderId="0" xfId="0" applyNumberFormat="1" applyFont="1" applyFill="1" applyAlignment="1">
      <alignment horizontal="center"/>
    </xf>
    <xf numFmtId="8" fontId="5" fillId="12" borderId="0" xfId="1" applyNumberFormat="1" applyFont="1" applyFill="1" applyAlignment="1">
      <alignment horizontal="center"/>
    </xf>
    <xf numFmtId="8" fontId="0" fillId="12" borderId="0" xfId="1" applyNumberFormat="1" applyFont="1" applyFill="1" applyAlignment="1">
      <alignment horizontal="center"/>
    </xf>
    <xf numFmtId="8" fontId="0" fillId="12" borderId="4" xfId="1" applyNumberFormat="1" applyFont="1" applyFill="1" applyBorder="1" applyAlignment="1">
      <alignment horizontal="center"/>
    </xf>
    <xf numFmtId="8" fontId="5" fillId="13" borderId="1" xfId="0" applyNumberFormat="1" applyFont="1" applyFill="1" applyBorder="1" applyAlignment="1">
      <alignment horizontal="center"/>
    </xf>
    <xf numFmtId="8" fontId="5" fillId="13" borderId="2" xfId="0" applyNumberFormat="1" applyFont="1" applyFill="1" applyBorder="1" applyAlignment="1">
      <alignment horizontal="center"/>
    </xf>
    <xf numFmtId="8" fontId="5" fillId="13" borderId="3" xfId="0" applyNumberFormat="1" applyFont="1" applyFill="1" applyBorder="1" applyAlignment="1">
      <alignment horizontal="center"/>
    </xf>
    <xf numFmtId="0" fontId="0" fillId="7" borderId="0" xfId="0" applyFill="1"/>
    <xf numFmtId="44" fontId="0" fillId="7" borderId="0" xfId="0" applyNumberFormat="1" applyFill="1"/>
    <xf numFmtId="0" fontId="0" fillId="14" borderId="0" xfId="0" applyFill="1"/>
    <xf numFmtId="164" fontId="0" fillId="14" borderId="0" xfId="0" applyNumberFormat="1" applyFill="1"/>
    <xf numFmtId="0" fontId="12" fillId="15" borderId="0" xfId="0" applyFont="1" applyFill="1"/>
    <xf numFmtId="44" fontId="12" fillId="15" borderId="0" xfId="1" applyFont="1" applyFill="1"/>
    <xf numFmtId="0" fontId="13" fillId="2" borderId="6" xfId="0" applyFont="1" applyFill="1" applyBorder="1" applyAlignment="1">
      <alignment vertical="center"/>
    </xf>
    <xf numFmtId="0" fontId="13" fillId="2" borderId="7" xfId="0" applyFont="1" applyFill="1" applyBorder="1" applyAlignment="1">
      <alignment vertical="center"/>
    </xf>
    <xf numFmtId="0" fontId="14" fillId="0" borderId="7" xfId="0" applyFont="1" applyBorder="1" applyAlignment="1">
      <alignment wrapText="1"/>
    </xf>
    <xf numFmtId="0" fontId="14" fillId="0" borderId="7" xfId="1" applyNumberFormat="1" applyFont="1" applyBorder="1" applyAlignment="1">
      <alignment wrapText="1"/>
    </xf>
    <xf numFmtId="44" fontId="14" fillId="0" borderId="7" xfId="1" applyFont="1" applyBorder="1" applyAlignment="1">
      <alignment wrapText="1"/>
    </xf>
    <xf numFmtId="0" fontId="14" fillId="0" borderId="7" xfId="0" applyFont="1" applyBorder="1"/>
    <xf numFmtId="0" fontId="14" fillId="0" borderId="8" xfId="0" applyFont="1" applyBorder="1"/>
    <xf numFmtId="22" fontId="15" fillId="3" borderId="9" xfId="0" applyNumberFormat="1" applyFont="1" applyFill="1" applyBorder="1" applyAlignment="1">
      <alignment horizontal="right" vertical="center"/>
    </xf>
    <xf numFmtId="0" fontId="15" fillId="3" borderId="5" xfId="0" applyFont="1" applyFill="1" applyBorder="1" applyAlignment="1">
      <alignment vertical="center"/>
    </xf>
    <xf numFmtId="14" fontId="15" fillId="3" borderId="5" xfId="0" applyNumberFormat="1" applyFont="1" applyFill="1" applyBorder="1" applyAlignment="1">
      <alignment horizontal="right" vertical="center"/>
    </xf>
    <xf numFmtId="0" fontId="15" fillId="3" borderId="5" xfId="0" applyFont="1" applyFill="1" applyBorder="1" applyAlignment="1">
      <alignment horizontal="right" vertical="center"/>
    </xf>
    <xf numFmtId="0" fontId="14" fillId="3" borderId="5" xfId="0" applyFont="1" applyFill="1" applyBorder="1" applyAlignment="1">
      <alignment vertical="center"/>
    </xf>
    <xf numFmtId="0" fontId="14" fillId="4" borderId="5" xfId="0" applyFont="1" applyFill="1" applyBorder="1"/>
    <xf numFmtId="44" fontId="14" fillId="4" borderId="5" xfId="1" applyFont="1" applyFill="1" applyBorder="1" applyAlignment="1"/>
    <xf numFmtId="0" fontId="14" fillId="4" borderId="5" xfId="1" applyNumberFormat="1" applyFont="1" applyFill="1" applyBorder="1" applyAlignment="1"/>
    <xf numFmtId="44" fontId="14" fillId="4" borderId="10" xfId="1" applyFont="1" applyFill="1" applyBorder="1" applyAlignment="1"/>
    <xf numFmtId="0" fontId="16" fillId="3" borderId="5" xfId="2" applyFont="1" applyFill="1" applyBorder="1" applyAlignment="1">
      <alignment vertical="center"/>
    </xf>
    <xf numFmtId="22" fontId="14" fillId="0" borderId="9" xfId="0" applyNumberFormat="1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14" fontId="14" fillId="0" borderId="5" xfId="0" applyNumberFormat="1" applyFont="1" applyBorder="1" applyAlignment="1">
      <alignment vertical="center"/>
    </xf>
    <xf numFmtId="0" fontId="14" fillId="0" borderId="0" xfId="0" applyFont="1" applyAlignment="1">
      <alignment wrapText="1"/>
    </xf>
    <xf numFmtId="0" fontId="14" fillId="0" borderId="0" xfId="0" applyFont="1"/>
    <xf numFmtId="0" fontId="17" fillId="0" borderId="0" xfId="0" applyFont="1"/>
    <xf numFmtId="8" fontId="11" fillId="0" borderId="0" xfId="1" applyNumberFormat="1" applyFont="1" applyFill="1" applyAlignment="1">
      <alignment horizontal="center"/>
    </xf>
    <xf numFmtId="0" fontId="13" fillId="16" borderId="7" xfId="0" applyFont="1" applyFill="1" applyBorder="1" applyAlignment="1">
      <alignment vertical="center"/>
    </xf>
    <xf numFmtId="0" fontId="13" fillId="16" borderId="7" xfId="0" applyFont="1" applyFill="1" applyBorder="1" applyAlignment="1">
      <alignment vertical="center" wrapText="1"/>
    </xf>
    <xf numFmtId="8" fontId="5" fillId="12" borderId="0" xfId="0" applyNumberFormat="1" applyFont="1" applyFill="1" applyAlignment="1">
      <alignment horizontal="center"/>
    </xf>
    <xf numFmtId="8" fontId="11" fillId="0" borderId="0" xfId="0" applyNumberFormat="1" applyFont="1" applyAlignment="1">
      <alignment horizontal="center"/>
    </xf>
    <xf numFmtId="8" fontId="0" fillId="0" borderId="0" xfId="0" applyNumberFormat="1" applyAlignment="1">
      <alignment horizontal="center"/>
    </xf>
    <xf numFmtId="8" fontId="0" fillId="12" borderId="4" xfId="0" applyNumberFormat="1" applyFill="1" applyBorder="1" applyAlignment="1">
      <alignment horizontal="center"/>
    </xf>
    <xf numFmtId="8" fontId="0" fillId="12" borderId="0" xfId="1" applyNumberFormat="1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16" fontId="0" fillId="0" borderId="0" xfId="0" applyNumberFormat="1"/>
    <xf numFmtId="165" fontId="0" fillId="0" borderId="0" xfId="0" applyNumberFormat="1"/>
    <xf numFmtId="8" fontId="0" fillId="12" borderId="0" xfId="0" applyNumberFormat="1" applyFill="1" applyAlignment="1">
      <alignment horizontal="center"/>
    </xf>
    <xf numFmtId="8" fontId="5" fillId="13" borderId="0" xfId="0" applyNumberFormat="1" applyFont="1" applyFill="1" applyAlignment="1">
      <alignment horizontal="center"/>
    </xf>
    <xf numFmtId="0" fontId="13" fillId="2" borderId="7" xfId="0" applyFont="1" applyFill="1" applyBorder="1" applyAlignment="1">
      <alignment vertical="center" wrapText="1"/>
    </xf>
    <xf numFmtId="0" fontId="14" fillId="3" borderId="5" xfId="0" applyFont="1" applyFill="1" applyBorder="1" applyAlignment="1">
      <alignment vertical="center" wrapText="1"/>
    </xf>
    <xf numFmtId="0" fontId="18" fillId="0" borderId="0" xfId="0" applyFont="1"/>
    <xf numFmtId="0" fontId="19" fillId="0" borderId="0" xfId="0" applyFont="1"/>
    <xf numFmtId="44" fontId="0" fillId="0" borderId="0" xfId="1" applyFont="1"/>
    <xf numFmtId="0" fontId="20" fillId="0" borderId="0" xfId="0" applyFont="1"/>
    <xf numFmtId="0" fontId="14" fillId="0" borderId="5" xfId="0" applyFont="1" applyBorder="1" applyAlignment="1">
      <alignment vertical="center" wrapText="1"/>
    </xf>
    <xf numFmtId="0" fontId="14" fillId="4" borderId="5" xfId="0" applyNumberFormat="1" applyFont="1" applyFill="1" applyBorder="1" applyAlignment="1"/>
    <xf numFmtId="44" fontId="14" fillId="4" borderId="5" xfId="1" applyNumberFormat="1" applyFont="1" applyFill="1" applyBorder="1" applyAlignment="1"/>
    <xf numFmtId="44" fontId="14" fillId="4" borderId="10" xfId="1" applyNumberFormat="1" applyFont="1" applyFill="1" applyBorder="1" applyAlignment="1"/>
    <xf numFmtId="0" fontId="0" fillId="8" borderId="0" xfId="0" applyFill="1"/>
    <xf numFmtId="22" fontId="15" fillId="17" borderId="9" xfId="0" applyNumberFormat="1" applyFont="1" applyFill="1" applyBorder="1" applyAlignment="1">
      <alignment horizontal="right" vertical="center"/>
    </xf>
    <xf numFmtId="0" fontId="15" fillId="17" borderId="5" xfId="0" applyFont="1" applyFill="1" applyBorder="1" applyAlignment="1">
      <alignment vertical="center"/>
    </xf>
    <xf numFmtId="14" fontId="15" fillId="17" borderId="5" xfId="0" applyNumberFormat="1" applyFont="1" applyFill="1" applyBorder="1" applyAlignment="1">
      <alignment horizontal="right" vertical="center"/>
    </xf>
    <xf numFmtId="0" fontId="15" fillId="17" borderId="5" xfId="0" applyFont="1" applyFill="1" applyBorder="1" applyAlignment="1">
      <alignment horizontal="right" vertical="center"/>
    </xf>
    <xf numFmtId="0" fontId="16" fillId="17" borderId="5" xfId="2" applyFont="1" applyFill="1" applyBorder="1" applyAlignment="1">
      <alignment vertical="center"/>
    </xf>
    <xf numFmtId="0" fontId="14" fillId="17" borderId="5" xfId="0" applyFont="1" applyFill="1" applyBorder="1" applyAlignment="1">
      <alignment vertical="center"/>
    </xf>
    <xf numFmtId="0" fontId="14" fillId="4" borderId="13" xfId="0" applyNumberFormat="1" applyFont="1" applyFill="1" applyBorder="1" applyAlignment="1"/>
    <xf numFmtId="44" fontId="14" fillId="4" borderId="13" xfId="1" applyFont="1" applyFill="1" applyBorder="1" applyAlignment="1"/>
    <xf numFmtId="44" fontId="14" fillId="4" borderId="13" xfId="1" applyNumberFormat="1" applyFont="1" applyFill="1" applyBorder="1" applyAlignment="1"/>
    <xf numFmtId="0" fontId="14" fillId="4" borderId="13" xfId="1" applyNumberFormat="1" applyFont="1" applyFill="1" applyBorder="1" applyAlignment="1"/>
    <xf numFmtId="44" fontId="14" fillId="4" borderId="11" xfId="1" applyNumberFormat="1" applyFont="1" applyFill="1" applyBorder="1" applyAlignment="1"/>
    <xf numFmtId="8" fontId="21" fillId="12" borderId="0" xfId="0" applyNumberFormat="1" applyFont="1" applyFill="1" applyAlignment="1">
      <alignment horizontal="center"/>
    </xf>
    <xf numFmtId="8" fontId="22" fillId="0" borderId="0" xfId="0" applyNumberFormat="1" applyFont="1" applyAlignment="1">
      <alignment horizontal="center"/>
    </xf>
    <xf numFmtId="8" fontId="21" fillId="13" borderId="3" xfId="0" applyNumberFormat="1" applyFont="1" applyFill="1" applyBorder="1" applyAlignment="1">
      <alignment horizontal="center"/>
    </xf>
    <xf numFmtId="0" fontId="0" fillId="0" borderId="0" xfId="0" applyNumberFormat="1"/>
    <xf numFmtId="8" fontId="21" fillId="12" borderId="0" xfId="1" applyNumberFormat="1" applyFont="1" applyFill="1" applyAlignment="1">
      <alignment horizontal="center"/>
    </xf>
    <xf numFmtId="8" fontId="22" fillId="7" borderId="0" xfId="1" applyNumberFormat="1" applyFont="1" applyFill="1" applyAlignment="1">
      <alignment horizontal="center"/>
    </xf>
    <xf numFmtId="0" fontId="15" fillId="3" borderId="13" xfId="0" applyFont="1" applyFill="1" applyBorder="1" applyAlignment="1">
      <alignment vertical="center"/>
    </xf>
    <xf numFmtId="14" fontId="15" fillId="3" borderId="13" xfId="0" applyNumberFormat="1" applyFont="1" applyFill="1" applyBorder="1" applyAlignment="1">
      <alignment horizontal="right" vertical="center"/>
    </xf>
    <xf numFmtId="0" fontId="15" fillId="3" borderId="13" xfId="0" applyFont="1" applyFill="1" applyBorder="1" applyAlignment="1">
      <alignment horizontal="right" vertical="center"/>
    </xf>
    <xf numFmtId="0" fontId="14" fillId="3" borderId="13" xfId="0" applyFont="1" applyFill="1" applyBorder="1" applyAlignment="1">
      <alignment vertical="center"/>
    </xf>
    <xf numFmtId="22" fontId="15" fillId="3" borderId="12" xfId="0" applyNumberFormat="1" applyFont="1" applyFill="1" applyBorder="1" applyAlignment="1">
      <alignment horizontal="right" vertical="center"/>
    </xf>
    <xf numFmtId="0" fontId="16" fillId="3" borderId="13" xfId="2" applyFont="1" applyFill="1" applyBorder="1" applyAlignment="1">
      <alignment vertical="center"/>
    </xf>
    <xf numFmtId="0" fontId="23" fillId="0" borderId="0" xfId="0" applyFont="1"/>
    <xf numFmtId="22" fontId="15" fillId="17" borderId="12" xfId="0" applyNumberFormat="1" applyFont="1" applyFill="1" applyBorder="1" applyAlignment="1">
      <alignment horizontal="right" vertical="center"/>
    </xf>
    <xf numFmtId="0" fontId="15" fillId="17" borderId="13" xfId="0" applyFont="1" applyFill="1" applyBorder="1" applyAlignment="1">
      <alignment vertical="center"/>
    </xf>
    <xf numFmtId="14" fontId="15" fillId="17" borderId="13" xfId="0" applyNumberFormat="1" applyFont="1" applyFill="1" applyBorder="1" applyAlignment="1">
      <alignment horizontal="right" vertical="center"/>
    </xf>
    <xf numFmtId="0" fontId="15" fillId="17" borderId="13" xfId="0" applyFont="1" applyFill="1" applyBorder="1" applyAlignment="1">
      <alignment horizontal="right" vertical="center"/>
    </xf>
    <xf numFmtId="0" fontId="16" fillId="17" borderId="13" xfId="2" applyFont="1" applyFill="1" applyBorder="1" applyAlignment="1">
      <alignment vertical="center"/>
    </xf>
    <xf numFmtId="0" fontId="14" fillId="17" borderId="13" xfId="0" applyFont="1" applyFill="1" applyBorder="1" applyAlignment="1">
      <alignment vertical="center"/>
    </xf>
    <xf numFmtId="3" fontId="15" fillId="17" borderId="5" xfId="0" applyNumberFormat="1" applyFont="1" applyFill="1" applyBorder="1" applyAlignment="1">
      <alignment horizontal="right" vertical="center"/>
    </xf>
    <xf numFmtId="3" fontId="15" fillId="3" borderId="5" xfId="0" applyNumberFormat="1" applyFont="1" applyFill="1" applyBorder="1" applyAlignment="1">
      <alignment horizontal="right" vertical="center"/>
    </xf>
    <xf numFmtId="0" fontId="24" fillId="0" borderId="0" xfId="0" applyFont="1"/>
  </cellXfs>
  <cellStyles count="3">
    <cellStyle name="Hiperlink" xfId="2" builtinId="8"/>
    <cellStyle name="Moeda" xfId="1" builtinId="4"/>
    <cellStyle name="Normal" xfId="0" builtinId="0"/>
  </cellStyles>
  <dxfs count="99"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  <fill>
        <patternFill patternType="solid">
          <fgColor indexed="64"/>
          <bgColor rgb="FFFFCDC1"/>
        </patternFill>
      </fill>
    </dxf>
    <dxf>
      <numFmt numFmtId="164" formatCode="_-[$R$-416]\ * #,##0.00_-;\-[$R$-416]\ * #,##0.00_-;_-[$R$-416]\ * &quot;-&quot;??_-;_-@_-"/>
      <fill>
        <patternFill patternType="solid">
          <fgColor indexed="64"/>
          <bgColor rgb="FFFFCDC1"/>
        </patternFill>
      </fill>
    </dxf>
    <dxf>
      <numFmt numFmtId="164" formatCode="_-[$R$-416]\ * #,##0.00_-;\-[$R$-416]\ * #,##0.00_-;_-[$R$-416]\ * &quot;-&quot;??_-;_-@_-"/>
      <fill>
        <patternFill patternType="solid">
          <fgColor indexed="64"/>
          <bgColor rgb="FFFFCDC1"/>
        </patternFill>
      </fill>
    </dxf>
    <dxf>
      <numFmt numFmtId="164" formatCode="_-[$R$-416]\ * #,##0.00_-;\-[$R$-416]\ * #,##0.00_-;_-[$R$-416]\ * &quot;-&quot;??_-;_-@_-"/>
      <fill>
        <patternFill patternType="solid">
          <fgColor indexed="64"/>
          <bgColor rgb="FFFFCDC1"/>
        </patternFill>
      </fill>
    </dxf>
    <dxf>
      <numFmt numFmtId="164" formatCode="_-[$R$-416]\ * #,##0.00_-;\-[$R$-416]\ * #,##0.00_-;_-[$R$-416]\ * &quot;-&quot;??_-;_-@_-"/>
      <fill>
        <patternFill patternType="solid">
          <fgColor indexed="64"/>
          <bgColor rgb="FFFFCDC1"/>
        </patternFill>
      </fill>
    </dxf>
    <dxf>
      <numFmt numFmtId="164" formatCode="_-[$R$-416]\ * #,##0.00_-;\-[$R$-416]\ * #,##0.00_-;_-[$R$-416]\ * &quot;-&quot;??_-;_-@_-"/>
      <fill>
        <patternFill patternType="solid">
          <fgColor indexed="64"/>
          <bgColor rgb="FFFFCDC1"/>
        </patternFill>
      </fill>
    </dxf>
    <dxf>
      <numFmt numFmtId="164" formatCode="_-[$R$-416]\ * #,##0.00_-;\-[$R$-416]\ * #,##0.00_-;_-[$R$-416]\ * &quot;-&quot;??_-;_-@_-"/>
      <fill>
        <patternFill patternType="solid">
          <fgColor indexed="64"/>
          <bgColor rgb="FFFFCDC1"/>
        </patternFill>
      </fill>
    </dxf>
    <dxf>
      <numFmt numFmtId="164" formatCode="_-[$R$-416]\ * #,##0.00_-;\-[$R$-416]\ * #,##0.00_-;_-[$R$-416]\ * &quot;-&quot;??_-;_-@_-"/>
      <fill>
        <patternFill patternType="solid">
          <fgColor indexed="64"/>
          <bgColor rgb="FFFFCDC1"/>
        </patternFill>
      </fill>
    </dxf>
    <dxf>
      <numFmt numFmtId="164" formatCode="_-[$R$-416]\ * #,##0.00_-;\-[$R$-416]\ * #,##0.00_-;_-[$R$-416]\ * &quot;-&quot;??_-;_-@_-"/>
      <fill>
        <patternFill patternType="solid">
          <fgColor indexed="64"/>
          <bgColor rgb="FFFFCDC1"/>
        </patternFill>
      </fill>
    </dxf>
    <dxf>
      <numFmt numFmtId="164" formatCode="_-[$R$-416]\ * #,##0.00_-;\-[$R$-416]\ * #,##0.00_-;_-[$R$-416]\ * &quot;-&quot;??_-;_-@_-"/>
      <fill>
        <patternFill patternType="solid">
          <fgColor indexed="64"/>
          <bgColor rgb="FFFFCDC1"/>
        </patternFill>
      </fill>
    </dxf>
    <dxf>
      <numFmt numFmtId="164" formatCode="_-[$R$-416]\ * #,##0.00_-;\-[$R$-416]\ * #,##0.00_-;_-[$R$-416]\ * &quot;-&quot;??_-;_-@_-"/>
      <fill>
        <patternFill patternType="solid">
          <fgColor indexed="64"/>
          <bgColor rgb="FFFFCDC1"/>
        </patternFill>
      </fill>
    </dxf>
    <dxf>
      <numFmt numFmtId="164" formatCode="_-[$R$-416]\ * #,##0.00_-;\-[$R$-416]\ * #,##0.00_-;_-[$R$-416]\ * &quot;-&quot;??_-;_-@_-"/>
      <fill>
        <patternFill patternType="solid">
          <fgColor indexed="64"/>
          <bgColor rgb="FFFFCDC1"/>
        </patternFill>
      </fill>
    </dxf>
    <dxf>
      <numFmt numFmtId="164" formatCode="_-[$R$-416]\ * #,##0.00_-;\-[$R$-416]\ * #,##0.00_-;_-[$R$-416]\ * &quot;-&quot;??_-;_-@_-"/>
    </dxf>
    <dxf>
      <fill>
        <patternFill patternType="solid">
          <fgColor indexed="64"/>
          <bgColor rgb="FFFFCDC1"/>
        </patternFill>
      </fill>
    </dxf>
    <dxf>
      <fill>
        <patternFill patternType="solid">
          <fgColor indexed="64"/>
          <bgColor rgb="FFFFCDC1"/>
        </patternFill>
      </fill>
    </dxf>
    <dxf>
      <font>
        <b/>
        <i val="0"/>
        <color rgb="FFFF0000"/>
      </font>
    </dxf>
    <dxf>
      <fill>
        <patternFill patternType="solid">
          <bgColor theme="9" tint="0.79998168889431442"/>
        </patternFill>
      </fill>
    </dxf>
    <dxf>
      <font>
        <color theme="0"/>
      </font>
    </dxf>
    <dxf>
      <fill>
        <patternFill patternType="solid">
          <bgColor theme="6"/>
        </patternFill>
      </fill>
    </dxf>
    <dxf>
      <font>
        <color theme="0"/>
      </font>
    </dxf>
    <dxf>
      <fill>
        <patternFill patternType="solid">
          <bgColor theme="6"/>
        </patternFill>
      </fill>
    </dxf>
    <dxf>
      <font>
        <strike val="0"/>
        <outline val="0"/>
        <shadow val="0"/>
        <vertAlign val="baseline"/>
        <sz val="10"/>
        <name val="Calibri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9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Calibri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Calibri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Calibri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9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Calibri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9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Calibri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9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Calibri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9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Calibri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9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Calibri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name val="Calibri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Calibri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Calibri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Calibri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Calibri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Calibri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Calibri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Calibri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Calibri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Calibri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Calibri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Calibri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Calibri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Calibri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Calibri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Calibri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Calibri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Calibri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Calibri"/>
        <scheme val="none"/>
      </font>
      <alignment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Calibri"/>
        <scheme val="none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5B3F86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theme="0"/>
      </font>
      <fill>
        <patternFill>
          <bgColor rgb="FFC0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bgColor auto="1"/>
        </patternFill>
      </fill>
    </dxf>
    <dxf>
      <numFmt numFmtId="165" formatCode="0_ ;[Red]\-0\ "/>
    </dxf>
    <dxf>
      <fill>
        <patternFill patternType="solid"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2" formatCode="&quot;R$&quot;\ #,##0.00;[Red]\-&quot;R$&quot;\ #,##0.00"/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/>
      </font>
      <numFmt numFmtId="12" formatCode="&quot;R$&quot;\ #,##0.00;[Red]\-&quot;R$&quot;\ #,##0.00"/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12" formatCode="&quot;R$&quot;\ #,##0.00;[Red]\-&quot;R$&quot;\ 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numFmt numFmtId="12" formatCode="&quot;R$&quot;\ #,##0.00;[Red]\-&quot;R$&quot;\ 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outline="0">
        <right style="medium">
          <color indexed="64"/>
        </right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2" tint="-0.749992370372631"/>
        <name val="Aptos Narrow"/>
        <scheme val="minor"/>
      </font>
      <numFmt numFmtId="12" formatCode="&quot;R$&quot;\ #,##0.00;[Red]\-&quot;R$&quot;\ #,##0.00"/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2" tint="-0.749992370372631"/>
        <name val="Aptos Narrow"/>
        <scheme val="minor"/>
      </font>
      <numFmt numFmtId="12" formatCode="&quot;R$&quot;\ #,##0.00;[Red]\-&quot;R$&quot;\ #,##0.00"/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2" formatCode="&quot;R$&quot;\ #,##0.00;[Red]\-&quot;R$&quot;\ 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2" formatCode="&quot;R$&quot;\ #,##0.00;[Red]\-&quot;R$&quot;\ 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numFmt numFmtId="12" formatCode="&quot;R$&quot;\ #,##0.00;[Red]\-&quot;R$&quot;\ #,##0.00"/>
      <alignment horizontal="center" vertical="bottom" textRotation="0" wrapText="0" indent="0" justifyLastLine="0" shrinkToFit="0" readingOrder="0"/>
    </dxf>
    <dxf>
      <numFmt numFmtId="12" formatCode="&quot;R$&quot;\ #,##0.00;[Red]\-&quot;R$&quot;\ #,##0.00"/>
      <alignment horizontal="center" vertical="bottom" textRotation="0" wrapText="0" indent="0" justifyLastLine="0" shrinkToFit="0" readingOrder="0"/>
    </dxf>
    <dxf>
      <numFmt numFmtId="12" formatCode="&quot;R$&quot;\ #,##0.00;[Red]\-&quot;R$&quot;\ #,##0.00"/>
      <alignment horizontal="center" vertical="bottom" textRotation="0" wrapText="0" indent="0" justifyLastLine="0" shrinkToFit="0" readingOrder="0"/>
    </dxf>
    <dxf>
      <numFmt numFmtId="12" formatCode="&quot;R$&quot;\ #,##0.00;[Red]\-&quot;R$&quot;\ #,##0.00"/>
      <alignment horizontal="center" vertical="bottom" textRotation="0" wrapText="0" indent="0" justifyLastLine="0" shrinkToFit="0" readingOrder="0"/>
    </dxf>
    <dxf>
      <numFmt numFmtId="12" formatCode="&quot;R$&quot;\ #,##0.00;[Red]\-&quot;R$&quot;\ #,##0.00"/>
      <alignment horizontal="center" vertical="bottom" textRotation="0" wrapText="0" indent="0" justifyLastLine="0" shrinkToFit="0" readingOrder="0"/>
    </dxf>
    <dxf>
      <numFmt numFmtId="12" formatCode="&quot;R$&quot;\ #,##0.00;[Red]\-&quot;R$&quot;\ #,##0.00"/>
      <alignment horizontal="center" vertical="bottom" textRotation="0" wrapText="0" indent="0" justifyLastLine="0" shrinkToFit="0" readingOrder="0"/>
    </dxf>
    <dxf>
      <numFmt numFmtId="12" formatCode="&quot;R$&quot;\ #,##0.00;[Red]\-&quot;R$&quot;\ #,##0.00"/>
      <alignment horizontal="center" vertical="bottom" textRotation="0" wrapText="0" indent="0" justifyLastLine="0" shrinkToFit="0" readingOrder="0"/>
    </dxf>
    <dxf>
      <numFmt numFmtId="12" formatCode="&quot;R$&quot;\ #,##0.00;[Red]\-&quot;R$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Aptos Narrow"/>
        <scheme val="minor"/>
      </font>
    </dxf>
    <dxf>
      <numFmt numFmtId="0" formatCode="General"/>
    </dxf>
    <dxf>
      <font>
        <color theme="0"/>
      </font>
    </dxf>
  </dxfs>
  <tableStyles count="0" defaultTableStyle="TableStyleMedium2" defaultPivotStyle="PivotStyleLight16"/>
  <colors>
    <mruColors>
      <color rgb="FFFFCDC1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microsoft.com/office/2007/relationships/slicerCache" Target="slicerCaches/slicerCache6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5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microsoft.com/office/2007/relationships/slicerCache" Target="slicerCaches/slicerCache3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microsoft.com/office/2007/relationships/slicerCache" Target="slicerCaches/slicerCache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523875</xdr:colOff>
      <xdr:row>3</xdr:row>
      <xdr:rowOff>152400</xdr:rowOff>
    </xdr:from>
    <xdr:to>
      <xdr:col>14</xdr:col>
      <xdr:colOff>523875</xdr:colOff>
      <xdr:row>26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elecione o Usuário">
              <a:extLst>
                <a:ext uri="{FF2B5EF4-FFF2-40B4-BE49-F238E27FC236}">
                  <a16:creationId xmlns="" xmlns:a16="http://schemas.microsoft.com/office/drawing/2014/main" id="{4A24FA69-F0C1-BB46-2B44-49D9B48347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lecione o Usuári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06275" y="723900"/>
              <a:ext cx="1828800" cy="4286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57150</xdr:colOff>
      <xdr:row>3</xdr:row>
      <xdr:rowOff>142875</xdr:rowOff>
    </xdr:from>
    <xdr:to>
      <xdr:col>21</xdr:col>
      <xdr:colOff>57150</xdr:colOff>
      <xdr:row>17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Quinzena">
              <a:extLst>
                <a:ext uri="{FF2B5EF4-FFF2-40B4-BE49-F238E27FC236}">
                  <a16:creationId xmlns="" xmlns:a16="http://schemas.microsoft.com/office/drawing/2014/main" id="{4A448A1C-659A-61DE-699F-5C1268C601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Quinzen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906750" y="71437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552450</xdr:colOff>
      <xdr:row>3</xdr:row>
      <xdr:rowOff>161925</xdr:rowOff>
    </xdr:from>
    <xdr:to>
      <xdr:col>17</xdr:col>
      <xdr:colOff>552450</xdr:colOff>
      <xdr:row>17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ês 1">
              <a:extLst>
                <a:ext uri="{FF2B5EF4-FFF2-40B4-BE49-F238E27FC236}">
                  <a16:creationId xmlns="" xmlns:a16="http://schemas.microsoft.com/office/drawing/2014/main" id="{60801985-B218-1077-8008-073AFCFEFD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63650" y="73342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32</xdr:col>
      <xdr:colOff>324831</xdr:colOff>
      <xdr:row>0</xdr:row>
      <xdr:rowOff>59391</xdr:rowOff>
    </xdr:from>
    <xdr:to>
      <xdr:col>35</xdr:col>
      <xdr:colOff>338278</xdr:colOff>
      <xdr:row>8</xdr:row>
      <xdr:rowOff>3901</xdr:rowOff>
    </xdr:to>
    <mc:AlternateContent xmlns:mc="http://schemas.openxmlformats.org/markup-compatibility/2006">
      <mc:Choice xmlns="" xmlns:sle15="http://schemas.microsoft.com/office/drawing/2012/slicer" Requires="sle15">
        <xdr:graphicFrame macro="">
          <xdr:nvGraphicFramePr>
            <xdr:cNvPr id="2" name="Selecione o Usuário 1">
              <a:extLst>
                <a:ext uri="{FF2B5EF4-FFF2-40B4-BE49-F238E27FC236}">
                  <a16:creationId xmlns:a16="http://schemas.microsoft.com/office/drawing/2014/main" id="{32B21750-F2BC-50C2-B106-B121CE84C6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lecione o Usuário 1"/>
            </a:graphicData>
          </a:graphic>
        </xdr:graphicFrame>
      </mc:Choice>
      <mc:Fallback>
        <xdr:sp macro="" textlink="">
          <xdr:nvSpPr>
            <xdr:cNvPr id="2" name="Retângulo 1"/>
            <xdr:cNvSpPr>
              <a:spLocks noTextEdit="1"/>
            </xdr:cNvSpPr>
          </xdr:nvSpPr>
          <xdr:spPr>
            <a:xfrm>
              <a:off x="37094833" y="59391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32</xdr:col>
      <xdr:colOff>344442</xdr:colOff>
      <xdr:row>24</xdr:row>
      <xdr:rowOff>124426</xdr:rowOff>
    </xdr:from>
    <xdr:to>
      <xdr:col>35</xdr:col>
      <xdr:colOff>357889</xdr:colOff>
      <xdr:row>37</xdr:row>
      <xdr:rowOff>110573</xdr:rowOff>
    </xdr:to>
    <mc:AlternateContent xmlns:mc="http://schemas.openxmlformats.org/markup-compatibility/2006">
      <mc:Choice xmlns="" xmlns:sle15="http://schemas.microsoft.com/office/drawing/2012/slicer" Requires="sle15">
        <xdr:graphicFrame macro="">
          <xdr:nvGraphicFramePr>
            <xdr:cNvPr id="3" name="Quinzena 1">
              <a:extLst>
                <a:ext uri="{FF2B5EF4-FFF2-40B4-BE49-F238E27FC236}">
                  <a16:creationId xmlns:a16="http://schemas.microsoft.com/office/drawing/2014/main" id="{19A8AF15-CF2F-24B1-89B6-ECFA1BBD3E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Quinzena 1"/>
            </a:graphicData>
          </a:graphic>
        </xdr:graphicFrame>
      </mc:Choice>
      <mc:Fallback>
        <xdr:sp macro="" textlink="">
          <xdr:nvSpPr>
            <xdr:cNvPr id="3" name="Retângulo 2"/>
            <xdr:cNvSpPr>
              <a:spLocks noTextEdit="1"/>
            </xdr:cNvSpPr>
          </xdr:nvSpPr>
          <xdr:spPr>
            <a:xfrm>
              <a:off x="37051411" y="6703078"/>
              <a:ext cx="1835103" cy="28336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32</xdr:col>
      <xdr:colOff>336037</xdr:colOff>
      <xdr:row>7</xdr:row>
      <xdr:rowOff>171722</xdr:rowOff>
    </xdr:from>
    <xdr:to>
      <xdr:col>35</xdr:col>
      <xdr:colOff>349484</xdr:colOff>
      <xdr:row>24</xdr:row>
      <xdr:rowOff>68437</xdr:rowOff>
    </xdr:to>
    <mc:AlternateContent xmlns:mc="http://schemas.openxmlformats.org/markup-compatibility/2006">
      <mc:Choice xmlns="" xmlns:sle15="http://schemas.microsoft.com/office/drawing/2012/slicer" Requires="sle15">
        <xdr:graphicFrame macro="">
          <xdr:nvGraphicFramePr>
            <xdr:cNvPr id="4" name="Mês 2">
              <a:extLst>
                <a:ext uri="{FF2B5EF4-FFF2-40B4-BE49-F238E27FC236}">
                  <a16:creationId xmlns:a16="http://schemas.microsoft.com/office/drawing/2014/main" id="{27E62604-D1D3-69D8-2704-C9C4380702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2"/>
            </a:graphicData>
          </a:graphic>
        </xdr:graphicFrame>
      </mc:Choice>
      <mc:Fallback>
        <xdr:sp macro="" textlink="">
          <xdr:nvSpPr>
            <xdr:cNvPr id="4" name="Retângulo 3"/>
            <xdr:cNvSpPr>
              <a:spLocks noTextEdit="1"/>
            </xdr:cNvSpPr>
          </xdr:nvSpPr>
          <xdr:spPr>
            <a:xfrm>
              <a:off x="37106039" y="2827244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9525</xdr:colOff>
      <xdr:row>3</xdr:row>
      <xdr:rowOff>9525</xdr:rowOff>
    </xdr:from>
    <xdr:to>
      <xdr:col>15</xdr:col>
      <xdr:colOff>9525</xdr:colOff>
      <xdr:row>94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ês">
              <a:extLst>
                <a:ext uri="{FF2B5EF4-FFF2-40B4-BE49-F238E27FC236}">
                  <a16:creationId xmlns="" xmlns:a16="http://schemas.microsoft.com/office/drawing/2014/main" id="{07C5D1F5-BB47-8AAD-01CF-F755B99D7E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25300" y="58102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derson Michalski" id="{6DB63894-4CC0-4299-A446-326849128624}" userId="dd446e36a3ae9280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mbev" refreshedDate="46281.041875694442" createdVersion="8" refreshedVersion="4" minRefreshableVersion="3" recordCount="619">
  <cacheSource type="worksheet">
    <worksheetSource name="Tabela1"/>
  </cacheSource>
  <cacheFields count="31">
    <cacheField name="Carimbo de data/hora" numFmtId="22">
      <sharedItems containsSemiMixedTypes="0" containsNonDate="0" containsDate="1" containsString="0" minDate="2026-01-05T23:02:17" maxDate="2026-09-15T21:45:45"/>
    </cacheField>
    <cacheField name="Endereço de e-mail" numFmtId="0">
      <sharedItems/>
    </cacheField>
    <cacheField name="Selecione o Usuário" numFmtId="0">
      <sharedItems containsBlank="1" count="44">
        <s v="SUELEN DOS SANTOS AZEVEDO"/>
        <s v="VINICIUS ROBERTO KERBER"/>
        <s v="SABRINA DOS SANTOS PIRES"/>
        <s v="CAMILA CRISTINE ALTHOFF"/>
        <s v="RICARDO ALEXANDRE LOMBARDI"/>
        <s v="ANDERSON MICHALSKI FERREIRA"/>
        <s v="GUSTAVO MATHEUS DE OLIVEIRA"/>
        <s v="Desyree Yasmin Gaulke Klebber"/>
        <s v="MATHEUS DA SILVA MORAES"/>
        <s v="JOÃO MARTINS NETO"/>
        <s v="Aline Isac Moreira"/>
        <s v="CARLOS PROENÇA"/>
        <s v="BRENON LUCAS ALVES DE SOUZA"/>
        <s v="Geovana Duarte Farias"/>
        <s v="THAYS APARECIDA CARVALHO"/>
        <m u="1"/>
        <s v="GIOVANE PINTO DE ANDRADE" u="1"/>
        <s v="TATIANA RIGHI DA FONSECA" u="1"/>
        <s v="FABRICIO DAMM ROSA" u="1"/>
        <s v="SAIDDA KAULE ABDALA" u="1"/>
        <s v="JOAO VITOR DALPIAZ" u="1"/>
        <s v="AMANDA DAMES FERNANDES" u="1"/>
        <s v="THAYS A M CARVALHO" u="1"/>
        <s v="LUCAS FELIPE FARIAS DE LIMA" u="1"/>
        <s v="ELAINE CRISTINA CALBAL" u="1"/>
        <s v="ROBERTA ARLECY SANTOS DO AMARAL" u="1"/>
        <s v="ANDERSON DE OLIVEIRA SIMAS" u="1"/>
        <s v="Rui Mariano" u="1"/>
        <s v="NADSON SANTOS XAVIER" u="1"/>
        <s v="BRUNO REGGIORI ESCOBAR" u="1"/>
        <s v="RUI CARLOS MARIANO" u="1"/>
        <s v="FELIPE ALTHAUS" u="1"/>
        <s v="CAROLINA SANTOS SCHWAMBACH" u="1"/>
        <s v="THAIS APARECIDA CARVALHO" u="1"/>
        <s v="NIVIA DE MELO PIORNEDO" u="1"/>
        <s v="CARLOS EDUARDO FONTOURA PROENCA" u="1"/>
        <s v="JULIANA PEREIRA" u="1"/>
        <s v="Thays carvalho" u="1"/>
        <s v="Paula Tariane Farias Kugert" u="1"/>
        <s v="KARINE FRANÇA" u="1"/>
        <s v="Vinicius Kerber" u="1"/>
        <s v="LUCAS AZEREDO DA SILVA" u="1"/>
        <s v="LEANDRO ROBERTO SILVEIRA" u="1"/>
        <s v="JOYCE POIANI" u="1"/>
      </sharedItems>
    </cacheField>
    <cacheField name="Informe a placa do veículo" numFmtId="0">
      <sharedItems/>
    </cacheField>
    <cacheField name="Informe a data" numFmtId="14">
      <sharedItems containsSemiMixedTypes="0" containsNonDate="0" containsDate="1" containsString="0" minDate="2024-02-13T00:00:00" maxDate="2026-12-21T00:00:00" count="471">
        <d v="2026-01-02T00:00:00"/>
        <d v="2026-01-05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7T00:00:00"/>
        <d v="2026-01-20T00:00:00"/>
        <d v="2026-01-21T00:00:00"/>
        <d v="2026-01-22T00:00:00"/>
        <d v="2026-01-23T00:00:00"/>
        <d v="2026-01-26T00:00:00"/>
        <d v="2026-01-27T00:00:00"/>
        <d v="2026-01-28T00:00:00"/>
        <d v="2026-01-29T00:00:00"/>
        <d v="2026-01-30T00:00:00"/>
        <d v="2026-01-31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2T00:00:00"/>
        <d v="2026-02-13T00:00:00"/>
        <d v="2026-02-14T00:00:00"/>
        <d v="2026-02-18T00:00:00"/>
        <d v="2026-02-19T00:00:00"/>
        <d v="2026-02-20T00:00:00"/>
        <d v="2026-02-23T00:00:00"/>
        <d v="2026-02-24T00:00:00"/>
        <d v="2026-02-25T00:00:00"/>
        <d v="2026-02-26T00:00:00"/>
        <d v="2026-02-27T00:00:00"/>
        <d v="2026-02-28T00:00:00"/>
        <d v="2026-03-02T00:00:00"/>
        <d v="2026-03-03T00:00:00"/>
        <d v="2026-03-04T00:00:00"/>
        <d v="2026-03-05T00:00:00"/>
        <d v="2026-03-06T00:00:00"/>
        <d v="2026-03-07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8T00:00:00"/>
        <d v="2026-03-19T00:00:00"/>
        <d v="2026-03-20T00:00:00"/>
        <d v="2026-03-21T00:00:00"/>
        <d v="2026-03-23T00:00:00"/>
        <d v="2026-03-24T00:00:00"/>
        <d v="2026-03-25T00:00:00"/>
        <d v="2026-03-26T00:00:00"/>
        <d v="2026-03-27T00:00:00"/>
        <d v="2026-03-28T00:00:00"/>
        <d v="2026-03-30T00:00:00"/>
        <d v="2026-03-31T00:00:00"/>
        <d v="2026-04-01T00:00:00"/>
        <d v="2026-04-02T00:00:00"/>
        <d v="2026-04-04T00:00:00"/>
        <d v="2026-04-06T00:00:00"/>
        <d v="2026-04-07T00:00:00"/>
        <d v="2026-04-08T00:00:00"/>
        <d v="2026-04-09T00:00:00"/>
        <d v="2026-04-10T00:00:00"/>
        <d v="2026-04-13T00:00:00"/>
        <d v="2026-04-14T00:00:00"/>
        <d v="2026-04-15T00:00:00"/>
        <d v="2026-04-16T00:00:00"/>
        <d v="2026-04-17T00:00:00"/>
        <d v="2026-04-18T00:00:00"/>
        <d v="2026-04-20T00:00:00"/>
        <d v="2026-04-21T00:00:00"/>
        <d v="2026-04-22T00:00:00"/>
        <d v="2026-04-23T00:00:00"/>
        <d v="2026-04-24T00:00:00"/>
        <d v="2026-04-25T00:00:00"/>
        <d v="2026-04-27T00:00:00"/>
        <d v="2026-04-28T00:00:00"/>
        <d v="2026-04-29T00:00:00"/>
        <d v="2026-04-30T00:00:00"/>
        <d v="2026-05-02T00:00:00"/>
        <d v="2026-05-04T00:00:00"/>
        <d v="2026-05-05T00:00:00"/>
        <d v="2026-05-06T00:00:00"/>
        <d v="2026-05-07T00:00:00"/>
        <d v="2026-05-08T00:00:00"/>
        <d v="2026-05-09T00:00:00"/>
        <d v="2026-05-11T00:00:00"/>
        <d v="2026-05-12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3T00:00:00"/>
        <d v="2026-05-26T00:00:00"/>
        <d v="2026-05-27T00:00:00"/>
        <d v="2026-05-28T00:00:00"/>
        <d v="2026-05-29T00:00:00"/>
        <d v="2026-05-30T00:00:00"/>
        <d v="2026-06-01T00:00:00"/>
        <d v="2026-06-02T00:00:00"/>
        <d v="2026-06-03T00:00:00"/>
        <d v="2026-06-04T00:00:00"/>
        <d v="2026-06-05T00:00:00"/>
        <d v="2026-06-08T00:00:00"/>
        <d v="2026-06-09T00:00:00"/>
        <d v="2026-06-10T00:00:00"/>
        <d v="2026-06-11T00:00:00"/>
        <d v="2026-06-12T00:00:00"/>
        <d v="2026-06-15T00:00:00"/>
        <d v="2026-06-16T00:00:00"/>
        <d v="2026-06-17T00:00:00"/>
        <d v="2026-06-18T00:00:00"/>
        <d v="2026-06-19T00:00:00"/>
        <d v="2026-06-22T00:00:00"/>
        <d v="2026-06-23T00:00:00"/>
        <d v="2026-06-24T00:00:00"/>
        <d v="2026-06-25T00:00:00"/>
        <d v="2026-06-26T00:00:00"/>
        <d v="2026-06-27T00:00:00"/>
        <d v="2026-06-30T00:00:00"/>
        <d v="2026-07-01T00:00:00"/>
        <d v="2026-07-02T00:00:00"/>
        <d v="2026-07-03T00:00:00"/>
        <d v="2026-07-04T00:00:00"/>
        <d v="2026-07-06T00:00:00"/>
        <d v="2026-07-08T00:00:00"/>
        <d v="2026-07-09T00:00:00"/>
        <d v="2026-07-10T00:00:00"/>
        <d v="2026-07-13T00:00:00"/>
        <d v="2026-07-14T00:00:00"/>
        <d v="2026-07-15T00:00:00"/>
        <d v="2026-07-16T00:00:00"/>
        <d v="2026-07-17T00:00:00"/>
        <d v="2026-07-18T00:00:00"/>
        <d v="2026-07-20T00:00:00"/>
        <d v="2026-07-21T00:00:00"/>
        <d v="2026-07-22T00:00:00"/>
        <d v="2026-07-23T00:00:00"/>
        <d v="2026-07-24T00:00:00"/>
        <d v="2026-07-25T00:00:00"/>
        <d v="2026-07-28T00:00:00"/>
        <d v="2026-07-29T00:00:00"/>
        <d v="2026-07-30T00:00:00"/>
        <d v="2026-07-31T00:00:00"/>
        <d v="2026-08-03T00:00:00"/>
        <d v="2026-08-04T00:00:00"/>
        <d v="2026-08-05T00:00:00"/>
        <d v="2026-08-06T00:00:00"/>
        <d v="2026-08-07T00:00:00"/>
        <d v="2026-08-08T00:00:00"/>
        <d v="2026-08-11T00:00:00"/>
        <d v="2026-08-12T00:00:00"/>
        <d v="2026-08-13T00:00:00"/>
        <d v="2026-08-14T00:00:00"/>
        <d v="2026-08-17T00:00:00"/>
        <d v="2026-08-18T00:00:00"/>
        <d v="2026-08-19T00:00:00"/>
        <d v="2026-08-20T00:00:00"/>
        <d v="2026-08-21T00:00:00"/>
        <d v="2026-08-22T00:00:00"/>
        <d v="2026-08-25T00:00:00"/>
        <d v="2026-08-27T00:00:00"/>
        <d v="2026-08-28T00:00:00"/>
        <d v="2026-09-01T00:00:00"/>
        <d v="2026-09-02T00:00:00"/>
        <d v="2026-09-03T00:00:00"/>
        <d v="2026-09-04T00:00:00"/>
        <d v="2026-09-08T00:00:00"/>
        <d v="2026-09-09T00:00:00"/>
        <d v="2026-09-10T00:00:00"/>
        <d v="2026-09-11T00:00:00"/>
        <d v="2026-09-12T00:00:00"/>
        <d v="2026-09-14T00:00:00"/>
        <d v="2026-09-15T00:00:00"/>
        <d v="2025-06-12T00:00:00" u="1"/>
        <d v="2025-11-25T00:00:00" u="1"/>
        <d v="2025-02-04T00:00:00" u="1"/>
        <d v="2025-05-26T00:00:00" u="1"/>
        <d v="2025-07-17T00:00:00" u="1"/>
        <d v="2025-09-08T00:00:00" u="1"/>
        <d v="2025-12-30T00:00:00" u="1"/>
        <d v="2025-08-22T00:00:00" u="1"/>
        <d v="2025-10-13T00:00:00" u="1"/>
        <d v="2025-12-04T00:00:00" u="1"/>
        <d v="2025-04-14T00:00:00" u="1"/>
        <d v="2025-06-05T00:00:00" u="1"/>
        <d v="2025-09-27T00:00:00" u="1"/>
        <d v="2025-11-18T00:00:00" u="1"/>
        <d v="2025-03-28T00:00:00" u="1"/>
        <d v="2025-05-19T00:00:00" u="1"/>
        <d v="2025-07-10T00:00:00" u="1"/>
        <d v="2025-09-01T00:00:00" u="1"/>
        <d v="2025-12-23T00:00:00" u="1"/>
        <d v="2025-06-24T00:00:00" u="1"/>
        <d v="2025-08-15T00:00:00" u="1"/>
        <d v="2025-10-06T00:00:00" u="1"/>
        <d v="2025-04-07T00:00:00" u="1"/>
        <d v="2025-07-29T00:00:00" u="1"/>
        <d v="2025-11-11T00:00:00" u="1"/>
        <d v="2025-03-21T00:00:00" u="1"/>
        <d v="2025-05-12T00:00:00" u="1"/>
        <d v="2025-07-03T00:00:00" u="1"/>
        <d v="2025-10-25T00:00:00" u="1"/>
        <d v="2025-12-16T00:00:00" u="1"/>
        <d v="2026-02-16T00:00:00" u="1"/>
        <d v="2025-04-26T00:00:00" u="1"/>
        <d v="2025-06-17T00:00:00" u="1"/>
        <d v="2025-08-08T00:00:00" u="1"/>
        <d v="2025-05-31T00:00:00" u="1"/>
        <d v="2025-07-22T00:00:00" u="1"/>
        <d v="2025-11-04T00:00:00" u="1"/>
        <d v="2025-03-14T00:00:00" u="1"/>
        <d v="2025-05-05T00:00:00" u="1"/>
        <d v="2025-08-27T00:00:00" u="1"/>
        <d v="2025-12-09T00:00:00" u="1"/>
        <d v="2025-02-28T00:00:00" u="1"/>
        <d v="2025-04-19T00:00:00" u="1"/>
        <d v="2025-06-10T00:00:00" u="1"/>
        <d v="2025-08-01T00:00:00" u="1"/>
        <d v="2025-11-23T00:00:00" u="1"/>
        <d v="2025-02-02T00:00:00" u="1"/>
        <d v="2025-05-24T00:00:00" u="1"/>
        <d v="2025-07-15T00:00:00" u="1"/>
        <d v="2025-09-06T00:00:00" u="1"/>
        <d v="2025-01-16T00:00:00" u="1"/>
        <d v="2025-03-07T00:00:00" u="1"/>
        <d v="2025-08-20T00:00:00" u="1"/>
        <d v="2025-10-11T00:00:00" u="1"/>
        <d v="2025-12-02T00:00:00" u="1"/>
        <d v="2025-02-21T00:00:00" u="1"/>
        <d v="2025-04-12T00:00:00" u="1"/>
        <d v="2025-06-03T00:00:00" u="1"/>
        <d v="2025-09-25T00:00:00" u="1"/>
        <d v="2025-11-16T00:00:00" u="1"/>
        <d v="2025-03-26T00:00:00" u="1"/>
        <d v="2025-05-17T00:00:00" u="1"/>
        <d v="2025-07-08T00:00:00" u="1"/>
        <d v="2025-10-30T00:00:00" u="1"/>
        <d v="2025-08-13T00:00:00" u="1"/>
        <d v="2025-10-04T00:00:00" u="1"/>
        <d v="2025-02-14T00:00:00" u="1"/>
        <d v="2025-04-05T00:00:00" u="1"/>
        <d v="2025-09-18T00:00:00" u="1"/>
        <d v="2025-03-19T00:00:00" u="1"/>
        <d v="2025-05-10T00:00:00" u="1"/>
        <d v="2025-07-01T00:00:00" u="1"/>
        <d v="2025-10-23T00:00:00" u="1"/>
        <d v="2025-04-24T00:00:00" u="1"/>
        <d v="2025-08-06T00:00:00" u="1"/>
        <d v="2025-11-28T00:00:00" u="1"/>
        <d v="2025-02-07T00:00:00" u="1"/>
        <d v="2025-05-29T00:00:00" u="1"/>
        <d v="2025-09-11T00:00:00" u="1"/>
        <d v="2025-03-12T00:00:00" u="1"/>
        <d v="2025-05-03T00:00:00" u="1"/>
        <d v="2025-08-25T00:00:00" u="1"/>
        <d v="2025-10-16T00:00:00" u="1"/>
        <d v="2025-02-26T00:00:00" u="1"/>
        <d v="2025-04-17T00:00:00" u="1"/>
        <d v="2025-09-30T00:00:00" u="1"/>
        <d v="2025-11-21T00:00:00" u="1"/>
        <d v="2025-03-31T00:00:00" u="1"/>
        <d v="2025-05-22T00:00:00" u="1"/>
        <d v="2025-09-04T00:00:00" u="1"/>
        <d v="2025-12-26T00:00:00" u="1"/>
        <d v="2025-03-05T00:00:00" u="1"/>
        <d v="2025-06-27T00:00:00" u="1"/>
        <d v="2025-08-18T00:00:00" u="1"/>
        <d v="2025-10-09T00:00:00" u="1"/>
        <d v="2025-02-19T00:00:00" u="1"/>
        <d v="2025-04-10T00:00:00" u="1"/>
        <d v="2025-09-23T00:00:00" u="1"/>
        <d v="2025-11-14T00:00:00" u="1"/>
        <d v="2025-05-15T00:00:00" u="1"/>
        <d v="2025-10-28T00:00:00" u="1"/>
        <d v="2025-12-19T00:00:00" u="1"/>
        <d v="2025-04-29T00:00:00" u="1"/>
        <d v="2025-06-20T00:00:00" u="1"/>
        <d v="2025-08-11T00:00:00" u="1"/>
        <d v="2025-10-02T00:00:00" u="1"/>
        <d v="2025-02-12T00:00:00" u="1"/>
        <d v="2025-04-03T00:00:00" u="1"/>
        <d v="2025-07-25T00:00:00" u="1"/>
        <d v="2025-09-16T00:00:00" u="1"/>
        <d v="2025-11-07T00:00:00" u="1"/>
        <d v="2025-01-26T00:00:00" u="1"/>
        <d v="2025-03-17T00:00:00" u="1"/>
        <d v="2025-05-08T00:00:00" u="1"/>
        <d v="2025-08-30T00:00:00" u="1"/>
        <d v="2025-10-21T00:00:00" u="1"/>
        <d v="2025-12-12T00:00:00" u="1"/>
        <d v="2025-04-22T00:00:00" u="1"/>
        <d v="2025-06-13T00:00:00" u="1"/>
        <d v="2025-08-04T00:00:00" u="1"/>
        <d v="2025-11-26T00:00:00" u="1"/>
        <d v="2025-02-05T00:00:00" u="1"/>
        <d v="2025-05-27T00:00:00" u="1"/>
        <d v="2025-07-18T00:00:00" u="1"/>
        <d v="2025-09-09T00:00:00" u="1"/>
        <d v="2025-03-10T00:00:00" u="1"/>
        <d v="2025-10-14T00:00:00" u="1"/>
        <d v="2025-12-05T00:00:00" u="1"/>
        <d v="2025-02-24T00:00:00" u="1"/>
        <d v="2025-04-15T00:00:00" u="1"/>
        <d v="2025-06-06T00:00:00" u="1"/>
        <d v="2025-11-19T00:00:00" u="1"/>
        <d v="2025-03-29T00:00:00" u="1"/>
        <d v="2025-05-20T00:00:00" u="1"/>
        <d v="2025-07-11T00:00:00" u="1"/>
        <d v="2025-09-02T00:00:00" u="1"/>
        <d v="2025-12-24T00:00:00" u="1"/>
        <d v="2024-02-17T00:00:00" u="1"/>
        <d v="2025-03-03T00:00:00" u="1"/>
        <d v="2025-06-25T00:00:00" u="1"/>
        <d v="2025-08-16T00:00:00" u="1"/>
        <d v="2025-10-07T00:00:00" u="1"/>
        <d v="2025-02-17T00:00:00" u="1"/>
        <d v="2025-04-08T00:00:00" u="1"/>
        <d v="2025-07-30T00:00:00" u="1"/>
        <d v="2025-11-12T00:00:00" u="1"/>
        <d v="2025-01-31T00:00:00" u="1"/>
        <d v="2025-03-22T00:00:00" u="1"/>
        <d v="2025-05-13T00:00:00" u="1"/>
        <d v="2025-07-04T00:00:00" u="1"/>
        <d v="2025-12-17T00:00:00" u="1"/>
        <d v="2025-06-18T00:00:00" u="1"/>
        <d v="2025-02-10T00:00:00" u="1"/>
        <d v="2025-04-01T00:00:00" u="1"/>
        <d v="2025-07-23T00:00:00" u="1"/>
        <d v="2025-11-05T00:00:00" u="1"/>
        <d v="2025-03-15T00:00:00" u="1"/>
        <d v="2025-05-06T00:00:00" u="1"/>
        <d v="2025-08-28T00:00:00" u="1"/>
        <d v="2025-12-10T00:00:00" u="1"/>
        <d v="2025-06-11T00:00:00" u="1"/>
        <d v="2025-08-02T00:00:00" u="1"/>
        <d v="2025-11-24T00:00:00" u="1"/>
        <d v="2025-02-03T00:00:00" u="1"/>
        <d v="2025-07-16T00:00:00" u="1"/>
        <d v="2025-12-29T00:00:00" u="1"/>
        <d v="2025-03-08T00:00:00" u="1"/>
        <d v="2025-06-30T00:00:00" u="1"/>
        <d v="2025-08-21T00:00:00" u="1"/>
        <d v="2025-12-03T00:00:00" u="1"/>
        <d v="2025-02-22T00:00:00" u="1"/>
        <d v="2025-06-04T00:00:00" u="1"/>
        <d v="2025-09-26T00:00:00" u="1"/>
        <d v="2025-11-17T00:00:00" u="1"/>
        <d v="2025-03-27T00:00:00" u="1"/>
        <d v="2025-10-31T00:00:00" u="1"/>
        <d v="2025-12-22T00:00:00" u="1"/>
        <d v="2025-03-01T00:00:00" u="1"/>
        <d v="2025-06-23T00:00:00" u="1"/>
        <d v="2025-08-14T00:00:00" u="1"/>
        <d v="2025-02-15T00:00:00" u="1"/>
        <d v="2025-07-28T00:00:00" u="1"/>
        <d v="2025-09-19T00:00:00" u="1"/>
        <d v="2025-11-10T00:00:00" u="1"/>
        <d v="2025-01-29T00:00:00" u="1"/>
        <d v="2025-03-20T00:00:00" u="1"/>
        <d v="2025-07-02T00:00:00" u="1"/>
        <d v="2025-10-24T00:00:00" u="1"/>
        <d v="2025-12-15T00:00:00" u="1"/>
        <d v="2025-04-25T00:00:00" u="1"/>
        <d v="2025-06-16T00:00:00" u="1"/>
        <d v="2025-08-07T00:00:00" u="1"/>
        <d v="2025-11-29T00:00:00" u="1"/>
        <d v="2025-05-30T00:00:00" u="1"/>
        <d v="2025-09-12T00:00:00" u="1"/>
        <d v="2025-03-13T00:00:00" u="1"/>
        <d v="2025-08-26T00:00:00" u="1"/>
        <d v="2025-10-17T00:00:00" u="1"/>
        <d v="2025-12-08T00:00:00" u="1"/>
        <d v="2025-02-27T00:00:00" u="1"/>
        <d v="2025-06-09T00:00:00" u="1"/>
        <d v="2025-11-22T00:00:00" u="1"/>
        <d v="2025-02-01T00:00:00" u="1"/>
        <d v="2025-05-23T00:00:00" u="1"/>
        <d v="2025-07-14T00:00:00" u="1"/>
        <d v="2025-09-05T00:00:00" u="1"/>
        <d v="2025-12-27T00:00:00" u="1"/>
        <d v="2025-01-15T00:00:00" u="1"/>
        <d v="2025-03-06T00:00:00" u="1"/>
        <d v="2025-06-28T00:00:00" u="1"/>
        <d v="2025-08-19T00:00:00" u="1"/>
        <d v="2025-10-10T00:00:00" u="1"/>
        <d v="2025-02-20T00:00:00" u="1"/>
        <d v="2025-04-11T00:00:00" u="1"/>
        <d v="2025-06-02T00:00:00" u="1"/>
        <d v="2025-09-24T00:00:00" u="1"/>
        <d v="2025-03-25T00:00:00" u="1"/>
        <d v="2025-05-16T00:00:00" u="1"/>
        <d v="2025-07-07T00:00:00" u="1"/>
        <d v="2025-10-29T00:00:00" u="1"/>
        <d v="2025-12-20T00:00:00" u="1"/>
        <d v="2024-02-13T00:00:00" u="1"/>
        <d v="2025-04-30T00:00:00" u="1"/>
        <d v="2025-06-21T00:00:00" u="1"/>
        <d v="2025-08-12T00:00:00" u="1"/>
        <d v="2025-10-03T00:00:00" u="1"/>
        <d v="2026-12-20T00:00:00" u="1"/>
        <d v="2025-02-13T00:00:00" u="1"/>
        <d v="2025-04-04T00:00:00" u="1"/>
        <d v="2025-07-26T00:00:00" u="1"/>
        <d v="2025-09-17T00:00:00" u="1"/>
        <d v="2025-11-08T00:00:00" u="1"/>
        <d v="2025-01-27T00:00:00" u="1"/>
        <d v="2025-03-18T00:00:00" u="1"/>
        <d v="2025-05-09T00:00:00" u="1"/>
        <d v="2025-10-22T00:00:00" u="1"/>
        <d v="2025-12-13T00:00:00" u="1"/>
        <d v="2025-04-23T00:00:00" u="1"/>
        <d v="2025-08-05T00:00:00" u="1"/>
        <d v="2025-11-27T00:00:00" u="1"/>
        <d v="2025-02-06T00:00:00" u="1"/>
        <d v="2025-05-28T00:00:00" u="1"/>
        <d v="2025-07-19T00:00:00" u="1"/>
        <d v="2025-09-10T00:00:00" u="1"/>
        <d v="2025-11-01T00:00:00" u="1"/>
        <d v="2025-03-11T00:00:00" u="1"/>
        <d v="2025-05-02T00:00:00" u="1"/>
        <d v="2025-10-15T00:00:00" u="1"/>
        <d v="2025-02-25T00:00:00" u="1"/>
        <d v="2025-04-16T00:00:00" u="1"/>
        <d v="2025-06-07T00:00:00" u="1"/>
        <d v="2025-09-29T00:00:00" u="1"/>
        <d v="2025-05-21T00:00:00" u="1"/>
        <d v="2025-07-12T00:00:00" u="1"/>
        <d v="2025-09-03T00:00:00" u="1"/>
        <d v="2025-12-25T00:00:00" u="1"/>
        <d v="2025-06-26T00:00:00" u="1"/>
        <d v="2025-10-08T00:00:00" u="1"/>
        <d v="2025-02-18T00:00:00" u="1"/>
        <d v="2025-04-09T00:00:00" u="1"/>
        <d v="2025-07-31T00:00:00" u="1"/>
        <d v="2025-09-22T00:00:00" u="1"/>
        <d v="2025-11-13T00:00:00" u="1"/>
        <d v="2025-05-14T00:00:00" u="1"/>
        <d v="2025-07-05T00:00:00" u="1"/>
        <d v="2025-10-27T00:00:00" u="1"/>
        <d v="2025-12-18T00:00:00" u="1"/>
        <d v="2025-04-28T00:00:00" u="1"/>
        <d v="2025-10-01T00:00:00" u="1"/>
        <d v="2025-02-11T00:00:00" u="1"/>
        <d v="2025-04-02T00:00:00" u="1"/>
        <d v="2025-07-24T00:00:00" u="1"/>
        <d v="2025-09-15T00:00:00" u="1"/>
        <d v="2025-11-06T00:00:00" u="1"/>
        <d v="2025-01-25T00:00:00" u="1"/>
        <d v="2025-05-07T00:00:00" u="1"/>
        <d v="2025-08-29T00:00:00" u="1"/>
        <d v="2025-10-20T00:00:00" u="1"/>
        <d v="2025-12-11T00:00:00" u="1"/>
      </sharedItems>
    </cacheField>
    <cacheField name="Informe o KM inicial do dia" numFmtId="0">
      <sharedItems containsSemiMixedTypes="0" containsString="0" containsNumber="1" containsInteger="1" minValue="0" maxValue="2875526" count="2290">
        <n v="105642"/>
        <n v="212986"/>
        <n v="172770"/>
        <n v="185450"/>
        <n v="167575"/>
        <n v="105821"/>
        <n v="213548"/>
        <n v="185504"/>
        <n v="167625"/>
        <n v="105842"/>
        <n v="151395"/>
        <n v="105891"/>
        <n v="185564"/>
        <n v="167982"/>
        <n v="172907"/>
        <n v="185599"/>
        <n v="221889"/>
        <n v="158913"/>
        <n v="185662"/>
        <n v="117269"/>
        <n v="159149"/>
        <n v="168113"/>
        <n v="173277"/>
        <n v="185709"/>
        <n v="117508"/>
        <n v="167732"/>
        <n v="168215"/>
        <n v="173440"/>
        <n v="105938"/>
        <n v="185799"/>
        <n v="168251"/>
        <n v="173510"/>
        <n v="117705"/>
        <n v="185868"/>
        <n v="117878"/>
        <n v="117979"/>
        <n v="105979"/>
        <n v="106037"/>
        <n v="186244"/>
        <n v="118050"/>
        <n v="173758"/>
        <n v="186271"/>
        <n v="118174"/>
        <n v="168367"/>
        <n v="173852"/>
        <n v="118516"/>
        <n v="168525"/>
        <n v="106211"/>
        <n v="186316"/>
        <n v="160176"/>
        <n v="118690"/>
        <n v="174037"/>
        <n v="186535"/>
        <n v="160592"/>
        <n v="168587"/>
        <n v="237957"/>
        <n v="186761"/>
        <n v="119184"/>
        <n v="168628"/>
        <n v="161112"/>
        <n v="168973"/>
        <n v="238029"/>
        <n v="186837"/>
        <n v="119338"/>
        <n v="119499"/>
        <n v="169047"/>
        <n v="186907"/>
        <n v="119764"/>
        <n v="187112"/>
        <n v="119931"/>
        <n v="56431"/>
        <n v="187171"/>
        <n v="99405"/>
        <n v="120017"/>
        <n v="169262"/>
        <n v="56555"/>
        <n v="74739"/>
        <n v="187393"/>
        <n v="197216"/>
        <n v="74913"/>
        <n v="187617"/>
        <n v="120436"/>
        <n v="174328"/>
        <n v="75117"/>
        <n v="187828"/>
        <n v="161736"/>
        <n v="188057"/>
        <n v="99748"/>
        <n v="56587"/>
        <n v="188096"/>
        <n v="302949"/>
        <n v="56769"/>
        <n v="188145"/>
        <n v="100008"/>
        <n v="121039"/>
        <n v="174413"/>
        <n v="188178"/>
        <n v="162415"/>
        <n v="100156"/>
        <n v="121152"/>
        <n v="169305"/>
        <n v="75257"/>
        <n v="162767"/>
        <n v="100212"/>
        <n v="169407"/>
        <n v="174463"/>
        <n v="188220"/>
        <n v="100356"/>
        <n v="121553"/>
        <n v="169567"/>
        <n v="75328"/>
        <n v="188266"/>
        <n v="163254"/>
        <n v="100404"/>
        <n v="121727"/>
        <n v="169717"/>
        <n v="239660"/>
        <n v="303284"/>
        <n v="188695"/>
        <n v="163559"/>
        <n v="100502"/>
        <n v="169830"/>
        <n v="1924"/>
        <n v="75961"/>
        <n v="164058"/>
        <n v="188758"/>
        <n v="163817"/>
        <n v="100559"/>
        <n v="122041"/>
        <n v="2118"/>
        <n v="188939"/>
        <n v="100562"/>
        <n v="169936"/>
        <n v="2168"/>
        <n v="76045"/>
        <n v="189023"/>
        <n v="100652"/>
        <n v="240058"/>
        <n v="100703"/>
        <n v="2263"/>
        <n v="303416"/>
        <n v="100802"/>
        <n v="122310"/>
        <n v="303467"/>
        <n v="122537"/>
        <n v="76233"/>
        <n v="100984"/>
        <n v="122674"/>
        <n v="2633"/>
        <n v="76394"/>
        <n v="189123"/>
        <n v="164231"/>
        <n v="101000"/>
        <n v="122917"/>
        <n v="189230"/>
        <n v="303856"/>
        <n v="101112"/>
        <n v="123152"/>
        <n v="123392"/>
        <n v="304030"/>
        <n v="101235"/>
        <n v="189290"/>
        <n v="101252"/>
        <n v="124203"/>
        <n v="170050"/>
        <n v="76622"/>
        <n v="189350"/>
        <n v="304042"/>
        <n v="101425"/>
        <n v="170166"/>
        <n v="63453"/>
        <n v="76665"/>
        <n v="189605"/>
        <n v="101595"/>
        <n v="170207"/>
        <n v="128787"/>
        <n v="76804"/>
        <n v="189667"/>
        <n v="101616"/>
        <n v="170479"/>
        <n v="63515"/>
        <n v="101695"/>
        <n v="128975"/>
        <n v="164839"/>
        <n v="101729"/>
        <n v="124275"/>
        <n v="76960"/>
        <n v="189978"/>
        <n v="101746"/>
        <n v="63973"/>
        <n v="190108"/>
        <n v="101819"/>
        <n v="125026"/>
        <n v="170650"/>
        <n v="64017"/>
        <n v="165143"/>
        <n v="125235"/>
        <n v="64042"/>
        <n v="77152"/>
        <n v="190369"/>
        <n v="165400"/>
        <n v="101902"/>
        <n v="170970"/>
        <n v="64136"/>
        <n v="190485"/>
        <n v="165652"/>
        <n v="125562"/>
        <n v="77168"/>
        <n v="190547"/>
        <n v="304443"/>
        <n v="102051"/>
        <n v="125675"/>
        <n v="171010"/>
        <n v="64240"/>
        <n v="190719"/>
        <n v="304506"/>
        <n v="171225"/>
        <n v="64305"/>
        <n v="190780"/>
        <n v="304538"/>
        <n v="102145"/>
        <n v="59557"/>
        <n v="77361"/>
        <n v="190808"/>
        <n v="171245"/>
        <n v="59784"/>
        <n v="77397"/>
        <n v="190842"/>
        <n v="102274"/>
        <n v="102357"/>
        <n v="59845"/>
        <n v="190880"/>
        <n v="304780"/>
        <n v="102383"/>
        <n v="190959"/>
        <n v="166670"/>
        <n v="102415"/>
        <n v="126053"/>
        <n v="166192"/>
        <n v="59887"/>
        <n v="191136"/>
        <n v="102499"/>
        <n v="59939"/>
        <n v="191239"/>
        <n v="191347"/>
        <n v="102603"/>
        <n v="60039"/>
        <n v="191428"/>
        <n v="305088"/>
        <n v="102622"/>
        <n v="171450"/>
        <n v="60069"/>
        <n v="191478"/>
        <n v="102788"/>
        <n v="60104"/>
        <n v="60149"/>
        <n v="191575"/>
        <n v="305156"/>
        <n v="102870"/>
        <n v="126639"/>
        <n v="171652"/>
        <n v="60174"/>
        <n v="126815"/>
        <n v="191593"/>
        <n v="305430"/>
        <n v="167352"/>
        <n v="103042"/>
        <n v="126895"/>
        <n v="209180"/>
        <n v="191681"/>
        <n v="103083"/>
        <n v="127097"/>
        <n v="171723"/>
        <n v="209222"/>
        <n v="191929"/>
        <n v="52909"/>
        <n v="127230"/>
        <n v="172080"/>
        <n v="78425"/>
        <n v="103237"/>
        <n v="127417"/>
        <n v="103430"/>
        <n v="192283"/>
        <n v="52961"/>
        <n v="127727"/>
        <n v="172301"/>
        <n v="78706"/>
        <n v="78729"/>
        <n v="172371"/>
        <n v="192408"/>
        <n v="172432"/>
        <n v="103551"/>
        <n v="53451"/>
        <n v="78941"/>
        <n v="192514"/>
        <n v="103683"/>
        <n v="128046"/>
        <n v="79107"/>
        <n v="103713"/>
        <n v="400867"/>
        <n v="168149"/>
        <n v="103859"/>
        <n v="168461"/>
        <n v="128239"/>
        <n v="77524"/>
        <n v="23107"/>
        <n v="128597"/>
        <n v="79843"/>
        <n v="53155"/>
        <n v="104302"/>
        <n v="59825"/>
        <n v="59890"/>
        <n v="168879"/>
        <n v="128664"/>
        <n v="172305"/>
        <n v="59950"/>
        <n v="80077"/>
        <n v="104626"/>
        <n v="128804"/>
        <n v="60005"/>
        <n v="78263"/>
        <n v="24151"/>
        <n v="78881"/>
        <n v="129089"/>
        <n v="53829"/>
        <n v="169435"/>
        <n v="104748"/>
        <n v="129193"/>
        <n v="172615"/>
        <n v="60160"/>
        <n v="80225"/>
        <n v="169684"/>
        <n v="104799"/>
        <n v="129457"/>
        <n v="60238"/>
        <n v="78003"/>
        <n v="104833"/>
        <n v="129618"/>
        <n v="60288"/>
        <n v="80387"/>
        <n v="104862"/>
        <n v="172823"/>
        <n v="104918"/>
        <n v="104935"/>
        <n v="192976"/>
        <n v="105054"/>
        <n v="130080"/>
        <n v="173005"/>
        <n v="60308"/>
        <n v="193028"/>
        <n v="173118"/>
        <n v="105141"/>
        <n v="130199"/>
        <n v="60390"/>
        <n v="193477"/>
        <n v="105279"/>
        <n v="173168"/>
        <n v="193637"/>
        <n v="193670"/>
        <n v="105394"/>
        <n v="130838"/>
        <n v="173283"/>
        <n v="60493"/>
        <n v="193736"/>
        <n v="231207"/>
        <n v="60654"/>
        <n v="193769"/>
        <n v="173377"/>
        <n v="193805"/>
        <n v="105722"/>
        <n v="192589"/>
        <n v="80913"/>
        <n v="193067"/>
        <n v="131407"/>
        <n v="81225"/>
        <n v="193857"/>
        <n v="170506"/>
        <n v="105844"/>
        <n v="173720"/>
        <n v="60733"/>
        <n v="81438"/>
        <n v="193877"/>
        <n v="131553"/>
        <n v="174064"/>
        <n v="60838"/>
        <n v="60923"/>
        <n v="170900"/>
        <n v="131766"/>
        <n v="61048"/>
        <n v="54677"/>
        <n v="106069"/>
        <n v="61238"/>
        <n v="61338"/>
        <n v="194392"/>
        <n v="106122"/>
        <n v="132185"/>
        <n v="174302"/>
        <n v="61428"/>
        <n v="167750"/>
        <n v="194441"/>
        <n v="15942"/>
        <n v="106212"/>
        <n v="132315"/>
        <n v="61488"/>
        <n v="194500"/>
        <n v="106271"/>
        <n v="132466"/>
        <n v="174399"/>
        <n v="61588"/>
        <n v="194569"/>
        <n v="174550"/>
        <n v="194622"/>
        <n v="17051"/>
        <n v="171442"/>
        <n v="106497"/>
        <n v="132625"/>
        <n v="194653"/>
        <n v="171759"/>
        <n v="106541"/>
        <n v="106609"/>
        <n v="106672"/>
        <n v="175443"/>
        <n v="106776"/>
        <n v="194832"/>
        <n v="106833"/>
        <n v="175801"/>
        <n v="194871"/>
        <n v="106873"/>
        <n v="194915"/>
        <n v="106998"/>
        <n v="194971"/>
        <n v="107022"/>
        <n v="107139"/>
        <n v="195013"/>
        <n v="107180"/>
        <n v="175900"/>
        <n v="169220"/>
        <n v="195070"/>
        <n v="172173"/>
        <n v="107245"/>
        <n v="176201"/>
        <n v="195130"/>
        <n v="172424"/>
        <n v="107295"/>
        <n v="133723"/>
        <n v="195147"/>
        <n v="55141"/>
        <n v="133478"/>
        <n v="172744"/>
        <n v="107450"/>
        <n v="133869"/>
        <n v="176550"/>
        <n v="195555"/>
        <n v="165620"/>
        <n v="55408"/>
        <n v="107591"/>
        <n v="118246"/>
        <n v="195650"/>
        <n v="55831"/>
        <n v="107653"/>
        <n v="195688"/>
        <n v="13931"/>
        <n v="107717"/>
        <n v="176815"/>
        <n v="195743"/>
        <n v="134645"/>
        <n v="4212"/>
        <n v="195806"/>
        <n v="118452"/>
        <n v="195872"/>
        <n v="134265"/>
        <n v="107904"/>
        <n v="135091"/>
        <n v="176905"/>
        <n v="195889"/>
        <n v="107959"/>
        <n v="118564"/>
        <n v="195915"/>
        <n v="118747"/>
        <n v="196105"/>
        <n v="108086"/>
        <n v="135317"/>
        <n v="135386"/>
        <n v="108258"/>
        <n v="196296"/>
        <n v="196357"/>
        <n v="134602"/>
        <n v="108533"/>
        <n v="135519"/>
        <n v="177302"/>
        <n v="196373"/>
        <n v="134652"/>
        <n v="119190"/>
        <n v="196419"/>
        <n v="17844"/>
        <n v="134766"/>
        <n v="135952"/>
        <n v="119369"/>
        <n v="196450"/>
        <n v="134838"/>
        <n v="108667"/>
        <n v="177533"/>
        <n v="119433"/>
        <n v="19080"/>
        <n v="134972"/>
        <n v="173343"/>
        <n v="108749"/>
        <n v="177650"/>
        <n v="119540"/>
        <n v="135015"/>
        <n v="119596"/>
        <n v="135092"/>
        <n v="177902"/>
        <n v="173630"/>
        <n v="196646"/>
        <n v="109034"/>
        <n v="119987"/>
        <n v="173883"/>
        <n v="196701"/>
        <n v="136488"/>
        <n v="178073"/>
        <n v="175853"/>
        <n v="120038"/>
        <n v="197169"/>
        <n v="3182"/>
        <n v="136641"/>
        <n v="135460"/>
        <n v="3753"/>
        <n v="197230"/>
        <n v="109156"/>
        <n v="135567"/>
        <n v="197268"/>
        <n v="197334"/>
        <n v="135699"/>
        <n v="178236"/>
        <n v="197325"/>
        <n v="197393"/>
        <n v="120307"/>
        <n v="109280"/>
        <n v="178612"/>
        <n v="120478"/>
        <n v="197429"/>
        <n v="5383"/>
        <n v="184589"/>
        <n v="178782"/>
        <n v="109351"/>
        <n v="197555"/>
        <n v="120853"/>
        <n v="109534"/>
        <n v="136212"/>
        <n v="197567"/>
        <n v="177343"/>
        <n v="109645"/>
        <n v="136460"/>
        <n v="197630"/>
        <n v="179500"/>
        <n v="136588"/>
        <n v="1211346"/>
        <n v="177734"/>
        <n v="7183"/>
        <n v="197795"/>
        <n v="109745"/>
        <n v="179810"/>
        <n v="178062"/>
        <n v="197874"/>
        <n v="121590"/>
        <n v="109956"/>
        <n v="197921"/>
        <n v="110078"/>
        <n v="180165"/>
        <n v="136929"/>
        <n v="198030"/>
        <n v="121870"/>
        <n v="198047"/>
        <n v="137979"/>
        <n v="110218"/>
        <n v="122044"/>
        <n v="198102"/>
        <n v="138138"/>
        <n v="137264"/>
        <n v="198175"/>
        <n v="137535"/>
        <n v="198212"/>
        <n v="56611"/>
        <n v="137607"/>
        <n v="198280"/>
        <n v="135217"/>
        <n v="122274"/>
        <n v="110616"/>
        <n v="137727"/>
        <n v="57684"/>
        <n v="135269"/>
        <n v="198693"/>
        <n v="138585"/>
        <n v="110668"/>
        <n v="137804"/>
        <n v="138807"/>
        <n v="110812"/>
        <n v="122529"/>
        <n v="198766"/>
        <n v="135511"/>
        <n v="198841"/>
        <n v="135669"/>
        <n v="178367"/>
        <n v="110965"/>
        <n v="198901"/>
        <n v="122796"/>
        <n v="138221"/>
        <n v="0" u="1"/>
        <n v="167409" u="1"/>
        <n v="185058" u="1"/>
        <n v="193126" u="1"/>
        <n v="180016" u="1"/>
        <n v="260192" u="1"/>
        <n v="37613" u="1"/>
        <n v="124659" u="1"/>
        <n v="178504" u="1"/>
        <n v="92135" u="1"/>
        <n v="252881" u="1"/>
        <n v="122264" u="1"/>
        <n v="126172" u="1"/>
        <n v="179513" u="1"/>
        <n v="75369" u="1"/>
        <n v="127811" u="1"/>
        <n v="247335" u="1"/>
        <n v="101212" u="1"/>
        <n v="113314" u="1"/>
        <n v="248596" u="1"/>
        <n v="212038" u="1"/>
        <n v="289003" u="1"/>
        <n v="203718" u="1"/>
        <n v="126677" u="1"/>
        <n v="80034" u="1"/>
        <n v="346489" u="1"/>
        <n v="77891" u="1"/>
        <n v="157832" u="1"/>
        <n v="244563" u="1"/>
        <n v="110037" u="1"/>
        <n v="103860" u="1"/>
        <n v="267827" u="1"/>
        <n v="121257" u="1"/>
        <n v="125039" u="1"/>
        <n v="165145" u="1"/>
        <n v="179264" u="1"/>
        <n v="249607" u="1"/>
        <n v="164137" u="1"/>
        <n v="4612" u="1"/>
        <n v="111929" u="1"/>
        <n v="122014" u="1"/>
        <n v="75497" u="1"/>
        <n v="346494" u="1"/>
        <n v="123653" u="1"/>
        <n v="257172" u="1"/>
        <n v="182291" u="1"/>
        <n v="184308" u="1"/>
        <n v="171954" u="1"/>
        <n v="313719" u="1"/>
        <n v="189855" u="1"/>
        <n v="112938" u="1"/>
        <n v="288508" u="1"/>
        <n v="128444" u="1"/>
        <n v="184309" u="1"/>
        <n v="103736" u="1"/>
        <n v="157080" u="1"/>
        <n v="10802" u="1"/>
        <n v="81171" u="1"/>
        <n v="139936" u="1"/>
        <n v="163888" u="1"/>
        <n v="175990" u="1"/>
        <n v="183302" u="1"/>
        <n v="253897" u="1"/>
        <n v="100585" u="1"/>
        <n v="118738" u="1"/>
        <n v="209271" u="1"/>
        <n v="82180" u="1"/>
        <n v="69952" u="1"/>
        <n v="53562" u="1"/>
        <n v="180025" u="1"/>
        <n v="77516" u="1"/>
        <n v="71087" u="1"/>
        <n v="140190" u="1"/>
        <n v="170193" u="1"/>
        <n v="180026" u="1"/>
        <n v="74617" u="1"/>
        <n v="104872" u="1"/>
        <n v="129076" u="1"/>
        <n v="209525" u="1"/>
        <n v="285994" u="1"/>
        <n v="124538" u="1"/>
        <n v="172211" u="1"/>
        <n v="258942" u="1"/>
        <n v="98065" u="1"/>
        <n v="48394" u="1"/>
        <n v="99830" u="1"/>
        <n v="135149" u="1"/>
        <n v="211543" u="1"/>
        <n v="170447" u="1"/>
        <n v="121387" u="1"/>
        <n v="127186" u="1"/>
        <n v="173725" u="1"/>
        <n v="51924" u="1"/>
        <n v="130968" u="1"/>
        <n v="346508" u="1"/>
        <n v="74366" u="1"/>
        <n v="182802" u="1"/>
        <n v="70080" u="1"/>
        <n v="192383" u="1"/>
        <n v="71845" u="1"/>
        <n v="102100" u="1"/>
        <n v="110042" u="1"/>
        <n v="122144" u="1"/>
        <n v="167675" u="1"/>
        <n v="346510" u="1"/>
        <n v="176752" u="1"/>
        <n v="249364" u="1"/>
        <n v="103235" u="1"/>
        <n v="137925" u="1"/>
        <n v="47008" u="1"/>
        <n v="78905" u="1"/>
        <n v="141203" u="1"/>
        <n v="128826" u="1"/>
        <n v="179022" u="1"/>
        <n v="259450" u="1"/>
        <n v="184317" u="1"/>
        <n v="149524" u="1"/>
        <n v="145238" u="1"/>
        <n v="262304" u="1"/>
        <n v="347018" u="1"/>
        <n v="257938" u="1"/>
        <n v="346514" u="1"/>
        <n v="42218" u="1"/>
        <n v="93403" u="1"/>
        <n v="172468" u="1"/>
        <n v="131624" u="1"/>
        <n v="163392" u="1"/>
        <n v="179528" u="1"/>
        <n v="74494" u="1"/>
        <n v="171208" u="1"/>
        <n v="80167" u="1"/>
        <n v="122524" u="1"/>
        <n v="180537" u="1"/>
        <n v="158098" u="1"/>
        <n v="166166" u="1"/>
        <n v="170200" u="1"/>
        <n v="91891" u="1"/>
        <n v="181294" u="1"/>
        <n v="267855" u="1"/>
        <n v="172974" u="1"/>
        <n v="125676" u="1"/>
        <n v="182555" u="1"/>
        <n v="53123" u="1"/>
        <n v="286009" u="1"/>
        <n v="184825" u="1"/>
        <n v="4250" u="1"/>
        <n v="131879" u="1"/>
        <n v="194406" u="1"/>
        <n v="38437" u="1"/>
        <n v="183565" u="1"/>
        <n v="347026" u="1"/>
        <n v="48081" u="1"/>
        <n v="74874" u="1"/>
        <n v="287526" u="1"/>
        <n v="41904" u="1"/>
        <n v="246345" u="1"/>
        <n v="195668" u="1"/>
        <n v="209787" u="1"/>
        <n v="43669" u="1"/>
        <n v="211048" u="1"/>
        <n v="39446" u="1"/>
        <n v="73614" u="1"/>
        <n v="257692" u="1"/>
        <n v="187854" u="1"/>
        <n v="76514" u="1"/>
        <n v="116602" u="1"/>
        <n v="132387" u="1"/>
        <n v="126435" u="1"/>
        <n v="163903" u="1"/>
        <n v="258198" u="1"/>
        <n v="113703" u="1"/>
        <n v="188360" u="1"/>
        <n v="195924" u="1"/>
        <n v="102862" u="1"/>
        <n v="177267" u="1"/>
        <n v="346532" u="1"/>
        <n v="241055" u="1"/>
        <n v="265853" u="1"/>
        <n v="169956" u="1"/>
        <n v="248619" u="1"/>
        <n v="113956" u="1"/>
        <n v="179537" u="1"/>
        <n v="99711" u="1"/>
        <n v="265350" u="1"/>
        <n v="162645" u="1"/>
        <n v="262325" u="1"/>
        <n v="70969" u="1"/>
        <n v="157603" u="1"/>
        <n v="250385" u="1"/>
        <n v="165419" u="1"/>
        <n v="197691" u="1"/>
        <n v="242065" u="1"/>
        <n v="147014" u="1"/>
        <n v="183320" u="1"/>
        <n v="48713" u="1"/>
        <n v="78155" u="1"/>
        <n v="171471" u="1"/>
        <n v="71348" u="1"/>
        <n v="140712" u="1"/>
        <n v="243579" u="1"/>
        <n v="134409" u="1"/>
        <n v="259463" u="1"/>
        <n v="263842" u="1"/>
        <n v="80677" u="1"/>
        <n v="189373" u="1"/>
        <n v="53504" u="1"/>
        <n v="157606" u="1"/>
        <n v="181810" u="1"/>
        <n v="173238" u="1"/>
        <n v="127573" u="1"/>
        <n v="266367" u="1"/>
        <n v="199964" u="1"/>
        <n v="169457" u="1"/>
        <n v="80300" u="1"/>
        <n v="245095" u="1"/>
        <n v="166937" u="1"/>
        <n v="180552" u="1"/>
        <n v="210807" u="1"/>
        <n v="109295" u="1"/>
        <n v="111312" u="1"/>
        <n v="39953" u="1"/>
        <n v="99084" u="1"/>
        <n v="133153" u="1"/>
        <n v="249887" u="1"/>
        <n v="156853" u="1"/>
        <n v="179040" u="1"/>
        <n v="207278" u="1"/>
        <n v="49660" u="1"/>
        <n v="104253" u="1"/>
        <n v="176267" u="1"/>
        <n v="182066" u="1"/>
        <n v="3342" u="1"/>
        <n v="181814" u="1"/>
        <n v="117994" u="1"/>
        <n v="175511" u="1"/>
        <n v="179293" u="1"/>
        <n v="181310" u="1"/>
        <n v="346550" u="1"/>
        <n v="168452" u="1"/>
        <n v="141475" u="1"/>
        <n v="167444" u="1"/>
        <n v="112826" u="1"/>
        <n v="172739" u="1"/>
        <n v="241317" u="1"/>
        <n v="92278" u="1"/>
        <n v="176521" u="1"/>
        <n v="208793" u="1"/>
        <n v="78033" u="1"/>
        <n v="250898" u="1"/>
        <n v="44492" u="1"/>
        <n v="75890" u="1"/>
        <n v="165680" u="1"/>
        <n v="173748" u="1"/>
        <n v="71604" u="1"/>
        <n v="177530" u="1"/>
        <n v="185346" u="1"/>
        <n v="247873" u="1"/>
        <n v="251907" u="1"/>
        <n v="81437" u="1"/>
        <n v="111692" u="1"/>
        <n v="125559" u="1"/>
        <n v="127576" u="1"/>
        <n v="347059" u="1"/>
        <n v="72865" u="1"/>
        <n v="185851" u="1"/>
        <n v="110936" u="1"/>
        <n v="346556" u="1"/>
        <n v="72109" u="1"/>
        <n v="286551" u="1"/>
        <n v="183835" u="1"/>
        <n v="171481" u="1"/>
        <n v="211821" u="1"/>
        <n v="347062" u="1"/>
        <n v="125938" u="1"/>
        <n v="175263" u="1"/>
        <n v="185348" u="1"/>
        <n v="346558" u="1"/>
        <n v="181062" u="1"/>
        <n v="262853" u="1"/>
        <n v="111063" u="1"/>
        <n v="287058" u="1"/>
        <n v="54956" u="1"/>
        <n v="94801" u="1"/>
        <n v="185097" u="1"/>
        <n v="78287" u="1"/>
        <n v="114467" u="1"/>
        <n v="104130" u="1"/>
        <n v="179551" u="1"/>
        <n v="117745" u="1"/>
        <n v="117493" u="1"/>
        <n v="72993" u="1"/>
        <n v="93163" u="1"/>
        <n v="107282" u="1"/>
        <n v="167954" u="1"/>
        <n v="248382" u="1"/>
        <n v="68329" u="1"/>
        <n v="162912" u="1"/>
        <n v="148289" u="1"/>
        <n v="133918" u="1"/>
        <n v="110182" u="1"/>
        <n v="115981" u="1"/>
        <n v="245106" u="1"/>
        <n v="78919" u="1"/>
        <n v="163670" u="1"/>
        <n v="127075" u="1"/>
        <n v="78541" u="1"/>
        <n v="165183" u="1"/>
        <n v="74381" u="1"/>
        <n v="257209" u="1"/>
        <n v="114217" u="1"/>
        <n v="56533" u="1"/>
        <n v="116108" u="1"/>
        <n v="157368" u="1"/>
        <n v="165436" u="1"/>
        <n v="171487" u="1"/>
        <n v="347074" u="1"/>
        <n v="245864" u="1"/>
        <n v="103502" u="1"/>
        <n v="183842" u="1"/>
        <n v="179556" u="1"/>
        <n v="182834" u="1"/>
        <n v="182330" u="1"/>
        <n v="287576" u="1"/>
        <n v="97956" u="1"/>
        <n v="177288" u="1"/>
        <n v="45251" u="1"/>
        <n v="109554" u="1"/>
        <n v="117622" u="1"/>
        <n v="134427" u="1"/>
        <n v="263878" u="1"/>
        <n v="346575" u="1"/>
        <n v="248640" u="1"/>
        <n v="163422" u="1"/>
        <n v="256204" u="1"/>
        <n v="249901" u="1"/>
        <n v="54832" u="1"/>
        <n v="166700" u="1"/>
        <n v="205023" u="1"/>
        <n v="118505" u="1"/>
        <n v="176281" u="1"/>
        <n v="96066" u="1"/>
        <n v="174012" u="1"/>
        <n v="171239" u="1"/>
        <n v="46260" u="1"/>
        <n v="109681" u="1"/>
        <n v="113589" u="1"/>
        <n v="93293" u="1"/>
        <n v="75014" u="1"/>
        <n v="113337" u="1"/>
        <n v="74888" u="1"/>
        <n v="109177" u="1"/>
        <n v="175778" u="1"/>
        <n v="74636" u="1"/>
        <n v="100731" u="1"/>
        <n v="49790" u="1"/>
        <n v="112707" u="1"/>
        <n v="126700" u="1"/>
        <n v="130734" u="1"/>
        <n v="104387" u="1"/>
        <n v="131909" u="1"/>
        <n v="137960" u="1"/>
        <n v="177796" u="1"/>
        <n v="71485" u="1"/>
        <n v="140482" u="1"/>
        <n v="245366" u="1"/>
        <n v="39075" u="1"/>
        <n v="51177" u="1"/>
        <n v="71107" u="1"/>
        <n v="80940" u="1"/>
        <n v="125314" u="1"/>
        <n v="113086" u="1"/>
        <n v="189899" u="1"/>
        <n v="80562" u="1"/>
        <n v="136701" u="1"/>
        <n v="126575" u="1"/>
        <n v="176537" u="1"/>
        <n v="133928" u="1"/>
        <n v="212339" u="1"/>
        <n v="147291" u="1"/>
        <n v="52249" u="1"/>
        <n v="75268" u="1"/>
        <n v="260748" u="1"/>
        <n v="43740" u="1"/>
        <n v="183094" u="1"/>
        <n v="110566" u="1"/>
        <n v="255202" u="1"/>
        <n v="106280" u="1"/>
        <n v="51556" u="1"/>
        <n v="73882" u="1"/>
        <n v="180069" u="1"/>
        <n v="53447" u="1"/>
        <n v="79681" u="1"/>
        <n v="73378" u="1"/>
        <n v="288098" u="1"/>
        <n v="176036" u="1"/>
        <n v="180070" u="1"/>
        <n v="121156" u="1"/>
        <n v="163430" u="1"/>
        <n v="46829" u="1"/>
        <n v="112836" u="1"/>
        <n v="52754" u="1"/>
        <n v="74261" u="1"/>
        <n v="207048" u="1"/>
        <n v="211082" u="1"/>
        <n v="255456" u="1"/>
        <n v="347601" u="1"/>
        <n v="70101" u="1"/>
        <n v="156371" u="1"/>
        <n v="133680" u="1"/>
        <n v="169734" u="1"/>
        <n v="124056" u="1"/>
        <n v="132924" u="1"/>
        <n v="286084" u="1"/>
        <n v="168978" u="1"/>
        <n v="210327" u="1"/>
        <n v="191418" u="1"/>
        <n v="39707" u="1"/>
        <n v="172509" u="1"/>
        <n v="180325" u="1"/>
        <n v="181586" u="1"/>
        <n v="346598" u="1"/>
        <n v="209320" u="1"/>
        <n v="162425" u="1"/>
        <n v="184612" u="1"/>
        <n v="243105" u="1"/>
        <n v="107291" u="1"/>
        <n v="141751" u="1"/>
        <n v="113090" u="1"/>
        <n v="347104" u="1"/>
        <n v="82457" u="1"/>
        <n v="199236" u="1"/>
        <n v="148055" u="1"/>
        <n v="184361" u="1"/>
        <n v="126075" u="1"/>
        <n v="217390" u="1"/>
        <n v="83088" u="1"/>
        <n v="125319" u="1"/>
        <n v="105023" u="1"/>
        <n v="110948" u="1"/>
        <n v="163184" u="1"/>
        <n v="80441" u="1"/>
        <n v="104645" u="1"/>
        <n v="185119" u="1"/>
        <n v="124689" u="1"/>
        <n v="158646" u="1"/>
        <n v="257227" u="1"/>
        <n v="212601" u="1"/>
        <n v="128219" u="1"/>
        <n v="287104" u="1"/>
        <n v="185372" u="1"/>
        <n v="179069" u="1"/>
        <n v="196718" u="1"/>
        <n v="347111" u="1"/>
        <n v="97208" u="1"/>
        <n v="261010" u="1"/>
        <n v="109184" u="1"/>
        <n v="172515" u="1"/>
        <n v="161926" u="1"/>
        <n v="71744" u="1"/>
        <n v="181844" u="1"/>
        <n v="177558" u="1"/>
        <n v="71492" u="1"/>
        <n v="111832" u="1"/>
        <n v="265930" u="1"/>
        <n v="75400" u="1"/>
        <n v="169995" u="1"/>
        <n v="70610" u="1"/>
        <n v="241851" u="1"/>
        <n v="76157" u="1"/>
        <n v="79939" u="1"/>
        <n v="101748" u="1"/>
        <n v="162937" u="1"/>
        <n v="183107" u="1"/>
        <n v="184872" u="1"/>
        <n v="70989" u="1"/>
        <n v="242609" u="1"/>
        <n v="106791" u="1"/>
        <n v="100614" u="1"/>
        <n v="112590" u="1"/>
        <n v="346617" u="1"/>
        <n v="73889" u="1"/>
        <n v="42294" u="1"/>
        <n v="181344" u="1"/>
        <n v="245888" u="1"/>
        <n v="105531" u="1"/>
        <n v="176302" u="1"/>
        <n v="172016" u="1"/>
        <n v="182101" u="1"/>
        <n v="141257" u="1"/>
        <n v="191682" u="1"/>
        <n v="72503" u="1"/>
        <n v="183362" u="1"/>
        <n v="182354" u="1"/>
        <n v="124315" u="1"/>
        <n v="286112" u="1"/>
        <n v="346622" u="1"/>
        <n v="21868" u="1"/>
        <n v="248160" u="1"/>
        <n v="68470" u="1"/>
        <n v="110827" u="1"/>
        <n v="171262" u="1"/>
        <n v="346624" u="1"/>
        <n v="181095" u="1"/>
        <n v="205299" u="1"/>
        <n v="208577" u="1"/>
        <n v="108180" u="1"/>
        <n v="141764" u="1"/>
        <n v="145798" u="1"/>
        <n v="165968" u="1"/>
        <n v="75782" u="1"/>
        <n v="266954" u="1"/>
        <n v="69353" u="1"/>
        <n v="176810" u="1"/>
        <n v="178827" u="1"/>
        <n v="77043" u="1"/>
        <n v="184122" u="1"/>
        <n v="68723" u="1"/>
        <n v="125073" u="1"/>
        <n v="76539" u="1"/>
        <n v="45762" u="1"/>
        <n v="75909" u="1"/>
        <n v="108181" u="1"/>
        <n v="184123" u="1"/>
        <n v="133446" u="1"/>
        <n v="69606" u="1"/>
        <n v="109946" u="1"/>
        <n v="119905" u="1"/>
        <n v="175047" u="1"/>
        <n v="132186" u="1"/>
        <n v="103265" u="1"/>
        <n v="346631" u="1"/>
        <n v="125200" u="1"/>
        <n v="165215" u="1"/>
        <n v="269986" u="1"/>
        <n v="184881" u="1"/>
        <n v="186394" u="1"/>
        <n v="137482" u="1"/>
        <n v="75658" u="1"/>
        <n v="131179" u="1"/>
        <n v="177066" u="1"/>
        <n v="103392" u="1"/>
        <n v="244888" u="1"/>
        <n v="123184" u="1"/>
        <n v="178832" u="1"/>
        <n v="2875526" u="1"/>
        <n v="72003" u="1"/>
        <n v="81962" u="1"/>
        <n v="39334" u="1"/>
        <n v="177320" u="1"/>
        <n v="346638" u="1"/>
        <n v="75407" u="1"/>
        <n v="166983" u="1"/>
        <n v="113604" u="1"/>
        <n v="186901" u="1"/>
        <n v="123311" u="1"/>
        <n v="111083" u="1"/>
        <n v="48915" u="1"/>
        <n v="183624" u="1"/>
        <n v="38767" u="1"/>
        <n v="211106" u="1"/>
        <n v="76164" u="1"/>
        <n v="176565" u="1"/>
        <n v="180599" u="1"/>
        <n v="69987" u="1"/>
        <n v="116378" u="1"/>
        <n v="73895" u="1"/>
        <n v="183877" u="1"/>
        <n v="107302" u="1"/>
        <n v="178331" u="1"/>
        <n v="161439" u="1"/>
        <n v="179340" u="1"/>
        <n v="164717" u="1"/>
        <n v="182618" u="1"/>
        <n v="190686" u="1"/>
        <n v="53643" u="1"/>
        <n v="200267" u="1"/>
        <n v="260777" u="1"/>
        <n v="15140" u="1"/>
        <n v="108059" u="1"/>
        <n v="75031" u="1"/>
        <n v="166231" u="1"/>
        <n v="172282" u="1"/>
        <n v="187914" u="1"/>
        <n v="80704" u="1"/>
        <n v="347152" u="1"/>
        <n v="76418" u="1"/>
        <n v="156903" u="1"/>
        <n v="102513" u="1"/>
        <n v="249433" u="1"/>
        <n v="174552" u="1"/>
        <n v="139759" u="1"/>
        <n v="157912" u="1"/>
        <n v="165728" u="1"/>
        <n v="183125" u="1"/>
        <n v="40092" u="1"/>
        <n v="81209" u="1"/>
        <n v="70998" u="1"/>
        <n v="174301" u="1"/>
        <n v="240862" u="1"/>
        <n v="211868" u="1"/>
        <n v="108817" u="1"/>
        <n v="166738" u="1"/>
        <n v="170772" u="1"/>
        <n v="249183" u="1"/>
        <n v="102262" u="1"/>
        <n v="124449" u="1"/>
        <n v="242880" u="1"/>
        <n v="102136" u="1"/>
        <n v="192203" u="1"/>
        <n v="73646" u="1"/>
        <n v="347158" u="1"/>
        <n v="207583" u="1"/>
        <n v="285640" u="1"/>
        <n v="144300" u="1"/>
        <n v="109070" u="1"/>
        <n v="163714" u="1"/>
        <n v="76672" u="1"/>
        <n v="82597" u="1"/>
        <n v="185145" u="1"/>
        <n v="100246" u="1"/>
        <n v="186154" u="1"/>
        <n v="110079" u="1"/>
        <n v="179851" u="1"/>
        <n v="171531" u="1"/>
        <n v="254228" u="1"/>
        <n v="800" u="1"/>
        <n v="271021" u="1"/>
        <n v="263458" u="1"/>
        <n v="37887" u="1"/>
        <n v="260532" u="1"/>
        <n v="74656" u="1"/>
        <n v="94826" u="1"/>
        <n v="74530" u="1"/>
        <n v="346660" u="1"/>
        <n v="74404" u="1"/>
        <n v="94574" u="1"/>
        <n v="74152" u="1"/>
        <n v="170524" u="1"/>
        <n v="247170" u="1"/>
        <n v="116383" u="1"/>
        <n v="104155" u="1"/>
        <n v="128107" u="1"/>
        <n v="171533" u="1"/>
        <n v="79573" u="1"/>
        <n v="105794" u="1"/>
        <n v="138757" u="1"/>
        <n v="166995" u="1"/>
        <n v="173046" u="1"/>
        <n v="183131" u="1"/>
        <n v="131698" u="1"/>
        <n v="182123" u="1"/>
        <n v="147330" u="1"/>
        <n v="193721" u="1"/>
        <n v="270018" u="1"/>
        <n v="122687" u="1"/>
        <n v="192713" u="1"/>
        <n v="44443" u="1"/>
        <n v="248433" u="1"/>
        <n v="75540" u="1"/>
        <n v="93693" u="1"/>
        <n v="103652" u="1"/>
        <n v="164980" u="1"/>
        <n v="109577" u="1"/>
        <n v="218179" u="1"/>
        <n v="194732" u="1"/>
        <n v="210868" u="1"/>
        <n v="147837" u="1"/>
        <n v="75541" u="1"/>
        <n v="167251" u="1"/>
        <n v="146325" u="1"/>
        <n v="68356" u="1"/>
        <n v="241377" u="1"/>
        <n v="80206" u="1"/>
        <n v="74029" u="1"/>
        <n v="269523" u="1"/>
        <n v="38393" u="1"/>
        <n v="67600" u="1"/>
        <n v="183389" u="1"/>
        <n v="207089" u="1"/>
        <n v="75164" u="1"/>
        <n v="113361" u="1"/>
        <n v="346675" u="1"/>
        <n v="52008" u="1"/>
        <n v="187928" u="1"/>
        <n v="181625" u="1"/>
        <n v="104033" u="1"/>
        <n v="81720" u="1"/>
        <n v="346678" u="1"/>
        <n v="39213" u="1"/>
        <n v="107563" u="1"/>
        <n v="174567" u="1"/>
        <n v="208352" u="1"/>
        <n v="74787" u="1"/>
        <n v="107059" u="1"/>
        <n v="198015" u="1"/>
        <n v="78695" u="1"/>
        <n v="38709" u="1"/>
        <n v="50811" u="1"/>
        <n v="255500" u="1"/>
        <n v="16514" u="1"/>
        <n v="42617" u="1"/>
        <n v="198268" u="1"/>
        <n v="107816" u="1"/>
        <n v="137002" u="1"/>
        <n v="177090" u="1"/>
        <n v="249450" u="1"/>
        <n v="206841" u="1"/>
        <n v="180368" u="1"/>
        <n v="184402" u="1"/>
        <n v="52072" u="1"/>
        <n v="176082" u="1"/>
        <n v="80587" u="1"/>
        <n v="185159" u="1"/>
        <n v="74284" u="1"/>
        <n v="72141" u="1"/>
        <n v="45580" u="1"/>
        <n v="106304" u="1"/>
        <n v="191967" u="1"/>
        <n v="45391" u="1"/>
        <n v="262476" u="1"/>
        <n v="71385" u="1"/>
        <n v="207347" u="1"/>
        <n v="182891" u="1"/>
        <n v="172554" u="1"/>
        <n v="70377" u="1"/>
        <n v="96472" u="1"/>
        <n v="180623" u="1"/>
        <n v="107944" u="1"/>
        <n v="201802" u="1"/>
        <n v="177346" u="1"/>
        <n v="77437" u="1"/>
        <n v="101515" u="1"/>
        <n v="162219" u="1"/>
        <n v="82984" u="1"/>
        <n v="119290" u="1"/>
        <n v="129123" u="1"/>
        <n v="112861" u="1"/>
        <n v="157177" u="1"/>
        <n v="128871" u="1"/>
        <n v="14196" u="1"/>
        <n v="178860" u="1"/>
        <n v="250464" u="1"/>
        <n v="77690" u="1"/>
        <n v="126098" u="1"/>
        <n v="181382" u="1"/>
        <n v="73404" u="1"/>
        <n v="134235" u="1"/>
        <n v="184408" u="1"/>
        <n v="270049" u="1"/>
        <n v="103155" u="1"/>
        <n v="105172" u="1"/>
        <n v="256768" u="1"/>
        <n v="1000" u="1"/>
        <n v="173567" u="1"/>
        <n v="175584" u="1"/>
        <n v="248953" u="1"/>
        <n v="102147" u="1"/>
        <n v="56549" u="1"/>
        <n v="145582" u="1"/>
        <n v="129881" u="1"/>
        <n v="166761" u="1"/>
        <n v="148104" u="1"/>
        <n v="271567" u="1"/>
        <n v="138524" u="1"/>
        <n v="78070" u="1"/>
        <n v="1563" u="1"/>
        <n v="75801" u="1"/>
        <n v="169788" u="1"/>
        <n v="171805" u="1"/>
        <n v="75675" u="1"/>
        <n v="177604" u="1"/>
        <n v="346702" u="1"/>
        <n v="113746" u="1"/>
        <n v="71137" u="1"/>
        <n v="127487" u="1"/>
        <n v="180126" u="1"/>
        <n v="210381" u="1"/>
        <n v="44952" u="1"/>
        <n v="114881" u="1"/>
        <n v="178614" u="1"/>
        <n v="162226" u="1"/>
        <n v="93829" u="1"/>
        <n v="169286" u="1"/>
        <n v="209626" u="1"/>
        <n v="125471" u="1"/>
        <n v="173825" u="1"/>
        <n v="133233" u="1"/>
        <n v="254253" u="1"/>
        <n v="128875" u="1"/>
        <n v="73786" u="1"/>
        <n v="157690" u="1"/>
        <n v="124085" u="1"/>
        <n v="167019" u="1"/>
        <n v="183155" u="1"/>
        <n v="140546" u="1"/>
        <n v="127615" u="1"/>
        <n v="244422" u="1"/>
        <n v="264519" u="1"/>
        <n v="110849" u="1"/>
        <n v="163238" u="1"/>
        <n v="346712" u="1"/>
        <n v="253247" u="1"/>
        <n v="118035" u="1"/>
        <n v="268555" u="1"/>
        <n v="121817" u="1"/>
        <n v="101521" u="1"/>
        <n v="46088" u="1"/>
        <n v="346715" u="1"/>
        <n v="72905" u="1"/>
        <n v="72779" u="1"/>
        <n v="179880" u="1"/>
        <n v="41865" u="1"/>
        <n v="82738" u="1"/>
        <n v="207866" u="1"/>
        <n v="156937" u="1"/>
        <n v="126230" u="1"/>
        <n v="242408" u="1"/>
        <n v="179629" u="1"/>
        <n v="113876" u="1"/>
        <n v="99379" u="1"/>
        <n v="71015" u="1"/>
        <n v="200304" u="1"/>
        <n v="78831" u="1"/>
        <n v="127239" u="1"/>
        <n v="108960" u="1"/>
        <n v="217701" u="1"/>
        <n v="264023" u="1"/>
        <n v="48799" u="1"/>
        <n v="170806" u="1"/>
        <n v="70007" u="1"/>
        <n v="346721" u="1"/>
        <n v="40416" u="1"/>
        <n v="114129" u="1"/>
        <n v="123836" u="1"/>
        <n v="77319" u="1"/>
        <n v="180388" u="1"/>
        <n v="170051" u="1"/>
        <n v="245689" u="1"/>
        <n v="102532" u="1"/>
        <n v="346725" u="1"/>
        <n v="248211" u="1"/>
        <n v="127997" u="1"/>
        <n v="177112" u="1"/>
        <n v="182911" u="1"/>
        <n v="162237" u="1"/>
        <n v="129132" u="1"/>
        <n v="183668" u="1"/>
        <n v="102785" u="1"/>
        <n v="207620" u="1"/>
        <n v="70135" u="1"/>
        <n v="82237" u="1"/>
        <n v="166272" u="1"/>
        <n v="42497" u="1"/>
        <n v="248213" u="1"/>
        <n v="181148" u="1"/>
        <n v="121695" u="1"/>
        <n v="286221" u="1"/>
        <n v="101147" u="1"/>
        <n v="111232" u="1"/>
        <n v="161735" u="1"/>
        <n v="165769" u="1"/>
        <n v="102912" u="1"/>
        <n v="175602" u="1"/>
        <n v="181653" u="1"/>
        <n v="167282" u="1"/>
        <n v="74170" u="1"/>
        <n v="71775" u="1"/>
        <n v="240399" u="1"/>
        <n v="244181" u="1"/>
        <n v="73540" u="1"/>
        <n v="41237" u="1"/>
        <n v="69128" u="1"/>
        <n v="176612" u="1"/>
        <n v="70893" u="1"/>
        <n v="55041" u="1"/>
        <n v="100896" u="1"/>
        <n v="183672" u="1"/>
        <n v="112620" u="1"/>
        <n v="250486" u="1"/>
        <n v="128000" u="1"/>
        <n v="73415" u="1"/>
        <n v="209138" u="1"/>
        <n v="188716" u="1"/>
        <n v="253260" u="1"/>
        <n v="101023" u="1"/>
        <n v="183422" u="1"/>
        <n v="286230" u="1"/>
        <n v="45650" u="1"/>
        <n v="130270" u="1"/>
        <n v="258556" u="1"/>
        <n v="171573" u="1"/>
        <n v="7602" u="1"/>
        <n v="109470" u="1"/>
        <n v="174095" u="1"/>
        <n v="124976" u="1"/>
        <n v="161237" u="1"/>
        <n v="171070" u="1"/>
        <n v="177121" u="1"/>
        <n v="108210" u="1"/>
        <n v="114261" u="1"/>
        <n v="124220" u="1"/>
        <n v="120060" u="1"/>
        <n v="171575" u="1"/>
        <n v="113883" u="1"/>
        <n v="136782" u="1"/>
        <n v="160986" u="1"/>
        <n v="176618" u="1"/>
        <n v="208890" u="1"/>
        <n v="46029" u="1"/>
        <n v="93083" u="1"/>
        <n v="105185" u="1"/>
        <n v="123086" u="1"/>
        <n v="112749" u="1"/>
        <n v="163004" u="1"/>
        <n v="128759" u="1"/>
        <n v="130776" u="1"/>
        <n v="243432" u="1"/>
        <n v="244693" u="1"/>
        <n v="256795" u="1"/>
        <n v="195781" u="1"/>
        <n v="242172" u="1"/>
        <n v="99765" u="1"/>
        <n v="97496" u="1"/>
        <n v="132498" u="1"/>
        <n v="107455" u="1"/>
        <n v="174603" u="1"/>
        <n v="212170" u="1"/>
        <n v="172335" u="1"/>
        <n v="150" u="1"/>
        <n v="124348" u="1"/>
        <n v="246460" u="1"/>
        <n v="256293" u="1"/>
        <n v="123970" u="1"/>
        <n v="157208" u="1"/>
        <n v="77201" u="1"/>
        <n v="129643" u="1"/>
        <n v="184690" u="1"/>
        <n v="270109" u="1"/>
        <n v="129013" u="1"/>
        <n v="41681" u="1"/>
        <n v="136031" u="1"/>
        <n v="264060" u="1"/>
        <n v="106070" u="1"/>
        <n v="157462" u="1"/>
        <n v="209904" u="1"/>
        <n v="140066" u="1"/>
        <n v="152168" u="1"/>
        <n v="180154" u="1"/>
        <n v="185953" u="1"/>
        <n v="68630" u="1"/>
        <n v="102919" u="1"/>
        <n v="209905" u="1"/>
        <n v="177381" u="1"/>
        <n v="70269" u="1"/>
        <n v="130401" u="1"/>
        <n v="95860" u="1"/>
        <n v="38278" u="1"/>
        <n v="175365" u="1"/>
        <n v="245708" u="1"/>
        <n v="129393" u="1"/>
        <n v="168054" u="1"/>
        <n v="210159" u="1"/>
        <n v="346764" u="1"/>
        <n v="76321" u="1"/>
        <n v="156709" u="1"/>
        <n v="182426" u="1"/>
        <n v="347270" u="1"/>
        <n v="73548" u="1"/>
        <n v="69388" u="1"/>
        <n v="249744" u="1"/>
        <n v="269616" u="1"/>
        <n v="73296" u="1"/>
        <n v="134271" u="1"/>
        <n v="814" u="1"/>
        <n v="178393" u="1"/>
        <n v="38972" u="1"/>
        <n v="16677" u="1"/>
        <n v="113132" u="1"/>
        <n v="52839" u="1"/>
        <n v="144609" u="1"/>
        <n v="180663" u="1"/>
        <n v="184697" u="1"/>
        <n v="241173" u="1"/>
        <n v="79852" u="1"/>
        <n v="210162" u="1"/>
        <n v="153434" u="1"/>
        <n v="173604" u="1"/>
        <n v="181168" u="1"/>
        <n v="32435" u="1"/>
        <n v="249494" u="1"/>
        <n v="113259" u="1"/>
        <n v="179908" u="1"/>
        <n v="76701" u="1"/>
        <n v="74558" u="1"/>
        <n v="163268" u="1"/>
        <n v="13710" u="1"/>
        <n v="71911" u="1"/>
        <n v="71659" u="1"/>
        <n v="124101" u="1"/>
        <n v="197306" u="1"/>
        <n v="182431" u="1"/>
        <n v="240672" u="1"/>
        <n v="157723" u="1"/>
        <n v="44898" u="1"/>
        <n v="347280" u="1"/>
        <n v="112756" u="1"/>
        <n v="126875" u="1"/>
        <n v="78341" u="1"/>
        <n v="139319" u="1"/>
        <n v="173608" u="1"/>
        <n v="67500" u="1"/>
        <n v="171339" u="1"/>
        <n v="129901" u="1"/>
        <n v="123724" u="1"/>
        <n v="129775" u="1"/>
        <n v="44142" u="1"/>
        <n v="132008" u="1"/>
        <n v="269125" u="1"/>
        <n v="123094" u="1"/>
        <n v="179660" u="1"/>
        <n v="94730" u="1"/>
        <n v="156465" u="1"/>
        <n v="248995" u="1"/>
        <n v="182182" u="1"/>
        <n v="184199" u="1"/>
        <n v="183695" u="1"/>
        <n v="169072" u="1"/>
        <n v="183191" u="1"/>
        <n v="81368" u="1"/>
        <n v="115153" u="1"/>
        <n v="129272" u="1"/>
        <n v="48870" u="1"/>
        <n v="74183" u="1"/>
        <n v="100026" u="1"/>
        <n v="75696" u="1"/>
        <n v="209414" u="1"/>
        <n v="48114" u="1"/>
        <n v="76957" u="1"/>
        <n v="109229" u="1"/>
        <n v="129399" u="1"/>
        <n v="181429" u="1"/>
        <n v="182690" u="1"/>
        <n v="257319" u="1"/>
        <n v="264092" u="1"/>
        <n v="167563" u="1"/>
        <n v="157226" u="1"/>
        <n v="71411" u="1"/>
        <n v="200" u="1"/>
        <n v="15570" u="1"/>
        <n v="180674" u="1"/>
        <n v="687" u="1"/>
        <n v="111121" u="1"/>
        <n v="50951" u="1"/>
        <n v="115029" u="1"/>
        <n v="167312" u="1"/>
        <n v="80236" u="1"/>
        <n v="76076" u="1"/>
        <n v="46476" u="1"/>
        <n v="126249" u="1"/>
        <n v="175633" u="1"/>
        <n v="169330" u="1"/>
        <n v="284267" u="1"/>
        <n v="107718" u="1"/>
        <n v="123854" u="1"/>
        <n v="171095" u="1"/>
        <n v="77085" u="1"/>
        <n v="346795" u="1"/>
        <n v="180172" u="1"/>
        <n v="170844" u="1"/>
        <n v="108475" u="1"/>
        <n v="110492" u="1"/>
        <n v="77968" u="1"/>
        <n v="210428" u="1"/>
        <n v="105954" u="1"/>
        <n v="171601" u="1"/>
        <n v="125872" u="1"/>
        <n v="75195" u="1"/>
        <n v="180678" u="1"/>
        <n v="167820" u="1"/>
        <n v="52906" u="1"/>
        <n v="68388" u="1"/>
        <n v="112762" u="1"/>
        <n v="207404" u="1"/>
        <n v="261863" u="1"/>
        <n v="72296" u="1"/>
        <n v="128772" u="1"/>
        <n v="172863" u="1"/>
        <n v="176897" u="1"/>
        <n v="246736" u="1"/>
        <n v="42443" u="1"/>
        <n v="265618" u="1"/>
        <n v="71288" u="1"/>
        <n v="99274" u="1"/>
        <n v="92971" u="1"/>
        <n v="51772" u="1"/>
        <n v="184967" u="1"/>
        <n v="124487" u="1"/>
        <n v="77466" u="1"/>
        <n v="184464" u="1"/>
        <n v="106839" u="1"/>
        <n v="80492" u="1"/>
        <n v="195306" u="1"/>
        <n v="116672" u="1"/>
        <n v="170850" u="1"/>
        <n v="166564" u="1"/>
        <n v="123984" u="1"/>
        <n v="346810" u="1"/>
        <n v="121841" u="1"/>
        <n v="178919" u="1"/>
        <n v="141605" u="1"/>
        <n v="163540" u="1"/>
        <n v="165557" u="1"/>
        <n v="185727" u="1"/>
        <n v="171104" u="1"/>
        <n v="68265" u="1"/>
        <n v="114656" u="1"/>
        <n v="178668" u="1"/>
        <n v="118186" u="1"/>
        <n v="260609" u="1"/>
        <n v="183711" u="1"/>
        <n v="71543" u="1"/>
        <n v="127767" u="1"/>
        <n v="251281" u="1"/>
        <n v="73056" u="1"/>
        <n v="158247" u="1"/>
        <n v="180434" u="1"/>
        <n v="346815" u="1"/>
        <n v="111253" u="1"/>
        <n v="111127" u="1"/>
        <n v="171611" u="1"/>
        <n v="248257" u="1"/>
        <n v="95748" u="1"/>
        <n v="173124" u="1"/>
        <n v="107598" u="1"/>
        <n v="170099" u="1"/>
        <n v="76839" u="1"/>
        <n v="43895" u="1"/>
        <n v="45912" u="1"/>
        <n v="104699" u="1"/>
        <n v="177159" u="1"/>
        <n v="182958" u="1"/>
        <n v="132281" u="1"/>
        <n v="243216" u="1"/>
        <n v="261369" u="1"/>
        <n v="184471" u="1"/>
        <n v="258596" u="1"/>
        <n v="175647" u="1"/>
        <n v="246242" u="1"/>
        <n v="179429" u="1"/>
        <n v="183463" u="1"/>
        <n v="7359" u="1"/>
        <n v="115667" u="1"/>
        <n v="74949" u="1"/>
        <n v="162033" u="1"/>
        <n v="164050" u="1"/>
        <n v="107095" u="1"/>
        <n v="185985" u="1"/>
        <n v="76336" u="1"/>
        <n v="80370" u="1"/>
        <n v="172875" u="1"/>
        <n v="40618" u="1"/>
        <n v="46606" u="1"/>
        <n v="148167" u="1"/>
        <n v="108104" u="1"/>
        <n v="111886" u="1"/>
        <n v="255825" u="1"/>
        <n v="109617" u="1"/>
        <n v="113651" u="1"/>
        <n v="117685" u="1"/>
        <n v="109365" u="1"/>
        <n v="158253" u="1"/>
        <n v="135058" u="1"/>
        <n v="181449" u="1"/>
        <n v="189517" u="1"/>
        <n v="346828" u="1"/>
        <n v="172625" u="1"/>
        <n v="190274" u="1"/>
        <n v="101928" u="1"/>
        <n v="270688" u="1"/>
        <n v="107853" u="1"/>
        <n v="128023" u="1"/>
        <n v="179181" u="1"/>
        <n v="183215" u="1"/>
        <n v="55116" u="1"/>
        <n v="95121" u="1"/>
        <n v="112896" u="1"/>
        <n v="134808" u="1"/>
        <n v="114535" u="1"/>
        <n v="162542" u="1"/>
        <n v="182712" u="1"/>
        <n v="184225" u="1"/>
        <n v="104072" u="1"/>
        <n v="71674" u="1"/>
        <n v="156996" u="1"/>
        <n v="95374" u="1"/>
        <n v="249274" u="1"/>
        <n v="247005" u="1"/>
        <n v="58079" u="1"/>
        <n v="183470" u="1"/>
        <n v="347341" u="1"/>
        <n v="96005" u="1"/>
        <n v="81760" u="1"/>
        <n v="191791" u="1"/>
        <n v="185236" u="1"/>
        <n v="174899" u="1"/>
        <n v="78987" u="1"/>
        <n v="190027" u="1"/>
        <n v="80626" u="1"/>
        <n v="108360" u="1"/>
        <n v="168345" u="1"/>
        <n v="208685" u="1"/>
        <n v="77727" u="1"/>
        <n v="133300" u="1"/>
        <n v="167337" u="1"/>
        <n v="248017" u="1"/>
        <n v="71172" u="1"/>
        <n v="176414" u="1"/>
        <n v="180448" u="1"/>
        <n v="286333" u="1"/>
        <n v="80879" u="1"/>
        <n v="102814" u="1"/>
        <n v="268181" u="1"/>
        <n v="37721" u="1"/>
        <n v="250792" u="1"/>
        <n v="171625" u="1"/>
        <n v="113908" u="1"/>
        <n v="43142" u="1"/>
        <n v="71047" u="1"/>
        <n v="129414" u="1"/>
        <n v="165827" u="1"/>
        <n v="212218" u="1"/>
        <n v="100168" u="1"/>
        <n v="171627" u="1"/>
        <n v="73569" u="1"/>
        <n v="75586" u="1"/>
        <n v="77477" u="1"/>
        <n v="163055" u="1"/>
        <n v="241718" u="1"/>
        <n v="111640" u="1"/>
        <n v="184990" u="1"/>
        <n v="178435" u="1"/>
        <n v="169863" u="1"/>
        <n v="74704" u="1"/>
        <n v="82772" u="1"/>
        <n v="347356" u="1"/>
        <n v="173393" u="1"/>
        <n v="76469" u="1"/>
        <n v="152467" u="1"/>
        <n v="102186" u="1"/>
        <n v="120213" u="1"/>
        <n v="128281" u="1"/>
        <n v="141626" u="1"/>
        <n v="173646" u="1"/>
        <n v="177428" u="1"/>
        <n v="175159" u="1"/>
        <n v="39172" u="1"/>
        <n v="172386" u="1"/>
        <n v="346855" u="1"/>
        <n v="99035" u="1"/>
        <n v="101052" u="1"/>
        <n v="105086" u="1"/>
        <n v="80756" u="1"/>
        <n v="209953" u="1"/>
        <n v="70545" u="1"/>
        <n v="100" u="1"/>
        <n v="76092" u="1"/>
        <n v="147931" u="1"/>
        <n v="267186" u="1"/>
        <n v="48438" u="1"/>
        <n v="122105" u="1"/>
        <n v="177430" u="1"/>
        <n v="138855" u="1"/>
        <n v="79370" u="1"/>
        <n v="81009" u="1"/>
        <n v="163816" u="1"/>
        <n v="175918" u="1"/>
        <n v="39614" u="1"/>
        <n v="78236" u="1"/>
        <n v="168607" u="1"/>
        <n v="242732" u="1"/>
        <n v="175415" u="1"/>
        <n v="117820" u="1"/>
        <n v="313582" u="1"/>
        <n v="41064" u="1"/>
        <n v="192308" u="1"/>
        <n v="51023" u="1"/>
        <n v="137597" u="1"/>
        <n v="127023" u="1"/>
        <n v="94499" u="1"/>
        <n v="140623" u="1"/>
        <n v="211218" u="1"/>
        <n v="78237" u="1"/>
        <n v="102315" u="1"/>
        <n v="202646" u="1"/>
        <n v="112274" u="1"/>
        <n v="135833" u="1"/>
        <n v="2269" u="1"/>
        <n v="122107" u="1"/>
        <n v="137346" u="1"/>
        <n v="180964" u="1"/>
        <n v="270725" u="1"/>
        <n v="198613" u="1"/>
        <n v="261140" u="1"/>
        <n v="72817" u="1"/>
        <n v="125259" u="1"/>
        <n v="111014" u="1"/>
        <n v="110888" u="1"/>
        <n v="96391" u="1"/>
        <n v="73826" u="1"/>
        <n v="51402" u="1"/>
        <n v="71557" u="1"/>
        <n v="103829" u="1"/>
        <n v="49196" u="1"/>
        <n v="74457" u="1"/>
        <n v="110637" u="1"/>
        <n v="245511" u="1"/>
        <n v="182480" u="1"/>
        <n v="120344" u="1"/>
        <n v="162058" u="1"/>
        <n v="52537" u="1"/>
        <n v="246016" u="1"/>
        <n v="346874" u="1"/>
        <n v="38166" u="1"/>
        <n v="207189" u="1"/>
        <n v="68911" u="1"/>
        <n v="131804" u="1"/>
        <n v="127278" u="1"/>
        <n v="165841" u="1"/>
        <n v="246269" u="1"/>
        <n v="96771" u="1"/>
        <n v="100679" u="1"/>
        <n v="74080" u="1"/>
        <n v="92233" u="1"/>
        <n v="180213" u="1"/>
        <n v="132562" u="1"/>
        <n v="174667" u="1"/>
        <n v="208956" u="1"/>
        <n v="107235" u="1"/>
        <n v="78745" u="1"/>
        <n v="193577" u="1"/>
        <n v="44722" u="1"/>
        <n v="158280" u="1"/>
        <n v="181728" u="1"/>
        <n v="346882" u="1"/>
        <n v="161054" u="1"/>
        <n v="184502" u="1"/>
        <n v="180216" u="1"/>
        <n v="113161" u="1"/>
        <n v="92739" u="1"/>
        <n v="132817" u="1"/>
        <n v="182738" u="1"/>
        <n v="37537" u="1"/>
        <n v="176183" u="1"/>
        <n v="248795" u="1"/>
        <n v="53547" u="1"/>
        <n v="263180" u="1"/>
        <n v="75721" u="1"/>
        <n v="181478" u="1"/>
        <n v="127911" u="1"/>
        <n v="253586" u="1"/>
        <n v="156518" u="1"/>
        <n v="107363" u="1"/>
        <n v="207952" u="1"/>
        <n v="74587" u="1"/>
        <n v="131063" u="1"/>
        <n v="187530" u="1"/>
        <n v="170890" u="1"/>
        <n v="122617" u="1"/>
        <n v="112406" u="1"/>
        <n v="20498" u="1"/>
        <n v="75848" u="1"/>
        <n v="103834" u="1"/>
        <n v="210979" u="1"/>
        <n v="176438" u="1"/>
        <n v="70680" u="1"/>
        <n v="98918" u="1"/>
        <n v="173413" u="1"/>
        <n v="207450" u="1"/>
        <n v="172657" u="1"/>
        <n v="176691" u="1"/>
        <n v="206946" u="1"/>
        <n v="136099" u="1"/>
        <n v="220813" u="1"/>
        <n v="149966" u="1"/>
        <n v="130182" u="1"/>
        <n v="175683" u="1"/>
        <n v="130056" u="1"/>
        <n v="97658" u="1"/>
        <n v="104970" u="1"/>
        <n v="179718" u="1"/>
        <n v="78623" u="1"/>
        <n v="163078" u="1"/>
        <n v="209469" u="1"/>
        <n v="38673" u="1"/>
        <n v="182996" u="1"/>
        <n v="75598" u="1"/>
        <n v="52351" u="1"/>
        <n v="171147" u="1"/>
        <n v="249558" u="1"/>
        <n v="95264" u="1"/>
        <n v="186527" u="1"/>
        <n v="153751" u="1"/>
        <n v="141397" u="1"/>
        <n v="174930" u="1"/>
        <n v="266726" u="1"/>
        <n v="347406" u="1"/>
        <n v="179469" u="1"/>
        <n v="181486" u="1"/>
        <n v="71439" u="1"/>
        <n v="75347" u="1"/>
        <n v="253342" u="1"/>
        <n v="129554" u="1"/>
        <n v="196614" u="1"/>
        <n v="38863" u="1"/>
        <n v="50839" u="1"/>
        <n v="156779" u="1"/>
        <n v="168881" u="1"/>
        <n v="122621" u="1"/>
        <n v="48633" u="1"/>
        <n v="71944" u="1"/>
        <n v="73961" u="1"/>
        <n v="110267" u="1"/>
        <n v="186278" u="1"/>
        <n v="44473" u="1"/>
        <n v="171655" u="1"/>
        <n v="252335" u="1"/>
        <n v="38296" u="1"/>
        <n v="73331" u="1"/>
        <n v="178967" u="1"/>
        <n v="129681" u="1"/>
        <n v="75096" u="1"/>
        <n v="157285" u="1"/>
        <n v="265220" u="1"/>
        <n v="53739" u="1"/>
        <n v="170144" u="1"/>
        <n v="248555" u="1"/>
        <n v="129808" u="1"/>
        <n v="176952" u="1"/>
        <n v="183003" u="1"/>
        <n v="255615" u="1"/>
        <n v="121614" u="1"/>
        <n v="49012" u="1"/>
        <n v="167876" u="1"/>
        <n v="248304" u="1"/>
        <n v="126909" u="1"/>
        <n v="171154" u="1"/>
        <n v="40566" u="1"/>
        <n v="71946" u="1"/>
        <n v="137874" u="1"/>
        <n v="149976" u="1"/>
        <n v="243767" u="1"/>
        <n v="103588" u="1"/>
        <n v="166617" u="1"/>
        <n v="257130" u="1"/>
        <n v="210487" u="1"/>
        <n v="287919" u="1"/>
        <n v="74342" u="1"/>
        <n v="192839" u="1"/>
        <n v="172165" u="1"/>
        <n v="190318" u="1"/>
        <n v="179981" u="1"/>
        <n v="246542" u="1"/>
        <n v="185780" u="1"/>
        <n v="179477" u="1"/>
        <n v="211749" u="1"/>
        <n v="185024" u="1"/>
        <n v="197126" u="1"/>
        <n v="127667" u="1"/>
        <n v="249064" u="1"/>
        <n v="127037" u="1"/>
        <n v="185529" u="1"/>
        <n v="180487" u="1"/>
        <n v="208725" u="1"/>
        <n v="161578" u="1"/>
        <n v="75478" u="1"/>
        <n v="123886" u="1"/>
        <n v="140904" u="1"/>
        <n v="101573" u="1"/>
        <n v="249318" u="1"/>
        <n v="44034" u="1"/>
        <n v="37920" u="1"/>
        <n v="171916" u="1"/>
        <n v="184018" u="1"/>
        <n v="53930" u="1"/>
        <n v="104725" u="1"/>
        <n v="82286" u="1"/>
        <n v="180489" u="1"/>
        <n v="43530" u="1"/>
        <n v="75983" u="1"/>
        <n v="346422" u="1"/>
        <n v="176708" u="1"/>
        <n v="83043" u="1"/>
        <n v="113298" u="1"/>
        <n v="182255" u="1"/>
        <n v="209989" u="1"/>
        <n v="76362" u="1"/>
        <n v="73967" u="1"/>
        <n v="110147" u="1"/>
        <n v="103970" u="1"/>
        <n v="177466" u="1"/>
        <n v="181248" u="1"/>
        <n v="69177" u="1"/>
        <n v="77245" u="1"/>
        <n v="93381" u="1"/>
        <n v="111534" u="1"/>
        <n v="105231" u="1"/>
        <n v="53868" u="1"/>
        <n v="80397" u="1"/>
        <n v="74220" u="1"/>
        <n v="100441" u="1"/>
        <n v="78002" u="1"/>
        <n v="346429" u="1"/>
        <n v="181754" u="1"/>
        <n v="75481" u="1"/>
        <n v="125528" u="1"/>
        <n v="172426" u="1"/>
        <n v="81028" u="1"/>
        <n v="147718" u="1"/>
        <n v="123007" u="1"/>
        <n v="72456" u="1"/>
        <n v="72078" u="1"/>
        <n v="71826" u="1"/>
        <n v="212263" u="1"/>
        <n v="243527" u="1"/>
        <n v="121495" u="1"/>
        <n v="156292" u="1"/>
        <n v="346939" u="1"/>
        <n v="125151" u="1"/>
        <n v="80525" u="1"/>
        <n v="96661" u="1"/>
        <n v="247814" u="1"/>
        <n v="267773" u="1"/>
        <n v="53806" u="1"/>
        <n v="124521" u="1"/>
        <n v="174194" u="1"/>
        <n v="254622" u="1"/>
        <n v="212013" u="1"/>
        <n v="79643" u="1"/>
        <n v="346942" u="1"/>
        <n v="51348" u="1"/>
        <n v="111789" u="1"/>
        <n v="286937" u="1"/>
        <n v="254875" u="1"/>
        <n v="173943" u="1"/>
        <n v="113050" u="1"/>
        <n v="131334" u="1"/>
        <n v="40822" u="1"/>
        <n v="80022" u="1"/>
        <n v="183777" u="1"/>
        <n v="175457" u="1"/>
        <n v="81535" u="1"/>
        <n v="167137" u="1"/>
        <n v="15827" u="1"/>
        <n v="166633" u="1"/>
        <n v="134109" u="1"/>
        <n v="182517" u="1"/>
        <n v="346947" u="1"/>
        <n v="176214" u="1"/>
        <n v="117085" u="1"/>
        <n v="181761" u="1"/>
        <n v="120741" u="1"/>
        <n v="124775" u="1"/>
        <n v="158566" u="1"/>
        <n v="174450" u="1"/>
        <n v="131589" u="1"/>
        <n v="183527" u="1"/>
        <n v="75359" u="1"/>
        <n v="71199" u="1"/>
        <n v="73090" u="1"/>
        <n v="148230" u="1"/>
        <n v="184536" u="1"/>
        <n v="125406" u="1"/>
        <n v="109144" u="1"/>
        <n v="169913" u="1"/>
        <n v="44920" u="1"/>
        <n v="80654" u="1"/>
        <n v="82671" u="1"/>
        <n v="40760" u="1"/>
        <n v="82419" u="1"/>
        <n v="247064" u="1"/>
        <n v="252863" u="1"/>
        <n v="77881" u="1"/>
        <n v="190084" u="1"/>
        <n v="77755" u="1"/>
        <n v="171679" u="1"/>
        <n v="210002" u="1"/>
        <n v="252359" u="1"/>
        <n v="75360" u="1"/>
        <n v="251603" u="1"/>
        <n v="76999" u="1"/>
        <n v="157561" u="1"/>
        <n v="288967" u="1"/>
        <n v="129063" u="1"/>
        <n v="78512" u="1"/>
        <n v="144955" u="1"/>
        <n v="176723" u="1"/>
        <n v="15654" u="1"/>
        <n v="265269" u="1"/>
        <n v="69562" u="1"/>
        <n v="124021" u="1"/>
        <n v="183531" u="1"/>
        <n v="178741" u="1"/>
        <n v="194373" u="1"/>
        <n v="163866" u="1"/>
        <n v="74731" u="1"/>
        <n v="171430" u="1"/>
        <n v="181515" u="1"/>
        <n v="247572" u="1"/>
        <n v="170674" u="1"/>
        <n v="259422" u="1"/>
        <n v="184037" u="1"/>
        <n v="112046" u="1"/>
        <n v="123770" u="1"/>
        <n v="77127" u="1"/>
        <n v="37988" u="1"/>
        <n v="212528" u="1"/>
        <n v="175466" u="1"/>
        <n v="108643" u="1"/>
        <n v="347470" u="1"/>
        <n v="161348" u="1"/>
        <n v="75237" u="1"/>
        <n v="150255" u="1"/>
        <n v="184544" u="1"/>
        <n v="125158" u="1"/>
        <n v="120872" u="1"/>
        <n v="174712" u="1"/>
        <n v="38493" u="1"/>
        <n v="69943" u="1"/>
        <n v="73851" u="1"/>
        <n v="92004" u="1"/>
        <n v="127932" u="1"/>
        <n v="175217" u="1"/>
        <n v="189084" u="1"/>
        <n v="71078" u="1"/>
        <n v="127428" u="1"/>
        <n v="149753" u="1"/>
        <n v="165637" u="1"/>
        <n v="102468" u="1"/>
        <n v="182782" u="1"/>
        <n v="253125" u="1"/>
        <n v="158074" u="1"/>
        <n v="71709" u="1"/>
        <n v="73222" u="1"/>
        <n v="107007" u="1"/>
        <n v="70449" u="1"/>
        <n v="100452" u="1"/>
        <n v="138410" u="1"/>
        <n v="44608" u="1"/>
        <n v="76122" u="1"/>
        <n v="286467" u="1"/>
        <n v="110159" u="1"/>
        <n v="268819" u="1"/>
        <n v="161102" u="1"/>
        <n v="183289" u="1"/>
        <n v="73349" u="1"/>
        <n v="187071" u="1"/>
        <n v="201190" u="1"/>
        <n v="174717" u="1"/>
        <n v="115454" u="1"/>
        <n v="284452" u="1"/>
        <n v="116967" u="1"/>
        <n v="181525" u="1"/>
        <n v="346980" u="1"/>
        <n v="346476" u="1"/>
        <n v="134630" u="1"/>
        <n v="76249" u="1"/>
        <n v="202452" u="1"/>
        <n v="186064" u="1"/>
        <n v="197914" u="1"/>
        <n v="180266" u="1"/>
        <n v="42970" u="1"/>
        <n v="184048" u="1"/>
        <n v="129196" u="1"/>
        <n v="161609" u="1"/>
        <n v="183796" u="1"/>
        <n v="211782" u="1"/>
        <n v="42781" u="1"/>
        <n v="266809" u="1"/>
        <n v="110413" u="1"/>
        <n v="114321" u="1"/>
        <n v="81923" u="1"/>
        <n v="165896" u="1"/>
      </sharedItems>
    </cacheField>
    <cacheField name="Insira a foto do hodômetro inicial" numFmtId="0">
      <sharedItems containsBlank="1"/>
    </cacheField>
    <cacheField name="Informe o KM final do dia" numFmtId="0">
      <sharedItems containsSemiMixedTypes="0" containsString="0" containsNumber="1" containsInteger="1" minValue="0" maxValue="1211514" count="2314">
        <n v="105788"/>
        <n v="213022"/>
        <n v="172848"/>
        <n v="185504"/>
        <n v="167625"/>
        <n v="105831"/>
        <n v="213630"/>
        <n v="185564"/>
        <n v="167732"/>
        <n v="105850"/>
        <n v="151755"/>
        <n v="105938"/>
        <n v="185593"/>
        <n v="168055"/>
        <n v="173040"/>
        <n v="185643"/>
        <n v="221889"/>
        <n v="159149"/>
        <n v="185709"/>
        <n v="117506"/>
        <n v="159414"/>
        <n v="168215"/>
        <n v="173401"/>
        <n v="185799"/>
        <n v="117599"/>
        <n v="167982"/>
        <n v="168251"/>
        <n v="173510"/>
        <n v="105978"/>
        <n v="185861"/>
        <n v="168360"/>
        <n v="173601"/>
        <n v="117852"/>
        <n v="186075"/>
        <n v="117979"/>
        <n v="118048"/>
        <n v="106037"/>
        <n v="106074"/>
        <n v="186244"/>
        <n v="186271"/>
        <n v="118169"/>
        <n v="173852"/>
        <n v="186306"/>
        <n v="118341"/>
        <n v="168479"/>
        <n v="173935"/>
        <n v="118690"/>
        <n v="168556"/>
        <n v="106294"/>
        <n v="186535"/>
        <n v="160553"/>
        <n v="118931"/>
        <n v="174108"/>
        <n v="186761"/>
        <n v="160992"/>
        <n v="168628"/>
        <n v="238004"/>
        <n v="186837"/>
        <n v="119323"/>
        <n v="168973"/>
        <n v="161321"/>
        <n v="169011"/>
        <n v="238246"/>
        <n v="186895"/>
        <n v="119420"/>
        <n v="119665"/>
        <n v="169070"/>
        <n v="187112"/>
        <n v="119931"/>
        <n v="238353"/>
        <n v="187171"/>
        <n v="120017"/>
        <n v="56555"/>
        <n v="187393"/>
        <n v="99495"/>
        <n v="120139"/>
        <n v="169277"/>
        <n v="56587"/>
        <n v="74851"/>
        <n v="187611"/>
        <n v="197296"/>
        <n v="75117"/>
        <n v="187828"/>
        <n v="120611"/>
        <n v="174413"/>
        <n v="75133"/>
        <n v="188057"/>
        <n v="161964"/>
        <n v="188096"/>
        <n v="99857"/>
        <n v="56769"/>
        <n v="188131"/>
        <n v="303109"/>
        <n v="56924"/>
        <n v="188157"/>
        <n v="100091"/>
        <n v="121136"/>
        <n v="174463"/>
        <n v="188220"/>
        <n v="162741"/>
        <n v="100196"/>
        <n v="121255"/>
        <n v="169407"/>
        <n v="75270"/>
        <n v="163107"/>
        <n v="100221"/>
        <n v="169567"/>
        <n v="174563"/>
        <n v="188265"/>
        <n v="100397"/>
        <n v="121683"/>
        <n v="169717"/>
        <n v="75471"/>
        <n v="188680"/>
        <n v="163461"/>
        <n v="100436"/>
        <n v="121836"/>
        <n v="169818"/>
        <n v="239822"/>
        <n v="303321"/>
        <n v="188754"/>
        <n v="163817"/>
        <n v="100559"/>
        <n v="169936"/>
        <n v="2104"/>
        <n v="76002"/>
        <n v="164298"/>
        <n v="188939"/>
        <n v="164071"/>
        <n v="100562"/>
        <n v="122276"/>
        <n v="2168"/>
        <n v="189023"/>
        <n v="100652"/>
        <n v="170038"/>
        <n v="2263"/>
        <n v="76187"/>
        <n v="189089"/>
        <n v="100698"/>
        <n v="240226"/>
        <n v="100798"/>
        <n v="2337"/>
        <n v="303428"/>
        <n v="100830"/>
        <n v="122495"/>
        <n v="303839"/>
        <n v="122672"/>
        <n v="76394"/>
        <n v="101000"/>
        <n v="122917"/>
        <n v="2806"/>
        <n v="76555"/>
        <n v="189230"/>
        <n v="164458"/>
        <n v="101112"/>
        <n v="123152"/>
        <n v="189281"/>
        <n v="303921"/>
        <n v="101182"/>
        <n v="123253"/>
        <n v="123392"/>
        <n v="304042"/>
        <n v="101251"/>
        <n v="189350"/>
        <n v="101286"/>
        <n v="124275"/>
        <n v="170166"/>
        <n v="76658"/>
        <n v="189605"/>
        <n v="304386"/>
        <n v="101586"/>
        <n v="170205"/>
        <n v="63515"/>
        <n v="76796"/>
        <n v="189667"/>
        <n v="101616"/>
        <n v="170479"/>
        <n v="128975"/>
        <n v="76960"/>
        <n v="189855"/>
        <n v="101693"/>
        <n v="170624"/>
        <n v="63818"/>
        <n v="101716"/>
        <n v="129059"/>
        <n v="165053"/>
        <n v="101741"/>
        <n v="124380"/>
        <n v="77098"/>
        <n v="190108"/>
        <n v="101819"/>
        <n v="64017"/>
        <n v="190299"/>
        <n v="101881"/>
        <n v="125202"/>
        <n v="170970"/>
        <n v="64042"/>
        <n v="165400"/>
        <n v="125365"/>
        <n v="64108"/>
        <n v="77168"/>
        <n v="190436"/>
        <n v="165648"/>
        <n v="102020"/>
        <n v="170998"/>
        <n v="64188"/>
        <n v="190547"/>
        <n v="165874"/>
        <n v="125660"/>
        <n v="77300"/>
        <n v="190713"/>
        <n v="304506"/>
        <n v="102119"/>
        <n v="125745"/>
        <n v="171214"/>
        <n v="64305"/>
        <n v="190719"/>
        <n v="304538"/>
        <n v="171245"/>
        <n v="64385"/>
        <n v="190808"/>
        <n v="304780"/>
        <n v="102262"/>
        <n v="59723"/>
        <n v="77397"/>
        <n v="190842"/>
        <n v="171421"/>
        <n v="59831"/>
        <n v="77415"/>
        <n v="190880"/>
        <n v="102344"/>
        <n v="102375"/>
        <n v="59877"/>
        <n v="190959"/>
        <n v="304901"/>
        <n v="102438"/>
        <n v="191136"/>
        <n v="167047"/>
        <n v="102489"/>
        <n v="126161"/>
        <n v="166375"/>
        <n v="59939"/>
        <n v="191210"/>
        <n v="102566"/>
        <n v="59988"/>
        <n v="191332"/>
        <n v="191428"/>
        <n v="102610"/>
        <n v="60069"/>
        <n v="191478"/>
        <n v="305156"/>
        <n v="102660"/>
        <n v="171626"/>
        <n v="60104"/>
        <n v="191538"/>
        <n v="102870"/>
        <n v="60149"/>
        <n v="60174"/>
        <n v="191593"/>
        <n v="305416"/>
        <n v="102984"/>
        <n v="126710"/>
        <n v="171705"/>
        <n v="60332"/>
        <n v="126895"/>
        <n v="191681"/>
        <n v="305559"/>
        <n v="167740"/>
        <n v="103105"/>
        <n v="127097"/>
        <n v="209210"/>
        <n v="191929"/>
        <n v="103211"/>
        <n v="127215"/>
        <n v="172047"/>
        <n v="209260"/>
        <n v="192203"/>
        <n v="52961"/>
        <n v="127317"/>
        <n v="172263"/>
        <n v="78556"/>
        <n v="103315"/>
        <n v="127565"/>
        <n v="103520"/>
        <n v="192370"/>
        <n v="53125"/>
        <n v="127799"/>
        <n v="172357"/>
        <n v="78727"/>
        <n v="78889"/>
        <n v="172432"/>
        <n v="192499"/>
        <n v="172479"/>
        <n v="103627"/>
        <n v="53715"/>
        <n v="79091"/>
        <n v="192589"/>
        <n v="103780"/>
        <n v="128137"/>
        <n v="79158"/>
        <n v="103753"/>
        <n v="400894"/>
        <n v="168461"/>
        <n v="103978"/>
        <n v="168779"/>
        <n v="128334"/>
        <n v="77632"/>
        <n v="23166"/>
        <n v="128664"/>
        <n v="79987"/>
        <n v="53315"/>
        <n v="104459"/>
        <n v="59865"/>
        <n v="59950"/>
        <n v="169104"/>
        <n v="128797"/>
        <n v="172510"/>
        <n v="59990"/>
        <n v="80122"/>
        <n v="104700"/>
        <n v="128903"/>
        <n v="60060"/>
        <n v="78379"/>
        <n v="24497"/>
        <n v="79002"/>
        <n v="129193"/>
        <n v="53859"/>
        <n v="169684"/>
        <n v="104795"/>
        <n v="129314"/>
        <n v="172704"/>
        <n v="60238"/>
        <n v="80349"/>
        <n v="169933"/>
        <n v="104852"/>
        <n v="129613"/>
        <n v="60288"/>
        <n v="78134"/>
        <n v="104861"/>
        <n v="129816"/>
        <n v="60316"/>
        <n v="80556"/>
        <n v="104917"/>
        <n v="173167"/>
        <n v="104999"/>
        <n v="105034"/>
        <n v="193028"/>
        <n v="105109"/>
        <n v="130171"/>
        <n v="173095"/>
        <n v="60377"/>
        <n v="193067"/>
        <n v="173168"/>
        <n v="105223"/>
        <n v="130394"/>
        <n v="60442"/>
        <n v="193637"/>
        <n v="105346"/>
        <n v="173243"/>
        <n v="193651"/>
        <n v="193733"/>
        <n v="105525"/>
        <n v="130942"/>
        <n v="173364"/>
        <n v="60641"/>
        <n v="193769"/>
        <n v="231269"/>
        <n v="60677"/>
        <n v="193805"/>
        <n v="173541"/>
        <n v="193849"/>
        <n v="105799"/>
        <n v="192711"/>
        <n v="81058"/>
        <n v="193473"/>
        <n v="131533"/>
        <n v="81423"/>
        <n v="193877"/>
        <n v="170888"/>
        <n v="105937"/>
        <n v="173964"/>
        <n v="60823"/>
        <n v="81500"/>
        <n v="194320"/>
        <n v="131753"/>
        <n v="174176"/>
        <n v="60923"/>
        <n v="61033"/>
        <n v="171117"/>
        <n v="131952"/>
        <n v="61118"/>
        <n v="54859"/>
        <n v="106080"/>
        <n v="61303"/>
        <n v="61393"/>
        <n v="194440"/>
        <n v="106210"/>
        <n v="132302"/>
        <n v="174399"/>
        <n v="61488"/>
        <n v="168115"/>
        <n v="194500"/>
        <n v="16010"/>
        <n v="106271"/>
        <n v="132442"/>
        <n v="61563"/>
        <n v="194555"/>
        <n v="106378"/>
        <n v="132559"/>
        <n v="174471"/>
        <n v="61633"/>
        <n v="194622"/>
        <n v="174615"/>
        <n v="194653"/>
        <n v="17217"/>
        <n v="171759"/>
        <n v="106537"/>
        <n v="132745"/>
        <n v="194821"/>
        <n v="172075"/>
        <n v="106598"/>
        <n v="106670"/>
        <n v="106722"/>
        <n v="175767"/>
        <n v="106830"/>
        <n v="194871"/>
        <n v="106871"/>
        <n v="175849"/>
        <n v="194915"/>
        <n v="106981"/>
        <n v="194971"/>
        <n v="107022"/>
        <n v="195005"/>
        <n v="107119"/>
        <n v="107150"/>
        <n v="195070"/>
        <n v="107229"/>
        <n v="176144"/>
        <n v="169404"/>
        <n v="195130"/>
        <n v="172424"/>
        <n v="107295"/>
        <n v="176525"/>
        <n v="195147"/>
        <n v="172669"/>
        <n v="107450"/>
        <n v="133869"/>
        <n v="195555"/>
        <n v="55163"/>
        <n v="133653"/>
        <n v="172944"/>
        <n v="107528"/>
        <n v="133996"/>
        <n v="176648"/>
        <n v="195609"/>
        <n v="165644"/>
        <n v="55823"/>
        <n v="107641"/>
        <n v="118334"/>
        <n v="195688"/>
        <n v="55877"/>
        <n v="107717"/>
        <n v="195743"/>
        <n v="14124"/>
        <n v="107823"/>
        <n v="176847"/>
        <n v="195800"/>
        <n v="134767"/>
        <n v="4391"/>
        <n v="195872"/>
        <n v="118480"/>
        <n v="195889"/>
        <n v="134422"/>
        <n v="107950"/>
        <n v="135197"/>
        <n v="177149"/>
        <n v="195915"/>
        <n v="108059"/>
        <n v="118688"/>
        <n v="196105"/>
        <n v="118895"/>
        <n v="196293"/>
        <n v="108255"/>
        <n v="135386"/>
        <n v="135519"/>
        <n v="108351"/>
        <n v="196354"/>
        <n v="196373"/>
        <n v="134624"/>
        <n v="108598"/>
        <n v="135710"/>
        <n v="177414"/>
        <n v="196419"/>
        <n v="134766"/>
        <n v="119333"/>
        <n v="196450"/>
        <n v="17914"/>
        <n v="134836"/>
        <n v="136010"/>
        <n v="119376"/>
        <n v="196483"/>
        <n v="134894"/>
        <n v="108723"/>
        <n v="177630"/>
        <n v="119452"/>
        <n v="19147"/>
        <n v="135015"/>
        <n v="173554"/>
        <n v="108846"/>
        <n v="177894"/>
        <n v="119596"/>
        <n v="135092"/>
        <n v="119756"/>
        <n v="135145"/>
        <n v="178000"/>
        <n v="173883"/>
        <n v="196701"/>
        <n v="109149"/>
        <n v="120024"/>
        <n v="174129"/>
        <n v="197162"/>
        <n v="136622"/>
        <n v="178195"/>
        <n v="176255"/>
        <n v="120173"/>
        <n v="197230"/>
        <n v="3603"/>
        <n v="136755"/>
        <n v="135536"/>
        <n v="3971"/>
        <n v="197268"/>
        <n v="109247"/>
        <n v="135664"/>
        <n v="197325"/>
        <n v="197393"/>
        <n v="135754"/>
        <n v="178480"/>
        <n v="197334"/>
        <n v="197429"/>
        <n v="120478"/>
        <n v="109337"/>
        <n v="178676"/>
        <n v="120629"/>
        <n v="197463"/>
        <n v="5499"/>
        <n v="185058"/>
        <n v="178968"/>
        <n v="109422"/>
        <n v="197567"/>
        <n v="121114"/>
        <n v="109645"/>
        <n v="136460"/>
        <n v="197630"/>
        <n v="177559"/>
        <n v="109730"/>
        <n v="136588"/>
        <n v="197795"/>
        <n v="179810"/>
        <n v="136677"/>
        <n v="1211514"/>
        <n v="178062"/>
        <n v="7193"/>
        <n v="197867"/>
        <n v="109896"/>
        <n v="179899"/>
        <n v="178348"/>
        <n v="197921"/>
        <n v="121635"/>
        <n v="110024"/>
        <n v="198030"/>
        <n v="110181"/>
        <n v="180245"/>
        <n v="137082"/>
        <n v="198047"/>
        <n v="122012"/>
        <n v="198102"/>
        <n v="138138"/>
        <n v="110316"/>
        <n v="122139"/>
        <n v="198175"/>
        <n v="138256"/>
        <n v="137535"/>
        <n v="198212"/>
        <n v="137607"/>
        <n v="198255"/>
        <n v="57011"/>
        <n v="137672"/>
        <n v="198693"/>
        <n v="135269"/>
        <n v="122397"/>
        <n v="110668"/>
        <n v="137804"/>
        <n v="58079"/>
        <n v="135400"/>
        <n v="198766"/>
        <n v="138807"/>
        <n v="110811"/>
        <n v="137852"/>
        <n v="138941"/>
        <n v="110916"/>
        <n v="122720"/>
        <n v="198841"/>
        <n v="135555"/>
        <n v="198876"/>
        <n v="135703"/>
        <n v="178622"/>
        <n v="111077"/>
        <n v="198910"/>
        <n v="122859"/>
        <n v="138309"/>
        <n v="0" u="1"/>
        <n v="167409" u="1"/>
        <n v="125919" u="1"/>
        <n v="241534" u="1"/>
        <n v="176486" u="1"/>
        <n v="113313" u="1"/>
        <n v="157829" u="1"/>
        <n v="180016" u="1"/>
        <n v="43916" u="1"/>
        <n v="195900" u="1"/>
        <n v="112935" u="1"/>
        <n v="126928" u="1"/>
        <n v="178504" u="1"/>
        <n v="252881" u="1"/>
        <n v="141694" u="1"/>
        <n v="175983" u="1"/>
        <n v="131357" u="1"/>
        <n v="75369" u="1"/>
        <n v="113692" u="1"/>
        <n v="127811" u="1"/>
        <n v="247335" u="1"/>
        <n v="162117" u="1"/>
        <n v="47005" u="1"/>
        <n v="248596" u="1"/>
        <n v="173715" u="1"/>
        <n v="212038" u="1"/>
        <n v="289003" u="1"/>
        <n v="241789" u="1"/>
        <n v="108398" u="1"/>
        <n v="42530" u="1"/>
        <n v="80034" u="1"/>
        <n v="133880" u="1"/>
        <n v="346489" u="1"/>
        <n v="157832" u="1"/>
        <n v="244563" u="1"/>
        <n v="161110" u="1"/>
        <n v="177246" u="1"/>
        <n v="38118" u="1"/>
        <n v="208762" u="1"/>
        <n v="257170" u="1"/>
        <n v="117223" u="1"/>
        <n v="169179" u="1"/>
        <n v="179264" u="1"/>
        <n v="39694" u="1"/>
        <n v="249607" u="1"/>
        <n v="166658" u="1"/>
        <n v="249355" u="1"/>
        <n v="148001" u="1"/>
        <n v="182290" u="1"/>
        <n v="4612" u="1"/>
        <n v="171953" u="1"/>
        <n v="99827" u="1"/>
        <n v="111929" u="1"/>
        <n v="75497" u="1"/>
        <n v="346494" u="1"/>
        <n v="179013" u="1"/>
        <n v="93398" u="1"/>
        <n v="100836" u="1"/>
        <n v="80288" u="1"/>
        <n v="286995" u="1"/>
        <n v="92264" u="1"/>
        <n v="172459" u="1"/>
        <n v="128444" u="1"/>
        <n v="184309" u="1"/>
        <n v="194394" u="1"/>
        <n v="98063" u="1"/>
        <n v="95920" u="1"/>
        <n v="157080" u="1"/>
        <n v="81171" u="1"/>
        <n v="105123" u="1"/>
        <n v="163888" u="1"/>
        <n v="183302" u="1"/>
        <n v="43729" u="1"/>
        <n v="209271" u="1"/>
        <n v="82180" u="1"/>
        <n v="69952" u="1"/>
        <n v="39443" u="1"/>
        <n v="53562" u="1"/>
        <n v="77516" u="1"/>
        <n v="71087" u="1"/>
        <n v="242805" u="1"/>
        <n v="74617" u="1"/>
        <n v="104872" u="1"/>
        <n v="209525" u="1"/>
        <n v="259446" u="1"/>
        <n v="124538" u="1"/>
        <n v="182548" u="1"/>
        <n v="172211" u="1"/>
        <n v="179523" u="1"/>
        <n v="211291" u="1"/>
        <n v="180280" u="1"/>
        <n v="41902" u="1"/>
        <n v="127186" u="1"/>
        <n v="173725" u="1"/>
        <n v="346508" u="1"/>
        <n v="74366" u="1"/>
        <n v="182802" u="1"/>
        <n v="70080" u="1"/>
        <n v="132125" u="1"/>
        <n v="134142" u="1"/>
        <n v="168179" u="1"/>
        <n v="102100" u="1"/>
        <n v="131117" u="1"/>
        <n v="16850" u="1"/>
        <n v="175239" u="1"/>
        <n v="346510" u="1"/>
        <n v="179021" u="1"/>
        <n v="176752" u="1"/>
        <n v="249364" u="1"/>
        <n v="103235" u="1"/>
        <n v="78905" u="1"/>
        <n v="256676" u="1"/>
        <n v="145237" u="1"/>
        <n v="128826" u="1"/>
        <n v="257181" u="1"/>
        <n v="200453" u="1"/>
        <n v="347018" u="1"/>
        <n v="134901" u="1"/>
        <n v="257938" u="1"/>
        <n v="346514" u="1"/>
        <n v="125171" u="1"/>
        <n v="289031" u="1"/>
        <n v="74494" u="1"/>
        <n v="171208" u="1"/>
        <n v="267853" u="1"/>
        <n v="193143" u="1"/>
        <n v="188857" u="1"/>
        <n v="80167" u="1"/>
        <n v="241047" u="1"/>
        <n v="158098" u="1"/>
        <n v="170200" u="1"/>
        <n v="346517" u="1"/>
        <n v="181294" u="1"/>
        <n v="189362" u="1"/>
        <n v="182555" u="1"/>
        <n v="286009" u="1"/>
        <n v="125298" u="1"/>
        <n v="248612" u="1"/>
        <n v="145493" u="1"/>
        <n v="112944" u="1"/>
        <n v="48774" u="1"/>
        <n v="52808" u="1"/>
        <n v="183060" u="1"/>
        <n v="184825" u="1"/>
        <n v="131879" u="1"/>
        <n v="265337" u="1"/>
        <n v="141460" u="1"/>
        <n v="183565" u="1"/>
        <n v="347026" u="1"/>
        <n v="129837" u="1"/>
        <n v="77269" u="1"/>
        <n v="172472" u="1"/>
        <n v="123408" u="1"/>
        <n v="129459" u="1"/>
        <n v="74874" u="1"/>
        <n v="246345" u="1"/>
        <n v="132889" u="1"/>
        <n v="211048" u="1"/>
        <n v="45560" u="1"/>
        <n v="265845" u="1"/>
        <n v="190122" u="1"/>
        <n v="73614" u="1"/>
        <n v="107903" u="1"/>
        <n v="127947" u="1"/>
        <n v="177264" u="1"/>
        <n v="257692" u="1"/>
        <n v="109542" u="1"/>
        <n v="76514" u="1"/>
        <n v="140959" u="1"/>
        <n v="176509" u="1"/>
        <n v="44489" u="1"/>
        <n v="163903" u="1"/>
        <n v="3657" u="1"/>
        <n v="73741" u="1"/>
        <n v="242062" u="1"/>
        <n v="258198" u="1"/>
        <n v="99332" u="1"/>
        <n v="58167" u="1"/>
        <n v="79036" u="1"/>
        <n v="109291" u="1"/>
        <n v="173989" u="1"/>
        <n v="175502" u="1"/>
        <n v="185335" u="1"/>
        <n v="245845" u="1"/>
        <n v="346532" u="1"/>
        <n v="181049" u="1"/>
        <n v="262323" u="1"/>
        <n v="169956" u="1"/>
        <n v="95803" u="1"/>
        <n v="113956" u="1"/>
        <n v="120007" u="1"/>
        <n v="179537" u="1"/>
        <n v="117738" u="1"/>
        <n v="162645" u="1"/>
        <n v="125554" u="1"/>
        <n v="70969" u="1"/>
        <n v="107275" u="1"/>
        <n v="130975" u="1"/>
        <n v="116730" u="1"/>
        <n v="48713" u="1"/>
        <n v="150544" u="1"/>
        <n v="78155" u="1"/>
        <n v="104250" u="1"/>
        <n v="246604" u="1"/>
        <n v="171471" u="1"/>
        <n v="175253" u="1"/>
        <n v="71348" u="1"/>
        <n v="259463" u="1"/>
        <n v="40078" u="1"/>
        <n v="174497" u="1"/>
        <n v="184078" u="1"/>
        <n v="78786" u="1"/>
        <n v="80677" u="1"/>
        <n v="100469" u="1"/>
        <n v="110554" u="1"/>
        <n v="124673" u="1"/>
        <n v="116479" u="1"/>
        <n v="174498" u="1"/>
        <n v="53504" u="1"/>
        <n v="157606" u="1"/>
        <n v="171725" u="1"/>
        <n v="121900" u="1"/>
        <n v="75131" u="1"/>
        <n v="158111" u="1"/>
        <n v="111059" u="1"/>
        <n v="123035" u="1"/>
        <n v="175508" u="1"/>
        <n v="211058" u="1"/>
        <n v="38377" u="1"/>
        <n v="180552" u="1"/>
        <n v="109295" u="1"/>
        <n v="99084" u="1"/>
        <n v="163660" u="1"/>
        <n v="249887" u="1"/>
        <n v="156853" u="1"/>
        <n v="141726" u="1"/>
        <n v="182066" u="1"/>
        <n v="161644" u="1"/>
        <n v="181814" u="1"/>
        <n v="77528" u="1"/>
        <n v="346550" u="1"/>
        <n v="81436" u="1"/>
        <n v="178789" u="1"/>
        <n v="168452" u="1"/>
        <n v="286041" u="1"/>
        <n v="111061" u="1"/>
        <n v="167444" u="1"/>
        <n v="251906" u="1"/>
        <n v="172739" u="1"/>
        <n v="78033" u="1"/>
        <n v="75890" u="1"/>
        <n v="165680" u="1"/>
        <n v="71604" u="1"/>
        <n v="177530" u="1"/>
        <n v="247873" u="1"/>
        <n v="111692" u="1"/>
        <n v="245100" u="1"/>
        <n v="347059" u="1"/>
        <n v="111314" u="1"/>
        <n v="72865" u="1"/>
        <n v="165933" u="1"/>
        <n v="109045" u="1"/>
        <n v="185851" u="1"/>
        <n v="346556" u="1"/>
        <n v="287559" u="1"/>
        <n v="72109" u="1"/>
        <n v="286551" u="1"/>
        <n v="177784" u="1"/>
        <n v="183835" u="1"/>
        <n v="126064" u="1"/>
        <n v="171481" u="1"/>
        <n v="211821" u="1"/>
        <n v="262348" u="1"/>
        <n v="347062" u="1"/>
        <n v="111819" u="1"/>
        <n v="346558" u="1"/>
        <n v="261742" u="1"/>
        <n v="262853" u="1"/>
        <n v="265879" u="1"/>
        <n v="44997" u="1"/>
        <n v="191904" u="1"/>
        <n v="94801" u="1"/>
        <n v="54893" u="1"/>
        <n v="185097" u="1"/>
        <n v="78287" u="1"/>
        <n v="114467" u="1"/>
        <n v="114089" u="1"/>
        <n v="210058" u="1"/>
        <n v="179551" u="1"/>
        <n v="2633" u="1"/>
        <n v="72993" u="1"/>
        <n v="93163" u="1"/>
        <n v="167954" u="1"/>
        <n v="107030" u="1"/>
        <n v="113081" u="1"/>
        <n v="248382" u="1"/>
        <n v="68329" u="1"/>
        <n v="162912" u="1"/>
        <n v="148289" u="1"/>
        <n v="180057" u="1"/>
        <n v="181570" u="1"/>
        <n v="195689" u="1"/>
        <n v="165182" u="1"/>
        <n v="286561" u="1"/>
        <n v="800167" u="1"/>
        <n v="78919" u="1"/>
        <n v="242585" u="1"/>
        <n v="78541" u="1"/>
        <n v="74381" u="1"/>
        <n v="112578" u="1"/>
        <n v="67700" u="1"/>
        <n v="116108" u="1"/>
        <n v="347074" u="1"/>
        <n v="117621" u="1"/>
        <n v="162663" u="1"/>
        <n v="95182" u="1"/>
        <n v="127454" u="1"/>
        <n v="183842" u="1"/>
        <n v="179556" u="1"/>
        <n v="263875" u="1"/>
        <n v="182834" u="1"/>
        <n v="260993" u="1"/>
        <n v="97956" u="1"/>
        <n v="204013" u="1"/>
        <n v="136192" u="1"/>
        <n v="346575" u="1"/>
        <n v="248640" u="1"/>
        <n v="163422" u="1"/>
        <n v="46827" u="1"/>
        <n v="102495" u="1"/>
        <n v="128716" u="1"/>
        <n v="120396" u="1"/>
        <n v="176281" u="1"/>
        <n v="96066" u="1"/>
        <n v="101739" u="1"/>
        <n v="269932" u="1"/>
        <n v="109681" u="1"/>
        <n v="75014" u="1"/>
        <n v="113337" u="1"/>
        <n v="101109" u="1"/>
        <n v="109177" u="1"/>
        <n v="171996" u="1"/>
        <n v="175778" u="1"/>
        <n v="74636" u="1"/>
        <n v="92789" u="1"/>
        <n v="100731" u="1"/>
        <n v="136951" u="1"/>
        <n v="49790" u="1"/>
        <n v="110690" u="1"/>
        <n v="253181" u="1"/>
        <n v="131909" u="1"/>
        <n v="137960" u="1"/>
        <n v="184351" u="1"/>
        <n v="186368" u="1"/>
        <n v="269431" u="1"/>
        <n v="179813" u="1"/>
        <n v="71485" u="1"/>
        <n v="39201" u="1"/>
        <n v="179057" u="1"/>
        <n v="129726" u="1"/>
        <n v="245366" u="1"/>
        <n v="71107" u="1"/>
        <n v="80940" u="1"/>
        <n v="165695" u="1"/>
        <n v="266912" u="1"/>
        <n v="264391" u="1"/>
        <n v="38760" u="1"/>
        <n v="80562" u="1"/>
        <n v="100606" u="1"/>
        <n v="145778" u="1"/>
        <n v="212339" u="1"/>
        <n v="270948" u="1"/>
        <n v="75268" u="1"/>
        <n v="141241" u="1"/>
        <n v="170740" u="1"/>
        <n v="51556" u="1"/>
        <n v="73882" u="1"/>
        <n v="187885" u="1"/>
        <n v="79681" u="1"/>
        <n v="185616" u="1"/>
        <n v="209568" u="1"/>
        <n v="245874" u="1"/>
        <n v="73378" u="1"/>
        <n v="134435" u="1"/>
        <n v="180070" u="1"/>
        <n v="147294" u="1"/>
        <n v="163430" u="1"/>
        <n v="153093" u="1"/>
        <n v="189399" u="1"/>
        <n v="74261" u="1"/>
        <n v="132419" u="1"/>
        <n v="211082" u="1"/>
        <n v="347601" u="1"/>
        <n v="70101" u="1"/>
        <n v="156371" u="1"/>
        <n v="243102" u="1"/>
        <n v="176289" u="1"/>
        <n v="180323" u="1"/>
        <n v="108046" u="1"/>
        <n v="169734" u="1"/>
        <n v="124056" u="1"/>
        <n v="185366" u="1"/>
        <n v="168978" u="1"/>
        <n v="158389" u="1"/>
        <n v="105147" u="1"/>
        <n v="107164" u="1"/>
        <n v="41661" u="1"/>
        <n v="172509" u="1"/>
        <n v="192679" u="1"/>
        <n v="257223" u="1"/>
        <n v="171753" u="1"/>
        <n v="181586" u="1"/>
        <n v="346598" u="1"/>
        <n v="209320" u="1"/>
        <n v="162425" u="1"/>
        <n v="184612" u="1"/>
        <n v="190663" u="1"/>
        <n v="186125" u="1"/>
        <n v="70733" u="1"/>
        <n v="347104" u="1"/>
        <n v="82457" u="1"/>
        <n v="177049" u="1"/>
        <n v="122671" u="1"/>
        <n v="126705" u="1"/>
        <n v="217390" u="1"/>
        <n v="83088" u="1"/>
        <n v="93047" u="1"/>
        <n v="110948" u="1"/>
        <n v="286598" u="1"/>
        <n v="163184" u="1"/>
        <n v="80441" u="1"/>
        <n v="126832" u="1"/>
        <n v="185119" u="1"/>
        <n v="158646" u="1"/>
        <n v="212601" u="1"/>
        <n v="246134" u="1"/>
        <n v="183103" u="1"/>
        <n v="347111" u="1"/>
        <n v="55151" u="1"/>
        <n v="131670" u="1"/>
        <n v="16667" u="1"/>
        <n v="42923" u="1"/>
        <n v="263911" u="1"/>
        <n v="156883" u="1"/>
        <n v="42671" u="1"/>
        <n v="172515" u="1"/>
        <n v="71744" u="1"/>
        <n v="118135" u="1"/>
        <n v="167725" u="1"/>
        <n v="181844" u="1"/>
        <n v="177558" u="1"/>
        <n v="71492" u="1"/>
        <n v="171255" u="1"/>
        <n v="75400" u="1"/>
        <n v="176298" u="1"/>
        <n v="244876" u="1"/>
        <n v="169995" u="1"/>
        <n v="70610" u="1"/>
        <n v="133185" u="1"/>
        <n v="10191" u="1"/>
        <n v="76535" u="1"/>
        <n v="76157" u="1"/>
        <n v="270471" u="1"/>
        <n v="130490" u="1"/>
        <n v="108177" u="1"/>
        <n v="193696" u="1"/>
        <n v="109816" u="1"/>
        <n v="162937" u="1"/>
        <n v="138481" u="1"/>
        <n v="184872" u="1"/>
        <n v="70989" u="1"/>
        <n v="113220" u="1"/>
        <n v="100614" u="1"/>
        <n v="176805" u="1"/>
        <n v="287115" u="1"/>
        <n v="139995" u="1"/>
        <n v="346617" u="1"/>
        <n v="73889" u="1"/>
        <n v="126205" u="1"/>
        <n v="181344" u="1"/>
        <n v="182101" u="1"/>
        <n v="196220" u="1"/>
        <n v="45824" u="1"/>
        <n v="72503" u="1"/>
        <n v="175294" u="1"/>
        <n v="183362" u="1"/>
        <n v="194708" u="1"/>
        <n v="286112" u="1"/>
        <n v="346622" u="1"/>
        <n v="168740" u="1"/>
        <n v="146049" u="1"/>
        <n v="182355" u="1"/>
        <n v="200256" u="1"/>
        <n v="68470" u="1"/>
        <n v="94691" u="1"/>
        <n v="346624" u="1"/>
        <n v="181095" u="1"/>
        <n v="205299" u="1"/>
        <n v="106541" u="1"/>
        <n v="176809" u="1"/>
        <n v="126459" u="1"/>
        <n v="135965" u="1"/>
        <n v="165968" u="1"/>
        <n v="75782" u="1"/>
        <n v="44312" u="1"/>
        <n v="69353" u="1"/>
        <n v="148572" u="1"/>
        <n v="176810" u="1"/>
        <n v="178827" u="1"/>
        <n v="77043" u="1"/>
        <n v="184122" u="1"/>
        <n v="68723" u="1"/>
        <n v="71875" u="1"/>
        <n v="75909" u="1"/>
        <n v="184123" u="1"/>
        <n v="69606" u="1"/>
        <n v="117888" u="1"/>
        <n v="107677" u="1"/>
        <n v="241356" u="1"/>
        <n v="132186" u="1"/>
        <n v="103265" u="1"/>
        <n v="137985" u="1"/>
        <n v="346631" u="1"/>
        <n v="131682" u="1"/>
        <n v="165215" u="1"/>
        <n v="240853" u="1"/>
        <n v="75658" u="1"/>
        <n v="256233" u="1"/>
        <n v="157148" u="1"/>
        <n v="103140" u="1"/>
        <n v="123310" u="1"/>
        <n v="137735" u="1"/>
        <n v="163956" u="1"/>
        <n v="197993" u="1"/>
        <n v="167486" u="1"/>
        <n v="179336" u="1"/>
        <n v="72003" u="1"/>
        <n v="81962" u="1"/>
        <n v="118268" u="1"/>
        <n v="260773" u="1"/>
        <n v="114108" u="1"/>
        <n v="171521" u="1"/>
        <n v="177320" u="1"/>
        <n v="183371" u="1"/>
        <n v="346638" u="1"/>
        <n v="75407" u="1"/>
        <n v="186901" u="1"/>
        <n v="140258" u="1"/>
        <n v="186145" u="1"/>
        <n v="48915" u="1"/>
        <n v="175556" u="1"/>
        <n v="183624" u="1"/>
        <n v="211106" u="1"/>
        <n v="76164" u="1"/>
        <n v="176565" u="1"/>
        <n v="180599" u="1"/>
        <n v="69987" u="1"/>
        <n v="98225" u="1"/>
        <n v="73895" u="1"/>
        <n v="126337" u="1"/>
        <n v="313865" u="1"/>
        <n v="183877" u="1"/>
        <n v="107302" u="1"/>
        <n v="178331" u="1"/>
        <n v="113227" u="1"/>
        <n v="49987" u="1"/>
        <n v="98982" u="1"/>
        <n v="161439" u="1"/>
        <n v="131002" u="1"/>
        <n v="164717" u="1"/>
        <n v="104403" u="1"/>
        <n v="182618" u="1"/>
        <n v="51626" u="1"/>
        <n v="53643" u="1"/>
        <n v="15140" u="1"/>
        <n v="79569" u="1"/>
        <n v="75031" u="1"/>
        <n v="166231" u="1"/>
        <n v="172282" u="1"/>
        <n v="80704" u="1"/>
        <n v="347152" u="1"/>
        <n v="330" u="1"/>
        <n v="96714" u="1"/>
        <n v="126969" u="1"/>
        <n v="76418" u="1"/>
        <n v="166736" u="1"/>
        <n v="249433" u="1"/>
        <n v="170014" u="1"/>
        <n v="165728" u="1"/>
        <n v="258510" u="1"/>
        <n v="185646" u="1"/>
        <n v="75410" u="1"/>
        <n v="136734" u="1"/>
        <n v="81209" u="1"/>
        <n v="257250" u="1"/>
        <n v="211868" u="1"/>
        <n v="41731" u="1"/>
        <n v="166738" u="1"/>
        <n v="170772" u="1"/>
        <n v="249183" u="1"/>
        <n v="124449" u="1"/>
        <n v="77932" u="1"/>
        <n v="147829" u="1"/>
        <n v="110078" u="1"/>
        <n v="73646" u="1"/>
        <n v="347158" u="1"/>
        <n v="109826" u="1"/>
        <n v="105540" u="1"/>
        <n v="53203" u="1"/>
        <n v="180102" u="1"/>
        <n v="163714" u="1"/>
        <n v="250445" u="1"/>
        <n v="76672" u="1"/>
        <n v="260026" u="1"/>
        <n v="140771" u="1"/>
        <n v="185145" u="1"/>
        <n v="182876" u="1"/>
        <n v="102263" u="1"/>
        <n v="270011" u="1"/>
        <n v="93817" u="1"/>
        <n v="171531" u="1"/>
        <n v="129997" u="1"/>
        <n v="113357" u="1"/>
        <n v="46018" u="1"/>
        <n v="263458" u="1"/>
        <n v="101003" u="1"/>
        <n v="74656" u="1"/>
        <n v="94826" u="1"/>
        <n v="74530" u="1"/>
        <n v="173297" u="1"/>
        <n v="346660" u="1"/>
        <n v="74404" u="1"/>
        <n v="94574" u="1"/>
        <n v="74152" u="1"/>
        <n v="170524" u="1"/>
        <n v="247170" u="1"/>
        <n v="184391" u="1"/>
        <n v="104155" u="1"/>
        <n v="108189" u="1"/>
        <n v="112223" u="1"/>
        <n v="187417" u="1"/>
        <n v="166995" u="1"/>
        <n v="171029" u="1"/>
        <n v="173046" u="1"/>
        <n v="183131" u="1"/>
        <n v="107307" u="1"/>
        <n v="182123" u="1"/>
        <n v="271530" u="1"/>
        <n v="187922" u="1"/>
        <n v="147330" u="1"/>
        <n v="183384" u="1"/>
        <n v="38707" u="1"/>
        <n v="261039" u="1"/>
        <n v="141532" u="1"/>
        <n v="248433" u="1"/>
        <n v="177586" u="1"/>
        <n v="75540" u="1"/>
        <n v="93693" u="1"/>
        <n v="123948" u="1"/>
        <n v="179351" u="1"/>
        <n v="103652" u="1"/>
        <n v="109703" u="1"/>
        <n v="164980" u="1"/>
        <n v="129495" u="1"/>
        <n v="218179" u="1"/>
        <n v="210868" u="1"/>
        <n v="76045" u="1"/>
        <n v="200279" u="1"/>
        <n v="122184" u="1"/>
        <n v="45389" u="1"/>
        <n v="152376" u="1"/>
        <n v="170277" u="1"/>
        <n v="173555" u="1"/>
        <n v="1100" u="1"/>
        <n v="68356" u="1"/>
        <n v="80206" u="1"/>
        <n v="44570" u="1"/>
        <n v="74029" u="1"/>
        <n v="92056" u="1"/>
        <n v="176077" u="1"/>
        <n v="173808" u="1"/>
        <n v="67600" u="1"/>
        <n v="124076" u="1"/>
        <n v="267507" u="1"/>
        <n v="207089" u="1"/>
        <n v="75164" u="1"/>
        <n v="127480" u="1"/>
        <n v="166245" u="1"/>
        <n v="346675" u="1"/>
        <n v="212384" u="1"/>
        <n v="52008" u="1"/>
        <n v="181625" u="1"/>
        <n v="248186" u="1"/>
        <n v="249951" u="1"/>
        <n v="207342" u="1"/>
        <n v="255498" u="1"/>
        <n v="180617" u="1"/>
        <n v="347181" u="1"/>
        <n v="122186" u="1"/>
        <n v="81720" u="1"/>
        <n v="107815" u="1"/>
        <n v="346678" u="1"/>
        <n v="267511" u="1"/>
        <n v="208856" u="1"/>
        <n v="83107" u="1"/>
        <n v="74787" u="1"/>
        <n v="78695" u="1"/>
        <n v="242137" u="1"/>
        <n v="112732" u="1"/>
        <n v="128868" u="1"/>
        <n v="252727" u="1"/>
        <n v="153642" u="1"/>
        <n v="285668" u="1"/>
        <n v="46210" u="1"/>
        <n v="95462" u="1"/>
        <n v="101513" u="1"/>
        <n v="182889" u="1"/>
        <n v="113489" u="1"/>
        <n v="129499" u="1"/>
        <n v="212640" u="1"/>
        <n v="52072" u="1"/>
        <n v="209867" u="1"/>
        <n v="80587" u="1"/>
        <n v="124835" u="1"/>
        <n v="74284" u="1"/>
        <n v="122692" u="1"/>
        <n v="72141" u="1"/>
        <n v="191967" u="1"/>
        <n v="71385" u="1"/>
        <n v="111599" u="1"/>
        <n v="172554" u="1"/>
        <n v="210121" u="1"/>
        <n v="347696" u="1"/>
        <n v="112860" u="1"/>
        <n v="70377" u="1"/>
        <n v="156923" u="1"/>
        <n v="96472" u="1"/>
        <n v="56611" u="1"/>
        <n v="183649" u="1"/>
        <n v="347194" u="1"/>
        <n v="177346" u="1"/>
        <n v="77437" u="1"/>
        <n v="75168" u="1"/>
        <n v="46085" u="1"/>
        <n v="48102" u="1"/>
        <n v="82984" u="1"/>
        <n v="165749" u="1"/>
        <n v="129123" u="1"/>
        <n v="181633" u="1"/>
        <n v="14196" u="1"/>
        <n v="134486" u="1"/>
        <n v="178860" u="1"/>
        <n v="180373" u="1"/>
        <n v="270047" u="1"/>
        <n v="242396" u="1"/>
        <n v="130006" u="1"/>
        <n v="171297" u="1"/>
        <n v="181382" u="1"/>
        <n v="73404" u="1"/>
        <n v="184408" u="1"/>
        <n v="179870" u="1"/>
        <n v="44888" u="1"/>
        <n v="124712" u="1"/>
        <n v="158692" u="1"/>
        <n v="248953" u="1"/>
        <n v="102147" u="1"/>
        <n v="40413" u="1"/>
        <n v="42430" u="1"/>
        <n v="56549" u="1"/>
        <n v="130007" u="1"/>
        <n v="129881" u="1"/>
        <n v="134741" u="1"/>
        <n v="243407" u="1"/>
        <n v="148104" u="1"/>
        <n v="104669" u="1"/>
        <n v="134238" u="1"/>
        <n v="78070" u="1"/>
        <n v="141802" u="1"/>
        <n v="75801" u="1"/>
        <n v="173822" u="1"/>
        <n v="175839" u="1"/>
        <n v="75675" u="1"/>
        <n v="346702" u="1"/>
        <n v="113746" u="1"/>
        <n v="71137" u="1"/>
        <n v="107443" u="1"/>
        <n v="111225" u="1"/>
        <n v="210381" u="1"/>
        <n v="44952" u="1"/>
        <n v="51003" u="1"/>
        <n v="210129" u="1"/>
        <n v="40603" u="1"/>
        <n v="122319" u="1"/>
        <n v="209626" u="1"/>
        <n v="144578" u="1"/>
        <n v="184918" u="1"/>
        <n v="284684" u="1"/>
        <n v="254253" u="1"/>
        <n v="118286" u="1"/>
        <n v="168027" u="1"/>
        <n v="157690" u="1"/>
        <n v="43251" u="1"/>
        <n v="167019" u="1"/>
        <n v="171053" u="1"/>
        <n v="183155" u="1"/>
        <n v="127615" u="1"/>
        <n v="39028" u="1"/>
        <n v="47096" u="1"/>
        <n v="163238" u="1"/>
        <n v="346712" u="1"/>
        <n v="132227" u="1"/>
        <n v="42495" u="1"/>
        <n v="120178" u="1"/>
        <n v="126229" u="1"/>
        <n v="183661" u="1"/>
        <n v="252239" u="1"/>
        <n v="268555" u="1"/>
        <n v="113875" u="1"/>
        <n v="269564" u="1"/>
        <n v="184670" u="1"/>
        <n v="188704" u="1"/>
        <n v="346715" u="1"/>
        <n v="72905" u="1"/>
        <n v="72779" u="1"/>
        <n v="179880" u="1"/>
        <n v="82738" u="1"/>
        <n v="141305" u="1"/>
        <n v="177107" u="1"/>
        <n v="110346" u="1"/>
        <n v="179629" u="1"/>
        <n v="201564" u="1"/>
        <n v="245686" u="1"/>
        <n v="97488" u="1"/>
        <n v="71015" u="1"/>
        <n v="119423" u="1"/>
        <n v="158199" u="1"/>
        <n v="137525" u="1"/>
        <n v="265031" u="1"/>
        <n v="108960" u="1"/>
        <n v="217701" u="1"/>
        <n v="70133" u="1"/>
        <n v="70007" u="1"/>
        <n v="346721" u="1"/>
        <n v="77571" u="1"/>
        <n v="199549" u="1"/>
        <n v="52203" u="1"/>
        <n v="176606" u="1"/>
        <n v="44072" u="1"/>
        <n v="170051" u="1"/>
        <n v="175346" u="1"/>
        <n v="175094" u="1"/>
        <n v="190978" u="1"/>
        <n v="346725" u="1"/>
        <n v="14654" u="1"/>
        <n v="103919" u="1"/>
        <n v="127997" u="1"/>
        <n v="125476" u="1"/>
        <n v="162237" u="1"/>
        <n v="347736" u="1"/>
        <n v="129132" u="1"/>
        <n v="207620" u="1"/>
        <n v="70135" u="1"/>
        <n v="82237" u="1"/>
        <n v="166272" u="1"/>
        <n v="202578" u="1"/>
        <n v="106063" u="1"/>
        <n v="165516" u="1"/>
        <n v="175601" u="1"/>
        <n v="248213" u="1"/>
        <n v="179131" u="1"/>
        <n v="181148" u="1"/>
        <n v="107576" u="1"/>
        <n v="134001" u="1"/>
        <n v="286221" u="1"/>
        <n v="111232" u="1"/>
        <n v="192242" u="1"/>
        <n v="102912" u="1"/>
        <n v="171568" u="1"/>
        <n v="181653" u="1"/>
        <n v="167282" u="1"/>
        <n v="37707" u="1"/>
        <n v="183166" u="1"/>
        <n v="185183" u="1"/>
        <n v="255526" u="1"/>
        <n v="74170" u="1"/>
        <n v="249223" u="1"/>
        <n v="114258" u="1"/>
        <n v="71775" u="1"/>
        <n v="73540" u="1"/>
        <n v="69128" u="1"/>
        <n v="176612" u="1"/>
        <n v="253258" u="1"/>
        <n v="347239" u="1"/>
        <n v="210397" u="1"/>
        <n v="201825" u="1"/>
        <n v="114763" u="1"/>
        <n v="112620" u="1"/>
        <n v="116150" u="1"/>
        <n v="250486" u="1"/>
        <n v="264041" u="1"/>
        <n v="73415" u="1"/>
        <n v="183169" u="1"/>
        <n v="123714" u="1"/>
        <n v="209138" u="1"/>
        <n v="109469" u="1"/>
        <n v="183422" u="1"/>
        <n v="102662" u="1"/>
        <n v="174094" u="1"/>
        <n v="130270" u="1"/>
        <n v="260573" u="1"/>
        <n v="171573" u="1"/>
        <n v="7602" u="1"/>
        <n v="176364" u="1"/>
        <n v="240656" u="1"/>
        <n v="123211" u="1"/>
        <n v="177121" u="1"/>
        <n v="268082" u="1"/>
        <n v="256793" u="1"/>
        <n v="124220" u="1"/>
        <n v="124094" u="1"/>
        <n v="171575" u="1"/>
        <n v="113883" u="1"/>
        <n v="125733" u="1"/>
        <n v="208890" u="1"/>
        <n v="258811" u="1"/>
        <n v="37898" u="1"/>
        <n v="112749" u="1"/>
        <n v="163004" u="1"/>
        <n v="180653" u="1"/>
        <n v="244693" u="1"/>
        <n v="265565" u="1"/>
        <n v="99765" u="1"/>
        <n v="132498" u="1"/>
        <n v="174603" u="1"/>
        <n v="180150" u="1"/>
        <n v="212170" u="1"/>
        <n v="165527" u="1"/>
        <n v="184689" u="1"/>
        <n v="246460" u="1"/>
        <n v="157208" u="1"/>
        <n v="171327" u="1"/>
        <n v="176874" u="1"/>
        <n v="270109" u="1"/>
        <n v="99136" u="1"/>
        <n v="169815" u="1"/>
        <n v="183934" u="1"/>
        <n v="181161" u="1"/>
        <n v="122584" u="1"/>
        <n v="182422" u="1"/>
        <n v="346757" u="1"/>
        <n v="157462" u="1"/>
        <n v="16089" u="1"/>
        <n v="162001" u="1"/>
        <n v="180154" u="1"/>
        <n v="185953" u="1"/>
        <n v="248480" u="1"/>
        <n v="68630" u="1"/>
        <n v="115021" u="1"/>
        <n v="112878" u="1"/>
        <n v="177381" u="1"/>
        <n v="70269" u="1"/>
        <n v="78211" u="1"/>
        <n v="134268" u="1"/>
        <n v="40484" u="1"/>
        <n v="130401" u="1"/>
        <n v="93213" u="1"/>
        <n v="127250" u="1"/>
        <n v="346764" u="1"/>
        <n v="76321" u="1"/>
        <n v="96491" u="1"/>
        <n v="156709" u="1"/>
        <n v="124603" u="1"/>
        <n v="168559" u="1"/>
        <n v="45464" u="1"/>
        <n v="101912" u="1"/>
        <n v="347270" u="1"/>
        <n v="73548" u="1"/>
        <n v="69388" u="1"/>
        <n v="99643" u="1"/>
        <n v="249744" u="1"/>
        <n v="73296" u="1"/>
        <n v="172594" u="1"/>
        <n v="178393" u="1"/>
        <n v="40989" u="1"/>
        <n v="208396" u="1"/>
        <n v="38846" u="1"/>
        <n v="113006" u="1"/>
        <n v="92584" u="1"/>
        <n v="124730" u="1"/>
        <n v="174612" u="1"/>
        <n v="180663" u="1"/>
        <n v="184697" u="1"/>
        <n v="241173" u="1"/>
        <n v="182176" u="1"/>
        <n v="79852" u="1"/>
        <n v="32435" u="1"/>
        <n v="174865" u="1"/>
        <n v="249494" u="1"/>
        <n v="179908" u="1"/>
        <n v="76701" u="1"/>
        <n v="117041" u="1"/>
        <n v="171588" u="1"/>
        <n v="163268" u="1"/>
        <n v="82500" u="1"/>
        <n v="71911" u="1"/>
        <n v="71659" u="1"/>
        <n v="197306" u="1"/>
        <n v="113260" u="1"/>
        <n v="157723" u="1"/>
        <n v="347280" u="1"/>
        <n v="78341" u="1"/>
        <n v="38532" u="1"/>
        <n v="173608" u="1"/>
        <n v="123976" u="1"/>
        <n v="181424" u="1"/>
        <n v="38217" u="1"/>
        <n v="101159" u="1"/>
        <n v="269125" u="1"/>
        <n v="179660" u="1"/>
        <n v="37587" u="1"/>
        <n v="156465" u="1"/>
        <n v="248995" u="1"/>
        <n v="128389" u="1"/>
        <n v="182182" u="1"/>
        <n v="184199" u="1"/>
        <n v="91957" u="1"/>
        <n v="183695" u="1"/>
        <n v="75569" u="1"/>
        <n v="169072" u="1"/>
        <n v="81368" u="1"/>
        <n v="133271" u="1"/>
        <n v="44836" u="1"/>
        <n v="48870" u="1"/>
        <n v="346784" u="1"/>
        <n v="175124" u="1"/>
        <n v="249501" u="1"/>
        <n v="74183" u="1"/>
        <n v="110363" u="1"/>
        <n v="75696" u="1"/>
        <n v="128138" u="1"/>
        <n v="173108" u="1"/>
        <n v="209414" u="1"/>
        <n v="95362" u="1"/>
        <n v="264090" u="1"/>
        <n v="76957" u="1"/>
        <n v="4916" u="1"/>
        <n v="181429" u="1"/>
        <n v="182690" u="1"/>
        <n v="100279" u="1"/>
        <n v="167563" u="1"/>
        <n v="157226" u="1"/>
        <n v="71411" u="1"/>
        <n v="200" u="1"/>
        <n v="752" u="1"/>
        <n v="15570" u="1"/>
        <n v="41118" u="1"/>
        <n v="180674" u="1"/>
        <n v="111121" u="1"/>
        <n v="167312" u="1"/>
        <n v="80236" u="1"/>
        <n v="259338" u="1"/>
        <n v="76076" u="1"/>
        <n v="184457" u="1"/>
        <n v="257069" u="1"/>
        <n v="139831" u="1"/>
        <n v="46476" u="1"/>
        <n v="175633" u="1"/>
        <n v="248245" u="1"/>
        <n v="169330" u="1"/>
        <n v="123854" u="1"/>
        <n v="77085" u="1"/>
        <n v="346795" u="1"/>
        <n v="137059" u="1"/>
        <n v="346796" u="1"/>
        <n v="170844" u="1"/>
        <n v="108475" u="1"/>
        <n v="210428" u="1"/>
        <n v="250768" u="1"/>
        <n v="171601" u="1"/>
        <n v="75195" u="1"/>
        <n v="129402" u="1"/>
        <n v="168072" u="1"/>
        <n v="133531" u="1"/>
        <n v="52906" u="1"/>
        <n v="68388" u="1"/>
        <n v="207404" u="1"/>
        <n v="72296" u="1"/>
        <n v="172863" u="1"/>
        <n v="114401" u="1"/>
        <n v="124234" u="1"/>
        <n v="207657" u="1"/>
        <n v="71288" u="1"/>
        <n v="178663" u="1"/>
        <n v="182697" u="1"/>
        <n v="241190" u="1"/>
        <n v="242703" u="1"/>
        <n v="125243" u="1"/>
        <n v="116671" u="1"/>
        <n v="184967" u="1"/>
        <n v="124487" u="1"/>
        <n v="77466" u="1"/>
        <n v="103687" u="1"/>
        <n v="121840" u="1"/>
        <n v="125370" u="1"/>
        <n v="169841" u="1"/>
        <n v="80492" u="1"/>
        <n v="132779" u="1"/>
        <n v="126757" u="1"/>
        <n v="170850" u="1"/>
        <n v="253295" u="1"/>
        <n v="99906" u="1"/>
        <n v="346810" u="1"/>
        <n v="178919" u="1"/>
        <n v="209174" u="1"/>
        <n v="163540" u="1"/>
        <n v="114656" u="1"/>
        <n v="140597" u="1"/>
        <n v="243212" u="1"/>
        <n v="126254" u="1"/>
        <n v="183711" u="1"/>
        <n v="250272" u="1"/>
        <n v="71543" u="1"/>
        <n v="101798" u="1"/>
        <n v="39167" u="1"/>
        <n v="251281" u="1"/>
        <n v="73056" u="1"/>
        <n v="180434" u="1"/>
        <n v="346815" u="1"/>
        <n v="38915" u="1"/>
        <n v="111127" u="1"/>
        <n v="190015" u="1"/>
        <n v="38474" u="1"/>
        <n v="180183" u="1"/>
        <n v="38285" u="1"/>
        <n v="171107" u="1"/>
        <n v="107598" u="1"/>
        <n v="150181" u="1"/>
        <n v="109237" u="1"/>
        <n v="76839" u="1"/>
        <n v="43895" u="1"/>
        <n v="183714" u="1"/>
        <n v="177159" u="1"/>
        <n v="182958" u="1"/>
        <n v="261369" u="1"/>
        <n v="184471" u="1"/>
        <n v="258596" u="1"/>
        <n v="175647" u="1"/>
        <n v="207919" u="1"/>
        <n v="183463" u="1"/>
        <n v="255823" u="1"/>
        <n v="146653" u="1"/>
        <n v="207163" u="1"/>
        <n v="43139" u="1"/>
        <n v="127517" u="1"/>
        <n v="74949" u="1"/>
        <n v="162033" u="1"/>
        <n v="107095" u="1"/>
        <n v="124996" u="1"/>
        <n v="129030" u="1"/>
        <n v="183464" u="1"/>
        <n v="76336" u="1"/>
        <n v="80370" u="1"/>
        <n v="172875" u="1"/>
        <n v="46606" u="1"/>
        <n v="148167" u="1"/>
        <n v="183465" u="1"/>
        <n v="109365" u="1"/>
        <n v="172120" u="1"/>
        <n v="173381" u="1"/>
        <n v="175398" u="1"/>
        <n v="256078" u="1"/>
        <n v="346828" u="1"/>
        <n v="81758" u="1"/>
        <n v="122098" u="1"/>
        <n v="128023" u="1"/>
        <n v="95121" u="1"/>
        <n v="185233" u="1"/>
        <n v="249777" u="1"/>
        <n v="162542" u="1"/>
        <n v="106341" u="1"/>
        <n v="180443" u="1"/>
        <n v="184225" u="1"/>
        <n v="104072" u="1"/>
        <n v="71674" u="1"/>
        <n v="131279" u="1"/>
        <n v="156996" u="1"/>
        <n v="247005" u="1"/>
        <n v="112771" u="1"/>
        <n v="178932" u="1"/>
        <n v="266661" u="1"/>
        <n v="347341" u="1"/>
        <n v="140105" u="1"/>
        <n v="174142" u="1"/>
        <n v="191791" u="1"/>
        <n v="185236" u="1"/>
        <n v="206919" u="1"/>
        <n v="208684" u="1"/>
        <n v="78987" u="1"/>
        <n v="80626" u="1"/>
        <n v="44717" u="1"/>
        <n v="192297" u="1"/>
        <n v="77727" u="1"/>
        <n v="167337" u="1"/>
        <n v="248017" u="1"/>
        <n v="123866" u="1"/>
        <n v="71172" u="1"/>
        <n v="105461" u="1"/>
        <n v="180448" u="1"/>
        <n v="286333" u="1"/>
        <n v="80879" u="1"/>
        <n v="105083" u="1"/>
        <n v="194063" u="1"/>
        <n v="102814" u="1"/>
        <n v="110882" u="1"/>
        <n v="177423" u="1"/>
        <n v="181205" u="1"/>
        <n v="39612" u="1"/>
        <n v="7903" u="1"/>
        <n v="124497" u="1"/>
        <n v="198602" u="1"/>
        <n v="171625" u="1"/>
        <n v="267175" u="1"/>
        <n v="71047" u="1"/>
        <n v="121472" u="1"/>
        <n v="125254" u="1"/>
        <n v="165827" u="1"/>
        <n v="212218" u="1"/>
        <n v="102437" u="1"/>
        <n v="153978" u="1"/>
        <n v="171627" u="1"/>
        <n v="179695" u="1"/>
        <n v="73569" u="1"/>
        <n v="75586" u="1"/>
        <n v="77477" u="1"/>
        <n v="163055" u="1"/>
        <n v="156500" u="1"/>
        <n v="42071" u="1"/>
        <n v="174401" u="1"/>
        <n v="178435" u="1"/>
        <n v="74704" u="1"/>
        <n v="82772" u="1"/>
        <n v="347356" u="1"/>
        <n v="173393" u="1"/>
        <n v="185495" u="1"/>
        <n v="76469" u="1"/>
        <n v="144651" u="1"/>
        <n v="253569" u="1"/>
        <n v="102186" u="1"/>
        <n v="173646" u="1"/>
        <n v="181714" u="1"/>
        <n v="177428" u="1"/>
        <n v="138601" u="1"/>
        <n v="346855" u="1"/>
        <n v="74831" u="1"/>
        <n v="103069" u="1"/>
        <n v="80756" u="1"/>
        <n v="209953" u="1"/>
        <n v="40811" u="1"/>
        <n v="70545" u="1"/>
        <n v="76596" u="1"/>
        <n v="171378" u="1"/>
        <n v="72184" u="1"/>
        <n v="76092" u="1"/>
        <n v="147931" u="1"/>
        <n v="48438" u="1"/>
        <n v="105969" u="1"/>
        <n v="262145" u="1"/>
        <n v="81009" u="1"/>
        <n v="163816" u="1"/>
        <n v="175918" u="1"/>
        <n v="186508" u="1"/>
        <n v="117820" u="1"/>
        <n v="167095" u="1"/>
        <n v="245506" u="1"/>
        <n v="107357" u="1"/>
        <n v="186509" u="1"/>
        <n v="96894" u="1"/>
        <n v="211218" u="1"/>
        <n v="102315" u="1"/>
        <n v="136085" u="1"/>
        <n v="112274" u="1"/>
        <n v="112022" u="1"/>
        <n v="103828" u="1"/>
        <n v="107862" u="1"/>
        <n v="184746" u="1"/>
        <n v="270725" u="1"/>
        <n v="138103" u="1"/>
        <n v="37976" u="1"/>
        <n v="72817" u="1"/>
        <n v="111014" u="1"/>
        <n v="129041" u="1"/>
        <n v="246013" u="1"/>
        <n v="73826" u="1"/>
        <n v="51402" u="1"/>
        <n v="71557" u="1"/>
        <n v="163317" u="1"/>
        <n v="103703" u="1"/>
        <n v="172394" u="1"/>
        <n v="196598" u="1"/>
        <n v="188278" u="1"/>
        <n v="190043" u="1"/>
        <n v="209709" u="1"/>
        <n v="74457" u="1"/>
        <n v="110637" u="1"/>
        <n v="182480" u="1"/>
        <n v="162058" u="1"/>
        <n v="52537" u="1"/>
        <n v="126269" u="1"/>
        <n v="346874" u="1"/>
        <n v="68911" u="1"/>
        <n v="176178" u="1"/>
        <n v="111016" u="1"/>
        <n v="246269" u="1"/>
        <n v="120975" u="1"/>
        <n v="114546" u="1"/>
        <n v="74080" u="1"/>
        <n v="92233" u="1"/>
        <n v="103957" u="1"/>
        <n v="113664" u="1"/>
        <n v="93368" u="1"/>
        <n v="78745" u="1"/>
        <n v="127153" u="1"/>
        <n v="102823" u="1"/>
        <n v="165339" u="1"/>
        <n v="253835" u="1"/>
        <n v="112656" u="1"/>
        <n v="187022" u="1"/>
        <n v="158280" u="1"/>
        <n v="346882" u="1"/>
        <n v="115808" u="1"/>
        <n v="161054" u="1"/>
        <n v="167105" u="1"/>
        <n v="178955" u="1"/>
        <n v="48189" u="1"/>
        <n v="113539" u="1"/>
        <n v="210975" u="1"/>
        <n v="184502" u="1"/>
        <n v="180216" u="1"/>
        <n v="53988" u="1"/>
        <n v="102698" u="1"/>
        <n v="104463" u="1"/>
        <n v="182738" u="1"/>
        <n v="120347" u="1"/>
        <n v="248795" u="1"/>
        <n v="260645" u="1"/>
        <n v="263180" u="1"/>
        <n v="75721" u="1"/>
        <n v="74587" u="1"/>
        <n v="100808" u="1"/>
        <n v="133071" u="1"/>
        <n v="170890" u="1"/>
        <n v="75848" u="1"/>
        <n v="103834" u="1"/>
        <n v="176438" u="1"/>
        <n v="129299" u="1"/>
        <n v="70680" u="1"/>
        <n v="120853" u="1"/>
        <n v="207450" u="1"/>
        <n v="176691" u="1"/>
        <n v="220813" u="1"/>
        <n v="149966" u="1"/>
        <n v="130182" u="1"/>
        <n v="175683" u="1"/>
        <n v="54998" u="1"/>
        <n v="104970" u="1"/>
        <n v="78623" u="1"/>
        <n v="163078" u="1"/>
        <n v="182996" u="1"/>
        <n v="288908" u="1"/>
        <n v="179971" u="1"/>
        <n v="75598" u="1"/>
        <n v="157280" u="1"/>
        <n v="123754" u="1"/>
        <n v="180728" u="1"/>
        <n v="109383" u="1"/>
        <n v="250819" u="1"/>
        <n v="157533" u="1"/>
        <n v="174930" u="1"/>
        <n v="255106" u="1"/>
        <n v="108249" u="1"/>
        <n v="124385" u="1"/>
        <n v="184007" u="1"/>
        <n v="347406" u="1"/>
        <n v="181486" u="1"/>
        <n v="71439" u="1"/>
        <n v="125898" u="1"/>
        <n v="121738" u="1"/>
        <n v="51091" u="1"/>
        <n v="184008" u="1"/>
        <n v="50839" u="1"/>
        <n v="110645" u="1"/>
        <n v="156779" u="1"/>
        <n v="48633" u="1"/>
        <n v="71944" u="1"/>
        <n v="73961" u="1"/>
        <n v="110267" u="1"/>
        <n v="190312" u="1"/>
        <n v="44473" u="1"/>
        <n v="149720" u="1"/>
        <n v="171655" u="1"/>
        <n v="220" u="1"/>
        <n v="205440" u="1"/>
        <n v="129681" u="1"/>
        <n v="75096" u="1"/>
        <n v="158293" u="1"/>
        <n v="125395" u="1"/>
        <n v="254857" u="1"/>
        <n v="53739" u="1"/>
        <n v="249311" u="1"/>
        <n v="180481" u="1"/>
        <n v="170144" u="1"/>
        <n v="176952" u="1"/>
        <n v="183003" u="1"/>
        <n v="121614" u="1"/>
        <n v="170649" u="1"/>
        <n v="101192" u="1"/>
        <n v="49012" u="1"/>
        <n v="107117" u="1"/>
        <n v="167876" u="1"/>
        <n v="248304" u="1"/>
        <n v="197627" u="1"/>
        <n v="165103" u="1"/>
        <n v="171154" u="1"/>
        <n v="71946" u="1"/>
        <n v="149976" u="1"/>
        <n v="79888" u="1"/>
        <n v="246540" u="1"/>
        <n v="101949" u="1"/>
        <n v="243767" u="1"/>
        <n v="97537" u="1"/>
        <n v="121741" u="1"/>
        <n v="166617" u="1"/>
        <n v="158045" u="1"/>
        <n v="210487" u="1"/>
        <n v="287919" u="1"/>
        <n v="74342" u="1"/>
        <n v="192839" u="1"/>
        <n v="1944" u="1"/>
        <n v="179981" u="1"/>
        <n v="185780" u="1"/>
        <n v="189814" u="1"/>
        <n v="244273" u="1"/>
        <n v="128045" u="1"/>
        <n v="179477" u="1"/>
        <n v="211749" u="1"/>
        <n v="101572" u="1"/>
        <n v="197126" u="1"/>
        <n v="121616" u="1"/>
        <n v="249064" u="1"/>
        <n v="141911" u="1"/>
        <n v="185529" u="1"/>
        <n v="110775" u="1"/>
        <n v="118843" u="1"/>
        <n v="180487" u="1"/>
        <n v="208725" u="1"/>
        <n v="164099" u="1"/>
        <n v="128172" u="1"/>
        <n v="161578" u="1"/>
        <n v="75478" u="1"/>
        <n v="101573" u="1"/>
        <n v="127794" u="1"/>
        <n v="288430" u="1"/>
        <n v="105103" u="1"/>
        <n v="171916" u="1"/>
        <n v="133341" u="1"/>
        <n v="53930" u="1"/>
        <n v="82286" u="1"/>
        <n v="75983" u="1"/>
        <n v="110146" u="1"/>
        <n v="127795" u="1"/>
        <n v="176708" u="1"/>
        <n v="83043" u="1"/>
        <n v="171918" u="1"/>
        <n v="209989" u="1"/>
        <n v="260414" u="1"/>
        <n v="40757" u="1"/>
        <n v="76362" u="1"/>
        <n v="172423" u="1"/>
        <n v="253103" u="1"/>
        <n v="73967" u="1"/>
        <n v="110273" u="1"/>
        <n v="110147" u="1"/>
        <n v="135109" u="1"/>
        <n v="177466" u="1"/>
        <n v="286420" u="1"/>
        <n v="181248" u="1"/>
        <n v="69177" u="1"/>
        <n v="77245" u="1"/>
        <n v="198645" u="1"/>
        <n v="192342" u="1"/>
        <n v="271798" u="1"/>
        <n v="210243" u="1"/>
        <n v="53868" u="1"/>
        <n v="138892" u="1"/>
        <n v="173181" u="1"/>
        <n v="80397" u="1"/>
        <n v="130822" u="1"/>
        <n v="74220" u="1"/>
        <n v="104349" u="1"/>
        <n v="116451" u="1"/>
        <n v="78002" u="1"/>
        <n v="170156" u="1"/>
        <n v="346429" u="1"/>
        <n v="181754" u="1"/>
        <n v="103845" u="1"/>
        <n v="75481" u="1"/>
        <n v="287937" u="1"/>
        <n v="105610" u="1"/>
        <n v="132590" u="1"/>
        <n v="243525" u="1"/>
        <n v="255375" u="1"/>
        <n v="81028" u="1"/>
        <n v="147718" u="1"/>
        <n v="175452" u="1"/>
        <n v="254115" u="1"/>
        <n v="128932" u="1"/>
        <n v="174948" u="1"/>
        <n v="185033" u="1"/>
        <n v="72078" u="1"/>
        <n v="38426" u="1"/>
        <n v="71826" u="1"/>
        <n v="212263" u="1"/>
        <n v="171167" u="1"/>
        <n v="346939" u="1"/>
        <n v="32351" u="1"/>
        <n v="121369" u="1"/>
        <n v="174193" u="1"/>
        <n v="115192" u="1"/>
        <n v="51915" u="1"/>
        <n v="195624" u="1"/>
        <n v="80525" u="1"/>
        <n v="247814" u="1"/>
        <n v="53806" u="1"/>
        <n v="72331" u="1"/>
        <n v="96157" u="1"/>
        <n v="254622" u="1"/>
        <n v="137384" u="1"/>
        <n v="167639" u="1"/>
        <n v="212013" u="1"/>
        <n v="79643" u="1"/>
        <n v="246050" u="1"/>
        <n v="346942" u="1"/>
        <n v="51348" u="1"/>
        <n v="111789" u="1"/>
        <n v="115697" u="1"/>
        <n v="243529" u="1"/>
        <n v="287441" u="1"/>
        <n v="313662" u="1"/>
        <n v="194869" u="1"/>
        <n v="245294" u="1"/>
        <n v="127295" u="1"/>
        <n v="113050" u="1"/>
        <n v="266768" u="1"/>
        <n v="50907" u="1"/>
        <n v="108764" u="1"/>
        <n v="177221" u="1"/>
        <n v="122757" u="1"/>
        <n v="207224" u="1"/>
        <n v="80022" u="1"/>
        <n v="10359" u="1"/>
        <n v="114185" u="1"/>
        <n v="183777" u="1"/>
        <n v="81535" u="1"/>
        <n v="140664" u="1"/>
        <n v="166885" u="1"/>
        <n v="15827" u="1"/>
        <n v="166633" u="1"/>
        <n v="182517" u="1"/>
        <n v="184534" u="1"/>
        <n v="346947" u="1"/>
        <n v="176214" u="1"/>
        <n v="127296" u="1"/>
        <n v="139404" u="1"/>
        <n v="347452" u="1"/>
        <n v="124145" u="1"/>
        <n v="183527" u="1"/>
        <n v="39247" u="1"/>
        <n v="75359" u="1"/>
        <n v="117716" u="1"/>
        <n v="71199" u="1"/>
        <n v="202941" u="1"/>
        <n v="73090" u="1"/>
        <n v="113430" u="1"/>
        <n v="148230" u="1"/>
        <n v="184536" u="1"/>
        <n v="125406" u="1"/>
        <n v="169913" u="1"/>
        <n v="44920" u="1"/>
        <n v="123137" u="1"/>
        <n v="80654" u="1"/>
        <n v="82671" u="1"/>
        <n v="179494" u="1"/>
        <n v="243786" u="1"/>
        <n v="82419" u="1"/>
        <n v="172939" u="1"/>
        <n v="78259" u="1"/>
        <n v="52673" u="1"/>
        <n v="196639" u="1"/>
        <n v="247064" u="1"/>
        <n v="265265" u="1"/>
        <n v="77755" u="1"/>
        <n v="171679" u="1"/>
        <n v="210002" u="1"/>
        <n v="252359" u="1"/>
        <n v="209498" u="1"/>
        <n v="75360" u="1"/>
        <n v="125785" u="1"/>
        <n v="251603" u="1"/>
        <n v="284428" u="1"/>
        <n v="76999" u="1"/>
        <n v="115322" u="1"/>
        <n v="157561" u="1"/>
        <n v="106876" u="1"/>
        <n v="129063" u="1"/>
        <n v="157309" u="1"/>
        <n v="43786" u="1"/>
        <n v="78512" u="1"/>
        <n v="112801" u="1"/>
        <n v="49396" u="1"/>
        <n v="69562" u="1"/>
        <n v="169412" u="1"/>
        <n v="49081" u="1"/>
        <n v="55069" u="1"/>
        <n v="163866" u="1"/>
        <n v="74731" u="1"/>
        <n v="181515" u="1"/>
        <n v="263759" u="1"/>
        <n v="193113" u="1"/>
        <n v="247572" u="1"/>
        <n v="134368" u="1"/>
        <n v="100070" u="1"/>
        <n v="198156" u="1"/>
        <n v="128182" u="1"/>
        <n v="166893" u="1"/>
        <n v="127678" u="1"/>
        <n v="77127" u="1"/>
        <n v="150253" u="1"/>
        <n v="111290" u="1"/>
        <n v="37799" u="1"/>
        <n v="108643" u="1"/>
        <n v="184291" u="1"/>
        <n v="347470" u="1"/>
        <n v="161348" u="1"/>
        <n v="105492" u="1"/>
        <n v="1046" u="1"/>
        <n v="103349" u="1"/>
        <n v="184544" u="1"/>
        <n v="53116" u="1"/>
        <n v="125158" u="1"/>
        <n v="140675" u="1"/>
        <n v="174712" u="1"/>
        <n v="69943" u="1"/>
        <n v="210514" u="1"/>
        <n v="73851" u="1"/>
        <n v="185050" u="1"/>
        <n v="71078" u="1"/>
        <n v="107384" u="1"/>
        <n v="346971" u="1"/>
        <n v="39817" u="1"/>
        <n v="45742" u="1"/>
        <n v="182782" u="1"/>
        <n v="206986" u="1"/>
        <n v="178496" u="1"/>
        <n v="71709" u="1"/>
        <n v="73222" u="1"/>
        <n v="55008" u="1"/>
        <n v="171690" u="1"/>
        <n v="70449" u="1"/>
        <n v="187070" u="1"/>
        <n v="118605" u="1"/>
        <n v="76122" u="1"/>
        <n v="182280" u="1"/>
        <n v="207997" u="1"/>
        <n v="268819" u="1"/>
        <n v="266298" u="1"/>
        <n v="161102" u="1"/>
        <n v="179255" u="1"/>
        <n v="183289" u="1"/>
        <n v="207493" u="1"/>
        <n v="267811" u="1"/>
        <n v="73349" u="1"/>
        <n v="174717" u="1"/>
        <n v="129447" u="1"/>
        <n v="182281" u="1"/>
        <n v="181525" u="1"/>
        <n v="346980" u="1"/>
        <n v="74484" u="1"/>
        <n v="346476" u="1"/>
        <n v="76249" u="1"/>
        <n v="186064" u="1"/>
        <n v="111925" u="1"/>
        <n v="180266" u="1"/>
        <n v="111169" u="1"/>
        <n v="129196" u="1"/>
        <n v="161609" u="1"/>
        <n v="183796" u="1"/>
        <n v="211782" u="1"/>
        <n v="110413" u="1"/>
        <n v="114321" u="1"/>
        <n v="77889" u="1"/>
        <n v="81923" u="1"/>
        <n v="165896" u="1"/>
        <n v="93899" u="1"/>
        <n v="122137" u="1"/>
      </sharedItems>
    </cacheField>
    <cacheField name="Insira a foto do hodômetro final" numFmtId="0">
      <sharedItems containsBlank="1"/>
    </cacheField>
    <cacheField name="Quais lojas você visitou?" numFmtId="0">
      <sharedItems/>
    </cacheField>
    <cacheField name="Caso tenha rodado particular alguma parte do trajeto, informe o total de KM a ser deduzido." numFmtId="0">
      <sharedItems containsString="0" containsBlank="1" containsNumber="1" containsInteger="1" minValue="4" maxValue="100"/>
    </cacheField>
    <cacheField name="Possui despesas a serem lançadas" numFmtId="0">
      <sharedItems/>
    </cacheField>
    <cacheField name="Pedágio" numFmtId="0">
      <sharedItems containsBlank="1"/>
    </cacheField>
    <cacheField name="Insira as fotos dos recibos de pedágio" numFmtId="0">
      <sharedItems containsBlank="1" longText="1"/>
    </cacheField>
    <cacheField name="Estacionamento" numFmtId="0">
      <sharedItems containsBlank="1" containsMixedTypes="1" containsNumber="1" containsInteger="1" minValue="15" maxValue="25"/>
    </cacheField>
    <cacheField name="Insira as fotos dos recibos de estacionamento" numFmtId="0">
      <sharedItems containsBlank="1"/>
    </cacheField>
    <cacheField name="Despesas Diversas _x000a_(Jantar em viagem, Impressões, Etc)" numFmtId="0">
      <sharedItems containsBlank="1" containsMixedTypes="1" containsNumber="1" containsInteger="1" minValue="9" maxValue="40"/>
    </cacheField>
    <cacheField name="Insira as fotos das notas de outras despesas" numFmtId="0">
      <sharedItems containsBlank="1"/>
    </cacheField>
    <cacheField name="Hospedagem" numFmtId="0">
      <sharedItems containsBlank="1" containsMixedTypes="1" containsNumber="1" containsInteger="1" minValue="192" maxValue="192"/>
    </cacheField>
    <cacheField name="Caso possua alguma observação sobre as despesas favor informar" numFmtId="0">
      <sharedItems containsBlank="1"/>
    </cacheField>
    <cacheField name="KM Rodado" numFmtId="0">
      <sharedItems containsSemiMixedTypes="0" containsString="0" containsNumber="1" containsInteger="1" minValue="-2587967" maxValue="720133" count="415">
        <n v="146"/>
        <n v="36"/>
        <n v="78"/>
        <n v="54"/>
        <n v="50"/>
        <n v="10"/>
        <n v="82"/>
        <n v="60"/>
        <n v="107"/>
        <n v="8"/>
        <n v="360"/>
        <n v="47"/>
        <n v="29"/>
        <n v="73"/>
        <n v="133"/>
        <n v="44"/>
        <n v="0"/>
        <n v="236"/>
        <n v="237"/>
        <n v="265"/>
        <n v="102"/>
        <n v="124"/>
        <n v="90"/>
        <n v="91"/>
        <n v="250"/>
        <n v="70"/>
        <n v="40"/>
        <n v="62"/>
        <n v="109"/>
        <n v="104"/>
        <n v="207"/>
        <n v="101"/>
        <n v="69"/>
        <n v="58"/>
        <n v="37"/>
        <n v="376"/>
        <n v="27"/>
        <n v="119"/>
        <n v="94"/>
        <n v="35"/>
        <n v="167"/>
        <n v="112"/>
        <n v="83"/>
        <n v="174"/>
        <n v="31"/>
        <n v="219"/>
        <n v="377"/>
        <n v="241"/>
        <n v="71"/>
        <n v="226"/>
        <n v="400"/>
        <n v="41"/>
        <n v="76"/>
        <n v="130"/>
        <n v="345"/>
        <n v="209"/>
        <n v="38"/>
        <n v="217"/>
        <n v="166"/>
        <n v="23"/>
        <n v="205"/>
        <n v="324"/>
        <n v="59"/>
        <n v="86"/>
        <n v="222"/>
        <n v="113"/>
        <n v="15"/>
        <n v="32"/>
        <n v="218"/>
        <n v="80"/>
        <n v="204"/>
        <n v="211"/>
        <n v="175"/>
        <n v="85"/>
        <n v="16"/>
        <n v="229"/>
        <n v="228"/>
        <n v="39"/>
        <n v="182"/>
        <n v="160"/>
        <n v="155"/>
        <n v="12"/>
        <n v="97"/>
        <n v="42"/>
        <n v="326"/>
        <n v="89"/>
        <n v="13"/>
        <n v="340"/>
        <n v="9"/>
        <n v="100"/>
        <n v="45"/>
        <n v="150"/>
        <n v="143"/>
        <n v="414"/>
        <n v="162"/>
        <n v="258"/>
        <n v="57"/>
        <n v="106"/>
        <n v="180"/>
        <n v="240"/>
        <n v="181"/>
        <n v="254"/>
        <n v="3"/>
        <n v="235"/>
        <n v="84"/>
        <n v="95"/>
        <n v="142"/>
        <n v="66"/>
        <n v="46"/>
        <n v="168"/>
        <n v="74"/>
        <n v="28"/>
        <n v="185"/>
        <n v="372"/>
        <n v="135"/>
        <n v="161"/>
        <n v="243"/>
        <n v="173"/>
        <n v="227"/>
        <n v="51"/>
        <n v="65"/>
        <n v="34"/>
        <n v="72"/>
        <n v="116"/>
        <n v="255"/>
        <n v="344"/>
        <n v="131"/>
        <n v="21"/>
        <n v="272"/>
        <n v="188"/>
        <n v="156"/>
        <n v="77"/>
        <n v="145"/>
        <n v="303"/>
        <n v="214"/>
        <n v="105"/>
        <n v="138"/>
        <n v="191"/>
        <n v="176"/>
        <n v="320"/>
        <n v="25"/>
        <n v="257"/>
        <n v="67"/>
        <n v="248"/>
        <n v="118"/>
        <n v="52"/>
        <n v="98"/>
        <n v="132"/>
        <n v="63"/>
        <n v="68"/>
        <n v="20"/>
        <n v="242"/>
        <n v="117"/>
        <n v="93"/>
        <n v="18"/>
        <n v="79"/>
        <n v="121"/>
        <n v="55"/>
        <n v="177"/>
        <n v="108"/>
        <n v="183"/>
        <n v="49"/>
        <n v="81"/>
        <n v="7"/>
        <n v="30"/>
        <n v="260"/>
        <n v="53"/>
        <n v="158"/>
        <n v="88"/>
        <n v="129"/>
        <n v="388"/>
        <n v="202"/>
        <n v="128"/>
        <n v="274"/>
        <n v="87"/>
        <n v="148"/>
        <n v="164"/>
        <n v="56"/>
        <n v="61"/>
        <n v="264"/>
        <n v="75"/>
        <n v="312"/>
        <n v="318"/>
        <n v="144"/>
        <n v="149"/>
        <n v="225"/>
        <n v="99"/>
        <n v="346"/>
        <n v="64"/>
        <n v="249"/>
        <n v="169"/>
        <n v="195"/>
        <n v="14"/>
        <n v="33"/>
        <n v="122"/>
        <n v="406"/>
        <n v="126"/>
        <n v="198"/>
        <n v="382"/>
        <n v="244"/>
        <n v="443"/>
        <n v="200"/>
        <n v="110"/>
        <n v="186"/>
        <n v="11"/>
        <n v="48"/>
        <n v="365"/>
        <n v="317"/>
        <n v="120"/>
        <n v="316"/>
        <n v="24"/>
        <n v="184"/>
        <n v="251"/>
        <n v="17"/>
        <n v="245"/>
        <n v="408"/>
        <n v="22"/>
        <n v="127"/>
        <n v="415"/>
        <n v="193"/>
        <n v="179"/>
        <n v="157"/>
        <n v="26"/>
        <n v="190"/>
        <n v="114"/>
        <n v="19"/>
        <n v="43"/>
        <n v="253"/>
        <n v="115"/>
        <n v="246"/>
        <n v="461"/>
        <n v="134"/>
        <n v="402"/>
        <n v="421"/>
        <n v="171"/>
        <n v="151"/>
        <n v="469"/>
        <n v="261"/>
        <n v="111"/>
        <n v="216"/>
        <n v="165"/>
        <n v="310"/>
        <n v="328"/>
        <n v="286"/>
        <n v="103"/>
        <n v="153"/>
        <n v="271"/>
        <n v="413"/>
        <n v="123"/>
        <n v="395"/>
        <n v="96" u="1"/>
        <n v="206" u="1"/>
        <n v="298" u="1"/>
        <n v="369" u="1"/>
        <n v="-90963" u="1"/>
        <n v="327" u="1"/>
        <n v="285" u="1"/>
        <n v="626" u="1"/>
        <n v="-20" u="1"/>
        <n v="125" u="1"/>
        <n v="343" u="1"/>
        <n v="10060" u="1"/>
        <n v="172" u="1"/>
        <n v="301" u="1"/>
        <n v="330" u="1"/>
        <n v="1000" u="1"/>
        <n v="189070" u="1"/>
        <n v="-112938" u="1"/>
        <n v="159" u="1"/>
        <n v="230" u="1"/>
        <n v="535" u="1"/>
        <n v="961" u="1"/>
        <n v="304" u="1"/>
        <n v="-37" u="1"/>
        <n v="262" u="1"/>
        <n v="580" u="1"/>
        <n v="1698" u="1"/>
        <n v="149000" u="1"/>
        <n v="238" u="1"/>
        <n v="362" u="1"/>
        <n v="-19898" u="1"/>
        <n v="-990" u="1"/>
        <n v="196" u="1"/>
        <n v="278" u="1"/>
        <n v="-906" u="1"/>
        <n v="-24" u="1"/>
        <n v="190145" u="1"/>
        <n v="720133" u="1"/>
        <n v="154" u="1"/>
        <n v="336" u="1"/>
        <n v="-2587967" u="1"/>
        <n v="-2690" u="1"/>
        <n v="-951" u="1"/>
        <n v="294" u="1"/>
        <n v="323" u="1"/>
        <n v="281" u="1"/>
        <n v="-43" u="1"/>
        <n v="2" u="1"/>
        <n v="141" u="1"/>
        <n v="212" u="1"/>
        <n v="381" u="1"/>
        <n v="452" u="1"/>
        <n v="90057" u="1"/>
        <n v="6" u="1"/>
        <n v="339" u="1"/>
        <n v="170" u="1"/>
        <n v="297" u="1"/>
        <n v="368" u="1"/>
        <n v="220" u="1"/>
        <n v="-27" u="1"/>
        <n v="199" u="1"/>
        <n v="355" u="1"/>
        <n v="2163" u="1"/>
        <n v="178" u="1"/>
        <n v="313" u="1"/>
        <n v="1121" u="1"/>
        <n v="342" u="1"/>
        <n v="136" u="1"/>
        <n v="300" u="1"/>
        <n v="371" u="1"/>
        <n v="442" u="1"/>
        <n v="-19916" u="1"/>
        <n v="-132" u="1"/>
        <n v="215" u="1"/>
        <n v="458" u="1"/>
        <n v="194" u="1"/>
        <n v="374" u="1"/>
        <n v="152" u="1"/>
        <n v="223" u="1"/>
        <n v="332" u="1"/>
        <n v="578" u="1"/>
        <n v="290" u="1"/>
        <n v="-9944" u="1"/>
        <n v="252" u="1"/>
        <n v="-31" u="1"/>
        <n v="231" u="1"/>
        <n v="277" u="1"/>
        <n v="20102" u="1"/>
        <n v="139" u="1"/>
        <n v="210" u="1"/>
        <n v="306" u="1"/>
        <n v="-89887" u="1"/>
        <n v="-536" u="1"/>
        <n v="189" u="1"/>
        <n v="335" u="1"/>
        <n v="239" u="1"/>
        <n v="293" u="1"/>
        <n v="364" u="1"/>
        <n v="1112" u="1"/>
        <n v="-10892" u="1"/>
        <n v="147" u="1"/>
        <n v="322" u="1"/>
        <n v="984" u="1"/>
        <n v="197" u="1"/>
        <n v="280" u="1"/>
        <n v="758" u="1"/>
        <n v="-34" u="1"/>
        <n v="309" u="1"/>
        <n v="380" u="1"/>
        <n v="267" u="1"/>
        <n v="296" u="1"/>
        <n v="367" u="1"/>
        <n v="509" u="1"/>
        <n v="396" u="1"/>
        <n v="163" u="1"/>
        <n v="234" u="1"/>
        <n v="283" u="1"/>
        <n v="213" u="1"/>
        <n v="383" u="1"/>
        <n v="192" u="1"/>
        <n v="299" u="1"/>
        <n v="512" u="1"/>
        <n v="938" u="1"/>
        <n v="221" u="1"/>
        <n v="-262" u="1"/>
        <n v="499" u="1"/>
        <n v="315" u="1"/>
        <n v="273" u="1"/>
        <n v="486" u="1"/>
        <n v="137" u="1"/>
        <n v="208" u="1"/>
        <n v="302" u="1"/>
        <n v="373" u="1"/>
        <n v="331" u="1"/>
        <n v="289" u="1"/>
        <n v="563" u="1"/>
        <n v="460" u="1"/>
        <n v="276" u="1"/>
        <n v="892" u="1"/>
        <n v="-547" u="1"/>
        <n v="305" u="1"/>
        <n v="224" u="1"/>
        <n v="263" u="1"/>
        <n v="334" u="1"/>
        <n v="203" u="1"/>
        <n v="292" u="1"/>
        <n v="-102136" u="1"/>
        <n v="321" u="1"/>
        <n v="232" u="1"/>
        <n v="279" u="1"/>
        <n v="350" u="1"/>
        <n v="140" u="1"/>
        <n v="530" u="1"/>
        <n v="337" u="1"/>
        <n v="295" u="1"/>
        <n v="366" u="1"/>
        <n v="-514" u="1"/>
        <n v="91298" u="1"/>
        <n v="-927" u="1"/>
        <n v="92" u="1"/>
        <n v="282" u="1"/>
        <n v="353" u="1"/>
        <n v="424" u="1"/>
        <n v="-102913" u="1"/>
        <n v="269" u="1"/>
      </sharedItems>
    </cacheField>
    <cacheField name="Valor KM" numFmtId="44">
      <sharedItems containsSemiMixedTypes="0" containsString="0" containsNumber="1" minValue="0" maxValue="576.87"/>
    </cacheField>
    <cacheField name="Pedágio $" numFmtId="44">
      <sharedItems containsSemiMixedTypes="0" containsString="0" containsNumber="1" minValue="0" maxValue="32"/>
    </cacheField>
    <cacheField name="Estacionamento $" numFmtId="44">
      <sharedItems containsSemiMixedTypes="0" containsString="0" containsNumber="1" containsInteger="1" minValue="0" maxValue="55"/>
    </cacheField>
    <cacheField name="Diversas $" numFmtId="44">
      <sharedItems containsSemiMixedTypes="0" containsString="0" containsNumber="1" minValue="0" maxValue="231.7"/>
    </cacheField>
    <cacheField name="Hospedagem $" numFmtId="44">
      <sharedItems containsSemiMixedTypes="0" containsString="0" containsNumber="1" minValue="0" maxValue="300.86"/>
    </cacheField>
    <cacheField name="Quinzena" numFmtId="0">
      <sharedItems count="3">
        <s v="1ª Quinzena"/>
        <s v="2ª Quinzena"/>
        <e v="#VALUE!" u="1"/>
      </sharedItems>
    </cacheField>
    <cacheField name="Mês" numFmtId="0">
      <sharedItems count="37">
        <s v="JANEIRO"/>
        <s v="FEVEREIRO"/>
        <s v="MARÇO"/>
        <s v="ABRIL"/>
        <s v="MAIO"/>
        <s v="JUNHO"/>
        <s v="JULHO"/>
        <s v="AGOSTO"/>
        <s v="SETEMBRO"/>
        <s v="27/08/0025" u="1"/>
        <s v="21/10/0025" u="1"/>
        <s v="22/04/0025" u="1"/>
        <s v="23/10/0025" u="1"/>
        <s v="14/10/0025" u="1"/>
        <s v="29/10/0025" u="1"/>
        <s v="16/10/0025" u="1"/>
        <s v="17/04/0025" u="1"/>
        <s v="04/04/0025" u="1"/>
        <s v="09/10/0025" u="1"/>
        <s v="DEZEMBRO" u="1"/>
        <s v="OUTUBRO" u="1"/>
        <s v="31/10/0025" u="1"/>
        <s v="26/08/0025" u="1"/>
        <s v="22/10/0025" u="1"/>
        <s v="23/04/0025" u="1"/>
        <s v="24/10/0025" u="1"/>
        <s v="01/04/0025" u="1"/>
        <s v="28/10/0025" u="1"/>
        <s v="15/10/0025" u="1"/>
        <s v="16/04/0025" u="1"/>
        <s v="02/10/0025" u="1"/>
        <s v="03/04/0025" u="1"/>
        <s v="NOVEMBRO" u="1"/>
        <s v="17/10/0025" u="1"/>
        <s v="06/10/0025" u="1"/>
        <s v="09/04/0025" u="1"/>
        <s v="30/10/0025" u="1"/>
      </sharedItems>
    </cacheField>
    <cacheField name="Filtro mês dia" numFmtId="44">
      <sharedItems/>
    </cacheField>
    <cacheField name="Valor reembolsavel" numFmtId="0" formula="'Valor KM'+'Pedágio $'+'Estacionamento $'+'Diversas $'" databaseField="0"/>
    <cacheField name="TT Gasto" numFmtId="0" formula="'Valor KM'+'Pedágio $'+'Estacionamento $'+'Diversas $'+'Hospedagem $'" databaseField="0"/>
  </cacheFields>
  <extLst>
    <ext xmlns:x14="http://schemas.microsoft.com/office/spreadsheetml/2009/9/main" uri="{725AE2AE-9491-48be-B2B4-4EB974FC3084}">
      <x14:pivotCacheDefinition pivotCacheId="49208858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19">
  <r>
    <d v="2026-01-12T08:25:23"/>
    <s v="sussuazevedo.com@icloud.com"/>
    <x v="0"/>
    <s v="MFW6D17"/>
    <x v="0"/>
    <x v="0"/>
    <s v="https://drive.google.com/open?id=1KYNmN07uoNR2n42B3FXEHGxaV6cLYPEG"/>
    <x v="0"/>
    <s v="https://drive.google.com/open?id=1m19T-228b0cuj3S9Zr2krHBB_ogorrGk"/>
    <s v="Carrefour, Koch floripa, Komprão 55"/>
    <m/>
    <s v="Não"/>
    <m/>
    <m/>
    <m/>
    <m/>
    <m/>
    <m/>
    <m/>
    <m/>
    <x v="0"/>
    <n v="160.60000000000002"/>
    <n v="0"/>
    <n v="0"/>
    <n v="0"/>
    <n v="0"/>
    <x v="0"/>
    <x v="0"/>
    <e v="#NAME?"/>
  </r>
  <r>
    <d v="2026-01-09T14:35:20"/>
    <s v="vinicioskerber@gmail.com"/>
    <x v="1"/>
    <s v="MHO9G63"/>
    <x v="0"/>
    <x v="1"/>
    <s v="https://drive.google.com/open?id=1qYI936hO5BKGjC-5APmVsr8w2BOKfpwu"/>
    <x v="1"/>
    <s v="https://drive.google.com/open?id=1vS2ku8_7ioiRf7PO1ekIz9WeuBJZhzQ6"/>
    <s v="Cooper Garcia, cooper Glória"/>
    <m/>
    <s v="Não"/>
    <m/>
    <m/>
    <m/>
    <m/>
    <m/>
    <m/>
    <m/>
    <m/>
    <x v="1"/>
    <n v="39.6"/>
    <n v="0"/>
    <n v="0"/>
    <n v="0"/>
    <n v="0"/>
    <x v="0"/>
    <x v="0"/>
    <e v="#NAME?"/>
  </r>
  <r>
    <d v="2026-01-05T23:02:17"/>
    <s v="sabrina.pires@mazzini.com.br"/>
    <x v="2"/>
    <s v="AZC9E32"/>
    <x v="1"/>
    <x v="2"/>
    <s v="https://drive.google.com/open?id=1UavfH0mE7m_A6j4phdWhnux6CiTCGnX_"/>
    <x v="2"/>
    <s v="https://drive.google.com/open?id=1vNdIFFWbay4r8_xDZC5GHaqwts-29CFf"/>
    <s v="Fort 130 _x000a_Brasil atacadista _x000a_Fort campeche"/>
    <m/>
    <s v="Não"/>
    <m/>
    <m/>
    <m/>
    <m/>
    <m/>
    <m/>
    <m/>
    <m/>
    <x v="2"/>
    <n v="85.800000000000011"/>
    <n v="0"/>
    <n v="0"/>
    <n v="0"/>
    <n v="0"/>
    <x v="0"/>
    <x v="0"/>
    <e v="#NAME?"/>
  </r>
  <r>
    <d v="2026-01-06T18:46:03"/>
    <s v="camila.althoff@mazzini.com.br"/>
    <x v="3"/>
    <s v="Mlz4j72"/>
    <x v="2"/>
    <x v="3"/>
    <s v="https://drive.google.com/open?id=18j1kKdkPpHMRosNYZAJHGmUmZ-en4RmC"/>
    <x v="3"/>
    <s v="https://drive.google.com/open?id=1ckMfdiuOwMXCAWy01Fz4SQZ-dlyZfvN2"/>
    <s v="Fort 365, Fort jardim atlântico, Zeus brasil"/>
    <m/>
    <s v="Não"/>
    <m/>
    <m/>
    <m/>
    <m/>
    <m/>
    <m/>
    <m/>
    <m/>
    <x v="3"/>
    <n v="59.400000000000006"/>
    <n v="0"/>
    <n v="0"/>
    <n v="0"/>
    <n v="0"/>
    <x v="0"/>
    <x v="0"/>
    <e v="#NAME?"/>
  </r>
  <r>
    <d v="2026-01-09T23:26:33"/>
    <s v="lombardi2025@gmail.com"/>
    <x v="4"/>
    <s v="OWA4C07"/>
    <x v="2"/>
    <x v="4"/>
    <s v="https://drive.google.com/open?id=1xZ5kqU8hTlxlUIG4gcOqyO9CYGa27za2"/>
    <x v="4"/>
    <s v="https://drive.google.com/open?id=1vloXVEfCOLF22v-lv7GwtqsWtcfbl8u2"/>
    <s v="Komprao 77, komprao 45, imperatriz,komprao 59"/>
    <m/>
    <s v="Não"/>
    <m/>
    <m/>
    <m/>
    <m/>
    <m/>
    <m/>
    <m/>
    <m/>
    <x v="4"/>
    <n v="55.000000000000007"/>
    <n v="0"/>
    <n v="0"/>
    <n v="0"/>
    <n v="0"/>
    <x v="0"/>
    <x v="0"/>
    <e v="#NAME?"/>
  </r>
  <r>
    <d v="2026-01-12T08:29:28"/>
    <s v="sussuazevedo.com@icloud.com"/>
    <x v="0"/>
    <s v="MFW6D17"/>
    <x v="2"/>
    <x v="5"/>
    <s v="https://drive.google.com/open?id=1omA_eXctjnr4WwIoiJtXIzC1BToGua8d"/>
    <x v="5"/>
    <s v="https://drive.google.com/open?id=1WYlS12BXIZAs5iNxNA-PkcV2_4ZI0Q3G"/>
    <s v="Fui ao Komprão 18 e ao Koch 4"/>
    <m/>
    <s v="Não"/>
    <m/>
    <m/>
    <m/>
    <m/>
    <m/>
    <m/>
    <m/>
    <m/>
    <x v="5"/>
    <n v="11"/>
    <n v="0"/>
    <n v="0"/>
    <n v="0"/>
    <n v="0"/>
    <x v="0"/>
    <x v="0"/>
    <e v="#NAME?"/>
  </r>
  <r>
    <d v="2026-01-09T14:37:56"/>
    <s v="vinicioskerber@gmail.com"/>
    <x v="1"/>
    <s v="MHO9G63"/>
    <x v="2"/>
    <x v="6"/>
    <s v="https://drive.google.com/open?id=1kgu6lQ88Apv7GUU-4P17QGOmrAYG9kED"/>
    <x v="6"/>
    <s v="https://drive.google.com/open?id=1l7XIxsTEwJX90j8_8ePvLYLoXg12_AM5"/>
    <s v="Komprao 40, top 104, Cooper Omino, super A"/>
    <m/>
    <s v="Não"/>
    <m/>
    <m/>
    <m/>
    <m/>
    <m/>
    <m/>
    <m/>
    <m/>
    <x v="6"/>
    <n v="90.2"/>
    <n v="0"/>
    <n v="0"/>
    <n v="0"/>
    <n v="0"/>
    <x v="0"/>
    <x v="0"/>
    <e v="#NAME?"/>
  </r>
  <r>
    <d v="2026-01-07T19:36:25"/>
    <s v="camila.althoff@mazzini.com.br"/>
    <x v="3"/>
    <s v="Mlz4j72"/>
    <x v="3"/>
    <x v="7"/>
    <s v="https://drive.google.com/open?id=1nu8DrNJy1dUm1K66c3HCTZe6fGl2tLQW"/>
    <x v="7"/>
    <s v="https://drive.google.com/open?id=1jlVjfylpz2NIezjqJHpoirEvIE-GUOYy"/>
    <s v="Carrefour, Fort campeche, hiperbom"/>
    <m/>
    <s v="Sim"/>
    <m/>
    <m/>
    <s v="18.00"/>
    <s v="https://drive.google.com/open?id=1KRpYPCL0Bg4ZUqDw96dC0T4966CaXL56"/>
    <m/>
    <m/>
    <m/>
    <m/>
    <x v="7"/>
    <n v="66"/>
    <n v="0"/>
    <n v="18"/>
    <n v="0"/>
    <n v="0"/>
    <x v="0"/>
    <x v="0"/>
    <e v="#NAME?"/>
  </r>
  <r>
    <d v="2026-01-09T23:31:49"/>
    <s v="lombardi2025@gmail.com"/>
    <x v="4"/>
    <s v="OWA4C07"/>
    <x v="3"/>
    <x v="8"/>
    <s v="https://drive.google.com/open?id=13Tk9wQ7CNu2Qz1Rl5J8AHAdp9iX6VT7S"/>
    <x v="8"/>
    <s v="https://drive.google.com/open?id=1O4RuK3ZypLPzwDU6-2s90egzCtDsvh84"/>
    <s v="Komprao 50,Fort Tuiuti,condor comasa,Fort 405,brasil atacadista,bistek"/>
    <m/>
    <s v="Não"/>
    <m/>
    <m/>
    <m/>
    <m/>
    <m/>
    <m/>
    <m/>
    <m/>
    <x v="8"/>
    <n v="117.7"/>
    <n v="0"/>
    <n v="0"/>
    <n v="0"/>
    <n v="0"/>
    <x v="0"/>
    <x v="0"/>
    <e v="#NAME?"/>
  </r>
  <r>
    <d v="2026-01-12T08:33:13"/>
    <s v="sussuazevedo.com@icloud.com"/>
    <x v="0"/>
    <s v="MFW6D17"/>
    <x v="3"/>
    <x v="9"/>
    <s v="https://drive.google.com/open?id=1Lv9VwLe1pEbpf4veXfmkoHMXj5Nu63RI"/>
    <x v="9"/>
    <s v="https://drive.google.com/open?id=1W_7KRYLgBEOvssy_t9Lq6wwpjmmZCYL8"/>
    <s v="Komprão 37 Komprão 15 Koch 7 koch41"/>
    <m/>
    <s v="Não"/>
    <m/>
    <m/>
    <m/>
    <m/>
    <m/>
    <m/>
    <m/>
    <m/>
    <x v="9"/>
    <n v="8.8000000000000007"/>
    <n v="0"/>
    <n v="0"/>
    <n v="0"/>
    <n v="0"/>
    <x v="0"/>
    <x v="0"/>
    <e v="#NAME?"/>
  </r>
  <r>
    <d v="2026-01-09T11:31:35"/>
    <s v="camila.althoff@mazzini.com.br"/>
    <x v="3"/>
    <s v="Mlz4j72"/>
    <x v="4"/>
    <x v="10"/>
    <s v="https://drive.google.com/open?id=1N8h61bOZYLyYe638o3_mvWAkZ1VW-npk"/>
    <x v="10"/>
    <s v="https://drive.google.com/open?id=1hVkqxc8cgkNRDt8iM6-MzIDN2mEP77Ny"/>
    <s v="Pegar cestas no Gustavo , Komprao água verde"/>
    <m/>
    <s v="Sim"/>
    <s v="11.40"/>
    <s v="https://drive.google.com/open?id=1Guh61Oyl3HFOTcLNSGv0mQH4V4J9ebRH"/>
    <m/>
    <m/>
    <m/>
    <m/>
    <m/>
    <m/>
    <x v="10"/>
    <n v="396.00000000000006"/>
    <n v="11.4"/>
    <n v="0"/>
    <n v="0"/>
    <n v="0"/>
    <x v="0"/>
    <x v="0"/>
    <e v="#NAME?"/>
  </r>
  <r>
    <d v="2026-01-12T08:39:45"/>
    <s v="sussuazevedo.com@icloud.com"/>
    <x v="0"/>
    <s v="MFW6D17"/>
    <x v="4"/>
    <x v="11"/>
    <s v="https://drive.google.com/open?id=1nww-76sgilmMbg5PKFBpw5eOqVVpxeNJ"/>
    <x v="11"/>
    <s v="https://drive.google.com/open?id=1aTeS1MXlIxnPeY_JKJTZMKpOA4IJmmOD"/>
    <s v="For 825, koch8 Komprão 38 Mesck atacadista"/>
    <m/>
    <s v="Não"/>
    <m/>
    <m/>
    <m/>
    <m/>
    <m/>
    <m/>
    <m/>
    <m/>
    <x v="11"/>
    <n v="51.7"/>
    <n v="0"/>
    <n v="0"/>
    <n v="0"/>
    <n v="0"/>
    <x v="0"/>
    <x v="0"/>
    <e v="#NAME?"/>
  </r>
  <r>
    <d v="2026-01-09T18:11:08"/>
    <s v="camila.althoff@mazzini.com.br"/>
    <x v="3"/>
    <s v="Mlz4j72"/>
    <x v="5"/>
    <x v="12"/>
    <s v="https://drive.google.com/open?id=1uzoPl2u_v3TRDwT7CiimpjRgjU6IF71D"/>
    <x v="12"/>
    <s v="https://drive.google.com/open?id=13VL6tqGt62MStI6lcmKByqH6oj5p-j_C"/>
    <s v="Bistek costeira, brasil atacadista rio Tavares"/>
    <m/>
    <s v="Não"/>
    <m/>
    <m/>
    <m/>
    <m/>
    <m/>
    <m/>
    <m/>
    <m/>
    <x v="12"/>
    <n v="31.900000000000002"/>
    <n v="0"/>
    <n v="0"/>
    <n v="0"/>
    <n v="0"/>
    <x v="0"/>
    <x v="0"/>
    <e v="#NAME?"/>
  </r>
  <r>
    <d v="2026-01-09T23:43:18"/>
    <s v="lombardi2025@gmail.com"/>
    <x v="4"/>
    <s v="OWA4C07"/>
    <x v="5"/>
    <x v="13"/>
    <s v="https://drive.google.com/open?id=1EYJ6QRpiYfbCGFKOqjwbU3b0LUP7Webn"/>
    <x v="13"/>
    <s v="https://drive.google.com/open?id=1Pv7PHyKh379ZcICWKER-DUXXweGmaEWk"/>
    <s v="Fort 250,sams club,Fort 905, komprao 51,condor 51,angeloni23, Angeloni 22"/>
    <m/>
    <s v="Não"/>
    <m/>
    <m/>
    <m/>
    <m/>
    <m/>
    <m/>
    <m/>
    <m/>
    <x v="13"/>
    <n v="80.300000000000011"/>
    <n v="0"/>
    <n v="0"/>
    <n v="0"/>
    <n v="0"/>
    <x v="0"/>
    <x v="0"/>
    <e v="#NAME?"/>
  </r>
  <r>
    <d v="2026-01-09T17:52:38"/>
    <s v="sabrina.pires@mazzi.com.br"/>
    <x v="2"/>
    <s v="AZC9E32"/>
    <x v="5"/>
    <x v="14"/>
    <s v="https://drive.google.com/open?id=1w8M7KRWc8d4SWhuRpo7t2gcKbbEX8u2Q"/>
    <x v="14"/>
    <s v="https://drive.google.com/open?id=1GU8YE6ECr8FFpdYMIRO0m10_rAk_g2Tk"/>
    <s v="Komprao Tijucas _x000a_Komprao Tijucas _x000a_Fort 290_x000a_Fort 365_x000a_Komprao avenida das torres"/>
    <m/>
    <s v="Não"/>
    <m/>
    <m/>
    <m/>
    <m/>
    <m/>
    <m/>
    <m/>
    <m/>
    <x v="14"/>
    <n v="146.30000000000001"/>
    <n v="0"/>
    <n v="0"/>
    <n v="0"/>
    <n v="0"/>
    <x v="0"/>
    <x v="0"/>
    <e v="#NAME?"/>
  </r>
  <r>
    <d v="2026-01-13T09:19:02"/>
    <s v="camila.althoff@mazzini.com.br"/>
    <x v="3"/>
    <s v="Mlz4j72"/>
    <x v="6"/>
    <x v="15"/>
    <s v="https://drive.google.com/open?id=1PD2xpvm1rXxZHPud1C3wTfxyW1LZ6IfH"/>
    <x v="15"/>
    <s v="https://drive.google.com/open?id=12ra3N6T7q3FTSitBav3bT5myvEQJn6EA"/>
    <s v="Fort 810, Fort 210 recolha de EPI Everton"/>
    <m/>
    <s v="Não"/>
    <m/>
    <m/>
    <m/>
    <m/>
    <m/>
    <m/>
    <m/>
    <m/>
    <x v="15"/>
    <n v="48.400000000000006"/>
    <n v="0"/>
    <n v="0"/>
    <n v="0"/>
    <n v="0"/>
    <x v="0"/>
    <x v="0"/>
    <e v="#NAME?"/>
  </r>
  <r>
    <d v="2026-01-13T19:20:51"/>
    <s v="michalski.ep@gmail.com"/>
    <x v="5"/>
    <s v="BCS7I80"/>
    <x v="7"/>
    <x v="16"/>
    <s v="https://drive.google.com/open?id=1pY4X-HNwcWapgYXMxlW2TZSFjG7D-bFY"/>
    <x v="16"/>
    <s v="https://drive.google.com/open?id=1zat7qCqFXVcvF9Vql4O6T1qr74Nv5U06"/>
    <s v="ENVIO UNIFORMES"/>
    <m/>
    <s v="Sim"/>
    <m/>
    <m/>
    <m/>
    <m/>
    <s v="179.49"/>
    <s v="https://drive.google.com/open?id=14UEk1IkpAGmVOjXL4tfliK5-_9GinfaW"/>
    <m/>
    <s v="Envio de Uniformes"/>
    <x v="16"/>
    <n v="0"/>
    <n v="0"/>
    <n v="0"/>
    <n v="179.49"/>
    <n v="0"/>
    <x v="0"/>
    <x v="0"/>
    <e v="#NAME?"/>
  </r>
  <r>
    <d v="2026-01-13T18:16:39"/>
    <s v="oliiveiiraa7@gmail.com"/>
    <x v="6"/>
    <s v="EUF3090"/>
    <x v="7"/>
    <x v="17"/>
    <s v="https://drive.google.com/open?id=1-0BhC6YDZNaDTaBYS-i_TdgNBmUCwkLh"/>
    <x v="17"/>
    <s v="https://drive.google.com/open?id=1eTlOZEu-_eFXyU2Z6kWjIh1j53F8YX66"/>
    <s v="Deslocamento Fort Chapeco"/>
    <m/>
    <s v="Sim"/>
    <m/>
    <m/>
    <m/>
    <m/>
    <m/>
    <m/>
    <s v="219.94"/>
    <m/>
    <x v="17"/>
    <n v="259.60000000000002"/>
    <n v="0"/>
    <n v="0"/>
    <n v="0"/>
    <n v="219.94"/>
    <x v="0"/>
    <x v="0"/>
    <e v="#NAME?"/>
  </r>
  <r>
    <d v="2026-01-15T08:11:23"/>
    <s v="camila.althoff@mazzini.com.br"/>
    <x v="3"/>
    <s v="Mlz4j72"/>
    <x v="8"/>
    <x v="18"/>
    <s v="https://drive.google.com/open?id=16bd2a0wg_uF7OIU-LmS20gupyXxpzxIU"/>
    <x v="18"/>
    <s v="https://drive.google.com/open?id=1tNU22_rmd6TpdcXyoKtNGmjrsJ-Clovg"/>
    <s v="Angeloni beira mar, atacadão via expressa, Angeloni capoeiras, Fort jardim atlântico"/>
    <m/>
    <s v="Não"/>
    <m/>
    <m/>
    <m/>
    <m/>
    <m/>
    <m/>
    <m/>
    <m/>
    <x v="11"/>
    <n v="51.7"/>
    <n v="0"/>
    <n v="0"/>
    <n v="0"/>
    <n v="0"/>
    <x v="0"/>
    <x v="0"/>
    <e v="#NAME?"/>
  </r>
  <r>
    <d v="2026-01-14T16:49:30"/>
    <s v="desyree.gaulke@mazzini.com.br"/>
    <x v="7"/>
    <s v="QIL7H04"/>
    <x v="8"/>
    <x v="19"/>
    <s v="https://drive.google.com/open?id=1nz6okC6pw3Hytv7RaIvWfyGnNfWJOTzr"/>
    <x v="19"/>
    <s v="https://drive.google.com/open?id=1RZEvaf1DkVshquScw34MBQcU0dyx3zhX"/>
    <s v="BR ATACADISTA RIO DO SUL, FORT 255, COOPER IBIRAMA, COOPER RODEIO, MOCAM 403"/>
    <m/>
    <s v="Não"/>
    <m/>
    <m/>
    <m/>
    <m/>
    <m/>
    <m/>
    <m/>
    <m/>
    <x v="18"/>
    <n v="260.70000000000005"/>
    <n v="0"/>
    <n v="0"/>
    <n v="0"/>
    <n v="0"/>
    <x v="0"/>
    <x v="0"/>
    <e v="#NAME?"/>
  </r>
  <r>
    <d v="2026-01-14T19:13:12"/>
    <s v="oliiveiiraa7@gmail.com"/>
    <x v="6"/>
    <s v="EUF3090"/>
    <x v="8"/>
    <x v="20"/>
    <s v="https://drive.google.com/open?id=16FEsnAg4spPtqAvXuKezJfoX9qMUTrxh"/>
    <x v="20"/>
    <s v="https://drive.google.com/open?id=16dO2AfLsy6iNzerGw4qIUYD3XtSLz_uj"/>
    <s v="Fort Chapeco, Atacadao avenida senador, Atacadao Chapecó e deslocamento"/>
    <m/>
    <s v="Não"/>
    <m/>
    <m/>
    <m/>
    <m/>
    <m/>
    <m/>
    <m/>
    <m/>
    <x v="19"/>
    <n v="291.5"/>
    <n v="0"/>
    <n v="0"/>
    <n v="0"/>
    <n v="0"/>
    <x v="0"/>
    <x v="0"/>
    <e v="#NAME?"/>
  </r>
  <r>
    <d v="2026-01-14T19:52:48"/>
    <s v="lombardi2025@gmail.com"/>
    <x v="4"/>
    <s v="OWA4C07"/>
    <x v="8"/>
    <x v="21"/>
    <s v="https://drive.google.com/open?id=11IodFoCASvGaTdCmPaFQav7G8cFHYRiO"/>
    <x v="21"/>
    <s v="https://drive.google.com/open?id=1up7n9UC13aQd1uK_4ItlyH7EBGOPv3Tq"/>
    <s v="Komprao 51,brasil atacadista,condor comasa,casa Leandro,Fort Tuiuti,komprao 45,Fort 405,fort 905, komprao 50,Fort 250"/>
    <m/>
    <s v="Não"/>
    <m/>
    <m/>
    <m/>
    <m/>
    <m/>
    <m/>
    <m/>
    <m/>
    <x v="20"/>
    <n v="112.2"/>
    <n v="0"/>
    <n v="0"/>
    <n v="0"/>
    <n v="0"/>
    <x v="0"/>
    <x v="0"/>
    <e v="#NAME?"/>
  </r>
  <r>
    <d v="2026-01-14T16:48:44"/>
    <s v="sabrina.pires@mazzini.com.br"/>
    <x v="2"/>
    <s v="AZC9E32"/>
    <x v="8"/>
    <x v="22"/>
    <s v="https://drive.google.com/open?id=1lmqkqJRGldxk0YxFfRrgFuSTY3Ktp8AU"/>
    <x v="22"/>
    <s v="https://drive.google.com/open?id=1_80jiqas8NG0LqhrPML0Aggj06tdFzCj"/>
    <s v="Fort biguaçu _x000a_Komprao não viver _x000a_Fort barreiros_x000a_Fort São José _x000a_Komprao forquilhas _x000a_Komprao ponte do imaruim"/>
    <m/>
    <s v="Não"/>
    <m/>
    <m/>
    <m/>
    <m/>
    <m/>
    <m/>
    <m/>
    <m/>
    <x v="21"/>
    <n v="136.4"/>
    <n v="0"/>
    <n v="0"/>
    <n v="0"/>
    <n v="0"/>
    <x v="0"/>
    <x v="0"/>
    <e v="#NAME?"/>
  </r>
  <r>
    <d v="2026-01-15T20:10:56"/>
    <s v="camila.althoff@mazzini.com.br"/>
    <x v="3"/>
    <s v="Mlz4j72"/>
    <x v="9"/>
    <x v="23"/>
    <s v="https://drive.google.com/open?id=1HtVmdAdVtxxwySruCnc5U9ynTf37Nim3"/>
    <x v="23"/>
    <s v="https://drive.google.com/open?id=1qAppb28zIO0xulaZKQeSzkNaZ3Kbu7yS"/>
    <s v="Zeus brasil, imperatriz Lagoa, Fort campeche"/>
    <m/>
    <s v="Não"/>
    <m/>
    <m/>
    <m/>
    <m/>
    <m/>
    <m/>
    <m/>
    <m/>
    <x v="22"/>
    <n v="99.000000000000014"/>
    <n v="0"/>
    <n v="0"/>
    <n v="0"/>
    <n v="0"/>
    <x v="0"/>
    <x v="0"/>
    <e v="#NAME?"/>
  </r>
  <r>
    <d v="2026-01-15T17:46:59"/>
    <s v="desyree.gaulke@mazzini.com.br"/>
    <x v="7"/>
    <s v="QIL7H04"/>
    <x v="9"/>
    <x v="24"/>
    <s v="https://drive.google.com/open?id=101YYzxtGhhUZ9p_cFBoQcP8EThwSx9GX"/>
    <x v="24"/>
    <s v="https://drive.google.com/open?id=12e1B5poMUOhkR8Ws6y2_UnsnzhxKEoGS"/>
    <s v="central 101, brasil atacadista, bisteck park europeu e central 103"/>
    <m/>
    <s v="Não"/>
    <m/>
    <m/>
    <m/>
    <m/>
    <m/>
    <m/>
    <m/>
    <m/>
    <x v="23"/>
    <n v="100.10000000000001"/>
    <n v="0"/>
    <n v="0"/>
    <n v="0"/>
    <n v="0"/>
    <x v="0"/>
    <x v="0"/>
    <e v="#NAME?"/>
  </r>
  <r>
    <d v="2026-01-09T23:37:21"/>
    <s v="lombardi2025@gmail.com"/>
    <x v="4"/>
    <s v="OWA4C07"/>
    <x v="9"/>
    <x v="25"/>
    <s v="https://drive.google.com/open?id=1AXvwZRv892_hprYewYcHXx84QHYr1qH7"/>
    <x v="25"/>
    <s v="https://drive.google.com/open?id=1Q1_kRkJ2sX-7oQ3DBRYM7fdiwltKBH1h"/>
    <s v="Blumenau buscar cestas"/>
    <m/>
    <s v="Não"/>
    <m/>
    <m/>
    <m/>
    <m/>
    <m/>
    <m/>
    <m/>
    <m/>
    <x v="24"/>
    <n v="275"/>
    <n v="0"/>
    <n v="0"/>
    <n v="0"/>
    <n v="0"/>
    <x v="0"/>
    <x v="0"/>
    <e v="#NAME?"/>
  </r>
  <r>
    <d v="2026-01-17T18:12:07"/>
    <s v="lombardi2025@gmail.com"/>
    <x v="4"/>
    <s v="OWA4C07"/>
    <x v="9"/>
    <x v="26"/>
    <s v="https://drive.google.com/open?id=1ouE6eSrVHXymBJFB_k3BeJ9XFnm1ToRH"/>
    <x v="26"/>
    <s v="https://drive.google.com/open?id=1DC_zfbetQ_HfThKiu77mnGRCgZQkHqC-"/>
    <s v="Komprao 51, brasil atacadista,condor comasa,Fort Tuiuti, imperatriz"/>
    <m/>
    <s v="Não"/>
    <m/>
    <m/>
    <m/>
    <m/>
    <m/>
    <m/>
    <m/>
    <m/>
    <x v="1"/>
    <n v="39.6"/>
    <n v="0"/>
    <n v="0"/>
    <n v="0"/>
    <n v="0"/>
    <x v="0"/>
    <x v="0"/>
    <e v="#NAME?"/>
  </r>
  <r>
    <d v="2026-01-15T17:57:27"/>
    <s v="sabrina.pires@mazzini.com.br"/>
    <x v="2"/>
    <s v="AZC9E32"/>
    <x v="9"/>
    <x v="27"/>
    <s v="https://drive.google.com/open?id=1u7-tiIgVHFBB-dnS3fN077IvI7wRDsav"/>
    <x v="27"/>
    <s v="https://drive.google.com/open?id=1kjVJQKGP8CE_wSOOrJ3byhnLPdPhMi3S"/>
    <s v="Komprao pedra branca _x000a_Fort 130 _x000a_Fort kobrasol _x000a_Fort biguaçu _x000a_Komprao forquilhas"/>
    <m/>
    <s v="Não"/>
    <m/>
    <m/>
    <m/>
    <m/>
    <m/>
    <m/>
    <m/>
    <m/>
    <x v="25"/>
    <n v="77"/>
    <n v="0"/>
    <n v="0"/>
    <n v="0"/>
    <n v="0"/>
    <x v="0"/>
    <x v="0"/>
    <e v="#NAME?"/>
  </r>
  <r>
    <d v="2026-01-16T09:09:37"/>
    <s v="suelen.azevedo@mazzini.com.br"/>
    <x v="0"/>
    <s v="MFW6D17"/>
    <x v="9"/>
    <x v="28"/>
    <s v="https://drive.google.com/open?id=1ilqg8CyOvxRY6w9pWkwxvgP4QbgbeQua"/>
    <x v="28"/>
    <s v="https://drive.google.com/open?id=1Xwh5s0I9SNmtUAS_XuxJyxhOPUmUXXpB"/>
    <s v="Fui na loja 9 loja 82 loja 4"/>
    <m/>
    <s v="Não"/>
    <m/>
    <m/>
    <m/>
    <m/>
    <m/>
    <m/>
    <m/>
    <m/>
    <x v="26"/>
    <n v="44"/>
    <n v="0"/>
    <n v="0"/>
    <n v="0"/>
    <n v="0"/>
    <x v="0"/>
    <x v="0"/>
    <e v="#NAME?"/>
  </r>
  <r>
    <d v="2026-01-16T19:08:14"/>
    <s v="camila.althoff@mazzini.com.br"/>
    <x v="3"/>
    <s v="Mlz4j72"/>
    <x v="10"/>
    <x v="29"/>
    <s v="https://drive.google.com/open?id=1401-bPasXzKWnHL16uoAMKuHzbbHBrth"/>
    <x v="29"/>
    <s v="https://drive.google.com/open?id=1qgfZWCYwxANbzSC53-QTKV1hcgVhP-eK"/>
    <s v="Angeloni beira mar, Fort vargem, kock 47"/>
    <m/>
    <s v="Não"/>
    <m/>
    <m/>
    <m/>
    <m/>
    <m/>
    <m/>
    <m/>
    <m/>
    <x v="27"/>
    <n v="68.2"/>
    <n v="0"/>
    <n v="0"/>
    <n v="0"/>
    <n v="0"/>
    <x v="1"/>
    <x v="0"/>
    <e v="#NAME?"/>
  </r>
  <r>
    <d v="2026-01-17T18:15:49"/>
    <s v="lombardi2025@gmail.com"/>
    <x v="4"/>
    <s v="OWA4C07"/>
    <x v="10"/>
    <x v="30"/>
    <s v="https://drive.google.com/open?id=1CYQPkWFYvecmB4mIn870d1AKLnWcWYAI"/>
    <x v="30"/>
    <s v="https://drive.google.com/open?id=1bnNTMZXa9N3v67XExcmHDFQDoaiT2nUF"/>
    <s v="Cooper vila nova Jaraguá,condor Jaraguá,cooper centro,Angeloni 10"/>
    <m/>
    <s v="Não"/>
    <m/>
    <m/>
    <m/>
    <m/>
    <m/>
    <m/>
    <m/>
    <m/>
    <x v="28"/>
    <n v="119.9"/>
    <n v="0"/>
    <n v="0"/>
    <n v="0"/>
    <n v="0"/>
    <x v="1"/>
    <x v="0"/>
    <e v="#NAME?"/>
  </r>
  <r>
    <d v="2026-01-19T12:12:42"/>
    <s v="sabrina.pires@mazzini.com.br"/>
    <x v="2"/>
    <s v="AZC9E32"/>
    <x v="10"/>
    <x v="31"/>
    <s v="https://drive.google.com/open?id=1EOKcHF4bd0tJEVAWqag1h2e-6i47OIy8"/>
    <x v="31"/>
    <s v="https://drive.google.com/open?id=1tQGr8F2GwsRaqcQGPDPKeu36bYGZGvt6"/>
    <s v="Fort biguaçu _x000a_Komprao bom viver"/>
    <m/>
    <s v="Não"/>
    <m/>
    <m/>
    <m/>
    <m/>
    <m/>
    <m/>
    <m/>
    <m/>
    <x v="23"/>
    <n v="100.10000000000001"/>
    <n v="0"/>
    <n v="0"/>
    <n v="0"/>
    <n v="0"/>
    <x v="1"/>
    <x v="0"/>
    <e v="#NAME?"/>
  </r>
  <r>
    <d v="2026-01-18T02:04:28"/>
    <s v="desyree.gaulke@mazzini.com.br"/>
    <x v="7"/>
    <s v="QIL7H04"/>
    <x v="11"/>
    <x v="32"/>
    <s v="https://drive.google.com/open?id=1ODiTtJTYKTRkzrxjvjVAobRZPJVTsUDp"/>
    <x v="32"/>
    <s v="https://drive.google.com/open?id=17jc_Ct1nN_9pLx_646N_M79k5QCqKclX"/>
    <s v="Zeus, unibox velha, Komprão 40, Cooper itoupava norte"/>
    <n v="43"/>
    <s v="Não"/>
    <m/>
    <m/>
    <m/>
    <m/>
    <m/>
    <m/>
    <m/>
    <m/>
    <x v="29"/>
    <n v="114.4"/>
    <n v="0"/>
    <n v="0"/>
    <n v="0"/>
    <n v="0"/>
    <x v="1"/>
    <x v="0"/>
    <e v="#NAME?"/>
  </r>
  <r>
    <d v="2026-01-20T22:31:47"/>
    <s v="camila.althoff@mazzini.com.br"/>
    <x v="3"/>
    <s v="Mlz4j72"/>
    <x v="12"/>
    <x v="33"/>
    <s v="https://drive.google.com/open?id=1IixB5LARqZMJYQq63D0sMw_XFfH2usa9"/>
    <x v="33"/>
    <s v="https://drive.google.com/open?id=17wA3nsyrkevLqTeOp0Bas-1dSgJTZ-eD"/>
    <s v="Bistek Blumenau, Bistek shopping europeu, giasse"/>
    <m/>
    <s v="Sim"/>
    <s v="5.70"/>
    <s v="https://drive.google.com/open?id=1BcXY8QKVuZEeSyybJnnr-qVmsRu9EkKV"/>
    <m/>
    <m/>
    <s v="36.00"/>
    <s v="https://drive.google.com/open?id=17wFRESNwuUZfQVtOEITOhQWIbwhfCZAR"/>
    <m/>
    <m/>
    <x v="30"/>
    <n v="227.70000000000002"/>
    <n v="5.7"/>
    <n v="0"/>
    <n v="36"/>
    <n v="0"/>
    <x v="1"/>
    <x v="0"/>
    <e v="#NAME?"/>
  </r>
  <r>
    <d v="2026-01-21T13:48:53"/>
    <s v="desyree.gaulke@mazzini.com.br"/>
    <x v="7"/>
    <s v="QIL7H04"/>
    <x v="12"/>
    <x v="34"/>
    <s v="https://drive.google.com/open?id=1dtTPcLJLdvwZV8UYfen8RnlI6DfbvjFE"/>
    <x v="34"/>
    <s v="https://drive.google.com/open?id=1FM-Iaewk2j_THY0pzZLQW2xSB78KLKpQ"/>
    <s v="Atacado Blumenau, Super A, Bisteck garcia, Bisteck park europeu e Giassi"/>
    <m/>
    <s v="Sim"/>
    <m/>
    <m/>
    <m/>
    <m/>
    <s v="16.20"/>
    <s v="https://drive.google.com/open?id=1uRzDEYGMBMGEmtYGFVzijBJzs0XVkuQU"/>
    <m/>
    <m/>
    <x v="31"/>
    <n v="111.10000000000001"/>
    <n v="0"/>
    <n v="0"/>
    <n v="16.2"/>
    <n v="0"/>
    <x v="1"/>
    <x v="0"/>
    <e v="#NAME?"/>
  </r>
  <r>
    <d v="2026-01-22T07:54:08"/>
    <s v="matheus.moraes@mazzini.com.br"/>
    <x v="8"/>
    <s v="LCX1B11"/>
    <x v="13"/>
    <x v="35"/>
    <s v="https://drive.google.com/open?id=12FDq6hZP4T6WCKiV0LyKjxynfT_HzV3w"/>
    <x v="35"/>
    <s v="https://drive.google.com/open?id=1JoZNoA-2p_OUB3AiGIHjvYAPzMCB1xY2"/>
    <s v="Fort Indaial, Komprao Indaial"/>
    <m/>
    <s v="Não"/>
    <m/>
    <m/>
    <m/>
    <m/>
    <m/>
    <m/>
    <m/>
    <m/>
    <x v="32"/>
    <n v="75.900000000000006"/>
    <n v="0"/>
    <n v="0"/>
    <n v="0"/>
    <n v="0"/>
    <x v="1"/>
    <x v="0"/>
    <e v="#NAME?"/>
  </r>
  <r>
    <d v="2026-01-28T13:35:35"/>
    <s v="sussuazevedo.com@icloud.com"/>
    <x v="0"/>
    <s v="MFW6D17"/>
    <x v="13"/>
    <x v="36"/>
    <s v="https://drive.google.com/open?id=1AB714jGoFQ9D2xYBDJKEWHTMFkhZlskc"/>
    <x v="36"/>
    <s v="https://drive.google.com/open?id=12lrURgqqun8GI-0i7KBwlfd4xncxDVtE"/>
    <s v="Itajai e camboriu"/>
    <m/>
    <s v="Não"/>
    <m/>
    <m/>
    <m/>
    <m/>
    <m/>
    <m/>
    <m/>
    <m/>
    <x v="33"/>
    <n v="63.800000000000004"/>
    <n v="0"/>
    <n v="0"/>
    <n v="0"/>
    <n v="0"/>
    <x v="1"/>
    <x v="0"/>
    <e v="#NAME?"/>
  </r>
  <r>
    <d v="2026-01-28T13:55:45"/>
    <s v="sussuazevedo.com@icloud.com"/>
    <x v="0"/>
    <s v="MFW6D17"/>
    <x v="13"/>
    <x v="37"/>
    <s v="https://drive.google.com/open?id=1DCr--91rTOaEQet1tw6ys1dFcLq6PaMJ"/>
    <x v="37"/>
    <s v="https://drive.google.com/open?id=1835HA697di9eJrV1p5nY1OzuFhx20-Ne"/>
    <s v="Itapema porto belo"/>
    <m/>
    <s v="Não"/>
    <m/>
    <m/>
    <m/>
    <m/>
    <m/>
    <m/>
    <m/>
    <m/>
    <x v="34"/>
    <n v="40.700000000000003"/>
    <n v="0"/>
    <n v="0"/>
    <n v="0"/>
    <n v="0"/>
    <x v="1"/>
    <x v="0"/>
    <e v="#NAME?"/>
  </r>
  <r>
    <d v="2026-01-22T09:17:02"/>
    <s v="camila.althoff@mazzini.com.br"/>
    <x v="3"/>
    <s v="Mlz4j72"/>
    <x v="14"/>
    <x v="33"/>
    <s v="https://drive.google.com/open?id=1wNE0V2_Dt8sbFDJ33t_fOoujQFfkhrKO"/>
    <x v="38"/>
    <s v="https://drive.google.com/open?id=1RDPhnao_LiL9yXpeH5PnloPxuL8_2RYu"/>
    <s v="Hotel Blumenau, casa"/>
    <m/>
    <s v="Sim"/>
    <s v="5.70"/>
    <s v="https://drive.google.com/open?id=11MFU9nQtn94uwTv1qEDKfUnZ6hQ5vNaA"/>
    <m/>
    <m/>
    <m/>
    <s v="https://drive.google.com/open?id=18ZTL7TwuiV_pNfJ8OfapuQW3VpPvsBhN"/>
    <s v="221.45"/>
    <m/>
    <x v="35"/>
    <n v="413.6"/>
    <n v="5.7"/>
    <n v="0"/>
    <n v="0"/>
    <n v="221.45"/>
    <x v="1"/>
    <x v="0"/>
    <e v="#NAME?"/>
  </r>
  <r>
    <d v="2026-01-22T23:31:55"/>
    <s v="camila.althoff@mazzini.com.br"/>
    <x v="3"/>
    <s v="Mlz4j72"/>
    <x v="14"/>
    <x v="38"/>
    <s v="https://drive.google.com/open?id=17kiP2PnKa0h85Wn3hEvNkB-HKHZOXSpm"/>
    <x v="39"/>
    <s v="https://drive.google.com/open?id=1Aq5r-yiyrz9JsRn2Krqxyolr6XtMGKZP"/>
    <s v="Carrefour, Brasil Atacadista Rio Tavares"/>
    <m/>
    <s v="Sim"/>
    <m/>
    <m/>
    <s v="20.00"/>
    <s v="https://drive.google.com/open?id=1ZqGpgSQQlOlNggkAcumH-WSKRsX6mifT"/>
    <m/>
    <m/>
    <m/>
    <m/>
    <x v="36"/>
    <n v="29.700000000000003"/>
    <n v="0"/>
    <n v="20"/>
    <n v="0"/>
    <n v="0"/>
    <x v="1"/>
    <x v="0"/>
    <e v="#NAME?"/>
  </r>
  <r>
    <d v="2026-01-22T21:23:22"/>
    <s v="matheus.moraes@mazzini.com.br"/>
    <x v="8"/>
    <s v="LCX1B11"/>
    <x v="14"/>
    <x v="39"/>
    <s v="https://drive.google.com/open?id=1HWp5cUN2ckfvU-Z25ATf-aHYKkV2dT8x"/>
    <x v="40"/>
    <s v="https://drive.google.com/open?id=1kmuv7e1lImkB6vWW7JWkOvINP-Ff9ZgJ"/>
    <s v="Brasil Atacadista, S5 Unibox, Komprao40 Agua Verde, Cooper Garcia Florianopolis Sc, Gtop Escola Agricola 20"/>
    <m/>
    <s v="Não"/>
    <m/>
    <m/>
    <m/>
    <m/>
    <m/>
    <m/>
    <m/>
    <m/>
    <x v="37"/>
    <n v="130.9"/>
    <n v="0"/>
    <n v="0"/>
    <n v="0"/>
    <n v="0"/>
    <x v="1"/>
    <x v="0"/>
    <e v="#NAME?"/>
  </r>
  <r>
    <d v="2026-01-24T17:48:32"/>
    <s v="sabrina.pires@mazzini.vom.br"/>
    <x v="2"/>
    <s v="AZC9E32"/>
    <x v="14"/>
    <x v="40"/>
    <s v="https://drive.google.com/open?id=198YgsxkVElI5kvBFFKMbW1FScNZG9U0w"/>
    <x v="41"/>
    <s v="https://drive.google.com/open?id=1349vFrcsP6nLXZxcMNVgRSHZmuEjmOMx"/>
    <s v="Fort atacadista _x000a_Komprao forquilhas"/>
    <m/>
    <s v="Não"/>
    <m/>
    <m/>
    <m/>
    <m/>
    <m/>
    <m/>
    <m/>
    <m/>
    <x v="38"/>
    <n v="103.4"/>
    <n v="0"/>
    <n v="0"/>
    <n v="0"/>
    <n v="0"/>
    <x v="1"/>
    <x v="0"/>
    <e v="#NAME?"/>
  </r>
  <r>
    <d v="2026-01-23T17:09:27"/>
    <s v="camila.althoff@mazzini.com.br"/>
    <x v="3"/>
    <s v="Mlz4j72"/>
    <x v="15"/>
    <x v="41"/>
    <s v="https://drive.google.com/open?id=1Todrej8TjIj_vrgtnGvNl8ojzjOXGxOs"/>
    <x v="42"/>
    <s v="https://drive.google.com/open?id=1zNTkIIzA0EGeZp6GPKyEABlXjNLSvfh7"/>
    <s v="Sams, Fort jardim atlântico, imperatriz coqueiros"/>
    <m/>
    <s v="Não"/>
    <m/>
    <m/>
    <m/>
    <m/>
    <m/>
    <m/>
    <m/>
    <m/>
    <x v="39"/>
    <n v="38.5"/>
    <n v="0"/>
    <n v="0"/>
    <n v="0"/>
    <n v="0"/>
    <x v="1"/>
    <x v="0"/>
    <e v="#NAME?"/>
  </r>
  <r>
    <d v="2026-01-23T18:38:32"/>
    <s v="matheus.moraes@mazzini.com.br"/>
    <x v="8"/>
    <s v="LCX1B11"/>
    <x v="15"/>
    <x v="42"/>
    <s v="https://drive.google.com/open?id=1bLSoBfQUXz-MQZ9reu6YBDvu9pFDYJbf"/>
    <x v="43"/>
    <s v="https://drive.google.com/open?id=1Jjy-4yWTFWpC_tFvaonRhtVHB0MdoCel"/>
    <s v="Supermercados Central 104, Komprao36 Brusque Guarani, Fort Brusque"/>
    <m/>
    <s v="Sim"/>
    <m/>
    <m/>
    <m/>
    <m/>
    <s v="9.00"/>
    <s v="https://drive.google.com/open?id=1NmurPePapOdfIZSLkJ07Lhvwg7fPcftb"/>
    <m/>
    <s v="Crachá de supervisor"/>
    <x v="40"/>
    <n v="183.70000000000002"/>
    <n v="0"/>
    <n v="0"/>
    <n v="9"/>
    <n v="0"/>
    <x v="1"/>
    <x v="0"/>
    <e v="#NAME?"/>
  </r>
  <r>
    <d v="2026-01-26T21:50:44"/>
    <s v="lombardi2025@gmail.com"/>
    <x v="4"/>
    <s v="OWA4C07"/>
    <x v="15"/>
    <x v="43"/>
    <s v="https://drive.google.com/open?id=1p3AgKlCEHpAmKgeaB6e9JCsRHNukQpJz"/>
    <x v="44"/>
    <s v="https://drive.google.com/open?id=1OpxKZbx-Frq0o-_JdHRTs4ln0zV1NdLy"/>
    <s v="Komprao 50,Ervino busca de material"/>
    <m/>
    <s v="Não"/>
    <m/>
    <m/>
    <m/>
    <m/>
    <m/>
    <m/>
    <m/>
    <m/>
    <x v="41"/>
    <n v="123.20000000000002"/>
    <n v="0"/>
    <n v="0"/>
    <n v="0"/>
    <n v="0"/>
    <x v="1"/>
    <x v="0"/>
    <e v="#NAME?"/>
  </r>
  <r>
    <d v="2026-01-24T17:53:11"/>
    <s v="sabrina.pires@mazzini.com.br"/>
    <x v="2"/>
    <s v="AZC9E32"/>
    <x v="15"/>
    <x v="44"/>
    <s v="https://drive.google.com/open?id=1840PHBhKeWRx1ByapMfvfObqGKcv43r5"/>
    <x v="45"/>
    <s v="https://drive.google.com/open?id=1F8JCua_RiNqCLINcFTk3iUTJSsYzVYFj"/>
    <s v="Fort atacadista_x000a_Brasil atacadista _x000a_Komprao _x000a_Komprao _x000a_Fort_x000a_"/>
    <m/>
    <s v="Não"/>
    <m/>
    <m/>
    <m/>
    <m/>
    <m/>
    <m/>
    <m/>
    <m/>
    <x v="42"/>
    <n v="91.300000000000011"/>
    <n v="0"/>
    <n v="0"/>
    <n v="0"/>
    <n v="0"/>
    <x v="1"/>
    <x v="0"/>
    <e v="#NAME?"/>
  </r>
  <r>
    <d v="2026-01-26T23:04:42"/>
    <s v="matheus.moraes@mazzini.com.br"/>
    <x v="8"/>
    <s v="LCX1B11"/>
    <x v="16"/>
    <x v="45"/>
    <s v="https://drive.google.com/open?id=1qjrq6I3g_2UkqJYgb_xBrXn94rcHzYxw"/>
    <x v="46"/>
    <s v="https://drive.google.com/open?id=1xZBCmfUAVQak-smXin6f_NvLcjMlWUE1"/>
    <s v="Cooper Caçadores, Cooper Gen. Osorio, Cooper Filial Vila N, Gtop Escola Agricola, Komprao36 Brusque Guarani, Fort Brusque"/>
    <m/>
    <s v="Não"/>
    <m/>
    <m/>
    <m/>
    <m/>
    <m/>
    <m/>
    <m/>
    <m/>
    <x v="43"/>
    <n v="191.4"/>
    <n v="0"/>
    <n v="0"/>
    <n v="0"/>
    <n v="0"/>
    <x v="1"/>
    <x v="0"/>
    <e v="#NAME?"/>
  </r>
  <r>
    <d v="2026-01-26T21:55:14"/>
    <s v="lombardi2025@gmail.com"/>
    <x v="4"/>
    <s v="OWA4C07"/>
    <x v="16"/>
    <x v="46"/>
    <s v="https://drive.google.com/open?id=16ZbJiqGNFJbYGpgZwneW9Vwp7R1Nllce"/>
    <x v="47"/>
    <s v="https://drive.google.com/open?id=1mqn3uWVohBSmOb3IrjGd33Q8PhbH-fHu"/>
    <s v="Brasília rua tupi,komprao 51, Brasília"/>
    <m/>
    <s v="Não"/>
    <m/>
    <m/>
    <m/>
    <m/>
    <m/>
    <m/>
    <m/>
    <m/>
    <x v="44"/>
    <n v="34.1"/>
    <n v="0"/>
    <n v="0"/>
    <n v="0"/>
    <n v="0"/>
    <x v="1"/>
    <x v="0"/>
    <e v="#NAME?"/>
  </r>
  <r>
    <d v="2026-01-28T13:31:00"/>
    <s v="sussuazevedo.com@icloud.com"/>
    <x v="0"/>
    <s v="MFW6D17"/>
    <x v="16"/>
    <x v="47"/>
    <s v="https://drive.google.com/open?id=1dfV85vO3LuQgkem8jFoWmWmlwBV4G-vz"/>
    <x v="48"/>
    <s v="https://drive.google.com/open?id=1tksS1GNjF61GQM9ThJp5AxgcugxW7_Kr"/>
    <s v="Todas de camboriu"/>
    <m/>
    <s v="Não"/>
    <m/>
    <m/>
    <m/>
    <m/>
    <m/>
    <m/>
    <m/>
    <m/>
    <x v="42"/>
    <n v="91.300000000000011"/>
    <n v="0"/>
    <n v="0"/>
    <n v="0"/>
    <n v="0"/>
    <x v="1"/>
    <x v="0"/>
    <e v="#NAME?"/>
  </r>
  <r>
    <d v="2026-01-28T13:40:50"/>
    <s v="camila.althoff@mazzini.com.br"/>
    <x v="3"/>
    <s v="Mlz4j72"/>
    <x v="17"/>
    <x v="48"/>
    <s v="https://drive.google.com/open?id=1gh1UKg0iTDnBw6eGkoKfb3QGv8lHhrZb"/>
    <x v="49"/>
    <s v="https://drive.google.com/open?id=1QqW6izTO_FHKmThCMp2h5uYpGy6mYZ7b"/>
    <s v="Komprao Laguna, Fort tubarão, combo içara"/>
    <m/>
    <s v="Sim"/>
    <s v="10.50"/>
    <s v="https://drive.google.com/open?id=1hA8a5eBR_el2CfQkp2V0hDyfRdOFs-z3"/>
    <s v="10.00"/>
    <s v="https://drive.google.com/open?id=1pqJ0-Or0-2ofKQ1VgoLipizSuU2DltoX"/>
    <s v="35.00"/>
    <m/>
    <n v="192"/>
    <s v="Não tem nota da janta pois a loja se recusou a enviar a nota pelo motoboy"/>
    <x v="45"/>
    <n v="240.9"/>
    <n v="10.5"/>
    <n v="10"/>
    <n v="35"/>
    <n v="192"/>
    <x v="1"/>
    <x v="0"/>
    <e v="#NAME?"/>
  </r>
  <r>
    <d v="2026-01-27T21:41:19"/>
    <s v="oliiveiiraa7@gmail.com"/>
    <x v="6"/>
    <s v="EUF3090"/>
    <x v="17"/>
    <x v="49"/>
    <s v="https://drive.google.com/open?id=1LNWafjbzmLYh8MCxmeKWSarTtl7QcM17"/>
    <x v="50"/>
    <s v="https://drive.google.com/open?id=1sogDqfbeSTJGAXIqBfLPKlyZPNCnLb3W"/>
    <s v="Deslocamento buscar materiais, Brasil atacadista Rio do Sul, Brasil atacadista bairro progresso"/>
    <m/>
    <s v="Não"/>
    <m/>
    <m/>
    <m/>
    <m/>
    <m/>
    <m/>
    <m/>
    <m/>
    <x v="46"/>
    <n v="414.70000000000005"/>
    <n v="0"/>
    <n v="0"/>
    <n v="0"/>
    <n v="0"/>
    <x v="1"/>
    <x v="0"/>
    <e v="#NAME?"/>
  </r>
  <r>
    <d v="2026-01-28T17:56:10"/>
    <s v="matheus.moraes@mazzini.com"/>
    <x v="8"/>
    <s v="LCX1B11"/>
    <x v="17"/>
    <x v="50"/>
    <s v="https://drive.google.com/open?id=1Y7mcRSCv8Fv9hJNRkZM79wteQAAuYNuK"/>
    <x v="51"/>
    <s v="https://drive.google.com/open?id=10YwnzQ_7XZSGGrKS71fIjRxt-aO9aNdn"/>
    <s v="Brasil Atacadista 19 Rio do Sul, Recolhimento do Celular Corporativo JACQUELINE BELLI FRANÇA, Komprao Blumenau Loja32"/>
    <m/>
    <s v="Não"/>
    <m/>
    <m/>
    <m/>
    <m/>
    <m/>
    <m/>
    <m/>
    <m/>
    <x v="47"/>
    <n v="265.10000000000002"/>
    <n v="0"/>
    <n v="0"/>
    <n v="0"/>
    <n v="0"/>
    <x v="1"/>
    <x v="0"/>
    <e v="#NAME?"/>
  </r>
  <r>
    <d v="2026-01-29T13:27:25"/>
    <s v="sabrina.pires@mazzini.com.br"/>
    <x v="2"/>
    <s v="AZC9E32"/>
    <x v="17"/>
    <x v="51"/>
    <s v="https://drive.google.com/open?id=1j99scv_3Ye_zHldHAF6XB_U24YbYyLOV"/>
    <x v="52"/>
    <s v="https://drive.google.com/open?id=1nEe8Nf1RHyeHTK5WMq8c9tQp9wVZz1_Q"/>
    <s v="Atacadao _x000a_Fort atacadista _x000a_Koch _x000a_Fort atacadista"/>
    <m/>
    <s v="Não"/>
    <m/>
    <m/>
    <m/>
    <m/>
    <m/>
    <m/>
    <m/>
    <m/>
    <x v="48"/>
    <n v="78.100000000000009"/>
    <n v="0"/>
    <n v="0"/>
    <n v="0"/>
    <n v="0"/>
    <x v="1"/>
    <x v="0"/>
    <e v="#NAME?"/>
  </r>
  <r>
    <d v="2026-01-28T19:51:48"/>
    <s v="camila.althoff@mazzini.com.br"/>
    <x v="3"/>
    <s v="Mlz4j72"/>
    <x v="18"/>
    <x v="52"/>
    <s v="https://drive.google.com/open?id=1anr5Cq4aQOeES1Ull2zfbz6T7waT1vVP"/>
    <x v="53"/>
    <s v="https://drive.google.com/open?id=1yqfxgzLG2FEnX6R3ILsI3i3w17sLki3U"/>
    <s v="Atacadão içara, komprao Garopaba"/>
    <m/>
    <s v="Sim"/>
    <s v="10.50"/>
    <s v="https://drive.google.com/open?id=1N500xKzKfXhnLnh2dCgGMt7H8pzloGDt"/>
    <m/>
    <m/>
    <m/>
    <m/>
    <m/>
    <m/>
    <x v="49"/>
    <n v="248.60000000000002"/>
    <n v="10.5"/>
    <n v="0"/>
    <n v="0"/>
    <n v="0"/>
    <x v="1"/>
    <x v="0"/>
    <e v="#NAME?"/>
  </r>
  <r>
    <d v="2026-01-28T19:55:10"/>
    <s v="oliiveiira7@gmail.com"/>
    <x v="6"/>
    <s v="EUF3090"/>
    <x v="18"/>
    <x v="53"/>
    <s v="https://drive.google.com/open?id=1ZuHzdcnii6j9MFtNe3oBWp5Ho7m59Ty4"/>
    <x v="54"/>
    <s v="https://drive.google.com/open?id=1_xNUV4nKT06l-6q3OiEHgN11cPFC7-xn"/>
    <s v="Super pão Porto União"/>
    <m/>
    <s v="Não"/>
    <m/>
    <m/>
    <m/>
    <m/>
    <m/>
    <m/>
    <m/>
    <m/>
    <x v="50"/>
    <n v="440.00000000000006"/>
    <n v="0"/>
    <n v="0"/>
    <n v="0"/>
    <n v="0"/>
    <x v="1"/>
    <x v="0"/>
    <e v="#NAME?"/>
  </r>
  <r>
    <d v="2026-01-30T20:03:06"/>
    <s v="lombardi2025@gmail.com"/>
    <x v="4"/>
    <s v="OWA4C07"/>
    <x v="18"/>
    <x v="54"/>
    <s v="https://drive.google.com/open?id=19AdjbCkQ-rSFdvsbIPtiYvVJ4_LlL84l"/>
    <x v="55"/>
    <s v="https://drive.google.com/open?id=1wGyU2QL1P2C702yHAg1Om3avtlM82Vds"/>
    <s v="Brasília rua tupi,komprao 59 Brasília rua tupi,komprao 45.angeloni 23,Fort 905"/>
    <m/>
    <s v="Não"/>
    <m/>
    <m/>
    <m/>
    <m/>
    <m/>
    <m/>
    <m/>
    <m/>
    <x v="51"/>
    <n v="45.1"/>
    <n v="0"/>
    <n v="0"/>
    <n v="0"/>
    <n v="0"/>
    <x v="1"/>
    <x v="0"/>
    <e v="#NAME?"/>
  </r>
  <r>
    <d v="2026-01-29T13:30:52"/>
    <s v="sabrina.pires@mazzini.com.br"/>
    <x v="2"/>
    <s v="AZC9E32"/>
    <x v="18"/>
    <x v="55"/>
    <s v="https://drive.google.com/open?id=1v1Tq8mDb9t2pVc2uCG5mncb_ulX0Gc9o"/>
    <x v="56"/>
    <s v="https://drive.google.com/open?id=1wcE6e9gNH--jkryfCP0OOq0ToXUAX1dx"/>
    <s v="Komprao _x000a_Fort atacadista _x000a_Brasil atacadista"/>
    <m/>
    <s v="Não"/>
    <m/>
    <m/>
    <m/>
    <m/>
    <m/>
    <m/>
    <m/>
    <m/>
    <x v="11"/>
    <n v="51.7"/>
    <n v="0"/>
    <n v="0"/>
    <n v="0"/>
    <n v="0"/>
    <x v="1"/>
    <x v="0"/>
    <e v="#NAME?"/>
  </r>
  <r>
    <d v="2026-01-29T20:26:54"/>
    <s v="camila.althoff@mazzini.com.br"/>
    <x v="3"/>
    <s v="Mlz4j72"/>
    <x v="19"/>
    <x v="56"/>
    <s v="https://drive.google.com/open?id=1IC2I3MHVBnWmxz5eP63nUXhA83WBqMQ9"/>
    <x v="57"/>
    <s v="https://drive.google.com/open?id=13EXOW0wx_vWs3XWQ-_-Avendxip24kM8"/>
    <s v="Angeloni beira mar, Angeloni capoeiras, Zeus brasil,Bistek são José"/>
    <m/>
    <s v="Sim"/>
    <m/>
    <m/>
    <s v="10.00"/>
    <s v="https://drive.google.com/open?id=1of3pBOPRnS6k45XZan68n1laFLi7nn0Q"/>
    <m/>
    <m/>
    <m/>
    <m/>
    <x v="52"/>
    <n v="83.600000000000009"/>
    <n v="0"/>
    <n v="10"/>
    <n v="0"/>
    <n v="0"/>
    <x v="1"/>
    <x v="0"/>
    <e v="#NAME?"/>
  </r>
  <r>
    <d v="2026-01-30T14:48:15"/>
    <s v="matheus.moraes@mazzini.com.br"/>
    <x v="8"/>
    <s v="LCX1B11"/>
    <x v="19"/>
    <x v="57"/>
    <s v="https://drive.google.com/open?id=1cIrucY7RzrRFmDiwW3tJmFnpMnv28z1l"/>
    <x v="58"/>
    <s v="https://drive.google.com/open?id=1Y8zBj4oKcR22ivo3I6xlVnaxp_XtQ9Nh"/>
    <s v="Gtop Escola Agricola 20, Otto Atacarejo 1470, Fort Indaial Lj 270"/>
    <n v="9"/>
    <s v="Não"/>
    <m/>
    <m/>
    <m/>
    <m/>
    <m/>
    <m/>
    <m/>
    <m/>
    <x v="53"/>
    <n v="143"/>
    <n v="0"/>
    <n v="0"/>
    <n v="0"/>
    <n v="0"/>
    <x v="1"/>
    <x v="0"/>
    <e v="#NAME?"/>
  </r>
  <r>
    <d v="2026-01-30T20:09:15"/>
    <s v="lombardi2025@gmail.com"/>
    <x v="4"/>
    <s v="OWA4C07"/>
    <x v="19"/>
    <x v="58"/>
    <s v="https://drive.google.com/open?id=1irEs3O0ROkOlAY-UFewTdOiAnUxcxe1y"/>
    <x v="59"/>
    <s v="https://drive.google.com/open?id=1V7TOKyC_yDCCiHqXd92FPuZlNF1onPD-"/>
    <s v="Condor Mafra, komprao 65,condor rio negrinho,hiper sao bento ,super pão 41, super pão 42,"/>
    <m/>
    <s v="Não"/>
    <m/>
    <m/>
    <m/>
    <m/>
    <m/>
    <m/>
    <m/>
    <m/>
    <x v="54"/>
    <n v="379.50000000000006"/>
    <n v="0"/>
    <n v="0"/>
    <n v="0"/>
    <n v="0"/>
    <x v="1"/>
    <x v="0"/>
    <e v="#NAME?"/>
  </r>
  <r>
    <d v="2026-01-30T18:30:22"/>
    <s v="oliiveiira7@gmail.com"/>
    <x v="6"/>
    <s v="EUF3090"/>
    <x v="20"/>
    <x v="59"/>
    <s v="https://drive.google.com/open?id=1D6JgJSX2Kb4TugMA58U_kjlc2z6AEe5v"/>
    <x v="60"/>
    <s v="https://drive.google.com/open?id=1pICA8jbru7QoLmScU6UHVOfIQsFAurrU"/>
    <s v="Fort 960 Lages, Stok center Lages, Angeloni Lages, Fort 260 Lages"/>
    <m/>
    <s v="Não"/>
    <m/>
    <m/>
    <m/>
    <m/>
    <m/>
    <m/>
    <m/>
    <m/>
    <x v="55"/>
    <n v="229.9"/>
    <n v="0"/>
    <n v="0"/>
    <n v="0"/>
    <n v="0"/>
    <x v="1"/>
    <x v="0"/>
    <e v="#NAME?"/>
  </r>
  <r>
    <d v="2026-01-30T20:12:36"/>
    <s v="lombardi2025@gmail.com"/>
    <x v="4"/>
    <s v="OWA4C07"/>
    <x v="20"/>
    <x v="60"/>
    <s v="https://drive.google.com/open?id=1jTwIxbS47fOGypC2lE2NI0p0GjgiszEu"/>
    <x v="61"/>
    <s v="https://drive.google.com/open?id=1TojWAuI7BcJUVIqCbwYweP7mEQ_BZe-h"/>
    <s v="Komprao 59, komprao 77,condor 51"/>
    <m/>
    <s v="Não"/>
    <m/>
    <m/>
    <m/>
    <m/>
    <m/>
    <m/>
    <m/>
    <m/>
    <x v="56"/>
    <n v="41.800000000000004"/>
    <n v="0"/>
    <n v="0"/>
    <n v="0"/>
    <n v="0"/>
    <x v="1"/>
    <x v="0"/>
    <e v="#NAME?"/>
  </r>
  <r>
    <d v="2026-01-31T09:59:19"/>
    <s v="sabrina.pires@mazzini.com.br"/>
    <x v="2"/>
    <s v="AZC9E32"/>
    <x v="20"/>
    <x v="61"/>
    <s v="https://drive.google.com/open?id=19jrewGD2E7G4D3Xoj810-Y-CBUJkq1UJ"/>
    <x v="62"/>
    <s v="https://drive.google.com/open?id=1ph1eQuq2DZ4ALo6AxIcEjbOkYWl8za-r"/>
    <s v="Fort 130 _x000a_Fort 462_x000a_Brasil atacadista _x000a_Fort 306_x000a_Fort 365_x000a_Komprao _x000a_Komprao pedra branca"/>
    <m/>
    <s v="Não"/>
    <m/>
    <m/>
    <m/>
    <m/>
    <m/>
    <m/>
    <m/>
    <m/>
    <x v="57"/>
    <n v="238.70000000000002"/>
    <n v="0"/>
    <n v="0"/>
    <n v="0"/>
    <n v="0"/>
    <x v="1"/>
    <x v="0"/>
    <e v="#NAME?"/>
  </r>
  <r>
    <d v="2026-01-31T09:49:42"/>
    <s v="camila.althoff@mazzini.com.br"/>
    <x v="3"/>
    <s v="Mlz4j72"/>
    <x v="21"/>
    <x v="62"/>
    <s v="https://drive.google.com/open?id=1_GQvHi7DGvvIRbC-BqWJFyok5A_Eac_N"/>
    <x v="63"/>
    <s v="https://drive.google.com/open?id=1mTr2Frwrz2coX9vKItf7fc2KtQT5j6rZ"/>
    <s v="Angeloni beira mar, atacadão via expressa, Carrefour"/>
    <m/>
    <s v="Não"/>
    <m/>
    <m/>
    <m/>
    <m/>
    <m/>
    <m/>
    <m/>
    <m/>
    <x v="33"/>
    <n v="63.800000000000004"/>
    <n v="0"/>
    <n v="0"/>
    <n v="0"/>
    <n v="0"/>
    <x v="1"/>
    <x v="0"/>
    <e v="#NAME?"/>
  </r>
  <r>
    <d v="2026-01-31T19:50:09"/>
    <s v="matheus.moraes@mazzini.com.br"/>
    <x v="8"/>
    <s v="LCX1B11"/>
    <x v="21"/>
    <x v="63"/>
    <s v="https://drive.google.com/open?id=1I80W8esWwOAC29l9n-P9W3Arx9XzBLvz"/>
    <x v="64"/>
    <s v="https://drive.google.com/open?id=1Ca3PZvDdJnfzIcceqqvZOOBXHtPZwuFA"/>
    <s v="Koch Lj 89 Blumenau, Supermercados Mocam Indaial, Komprao Timbó Lj34"/>
    <m/>
    <s v="Não"/>
    <m/>
    <m/>
    <m/>
    <m/>
    <m/>
    <m/>
    <m/>
    <m/>
    <x v="6"/>
    <n v="90.2"/>
    <n v="0"/>
    <n v="0"/>
    <n v="0"/>
    <n v="0"/>
    <x v="1"/>
    <x v="0"/>
    <e v="#NAME?"/>
  </r>
  <r>
    <d v="2026-02-03T09:49:10"/>
    <s v="matheus.moraes@mazzini.com.br"/>
    <x v="8"/>
    <s v="QIL7H04"/>
    <x v="22"/>
    <x v="64"/>
    <s v="https://drive.google.com/open?id=1ZqjQrleQUS6Sn1OciJ53hhtyv375IHyf"/>
    <x v="65"/>
    <s v="https://drive.google.com/open?id=1wBpp45W-5EXCo1uAT4ENJgNdsy8iFZVv"/>
    <s v="Archer matriz Brusque e Bistek park europeu"/>
    <m/>
    <s v="Sim"/>
    <m/>
    <m/>
    <m/>
    <m/>
    <s v="13.80"/>
    <s v="https://drive.google.com/open?id=1RgPY6LsOUHKnWxjr8bGGR1iKx7YEnQfX"/>
    <m/>
    <s v="Impressões dos documentos do Archer"/>
    <x v="58"/>
    <n v="182.60000000000002"/>
    <n v="0"/>
    <n v="0"/>
    <n v="13.8"/>
    <n v="0"/>
    <x v="0"/>
    <x v="1"/>
    <e v="#NAME?"/>
  </r>
  <r>
    <d v="2026-02-18T08:30:13"/>
    <s v="lombardi2025@gmail.com"/>
    <x v="4"/>
    <s v="OWA4C07"/>
    <x v="22"/>
    <x v="65"/>
    <m/>
    <x v="66"/>
    <m/>
    <s v="Hiper Itinga ,samns club"/>
    <m/>
    <s v="Não"/>
    <m/>
    <m/>
    <m/>
    <m/>
    <m/>
    <m/>
    <m/>
    <m/>
    <x v="59"/>
    <n v="25.3"/>
    <n v="0"/>
    <n v="0"/>
    <n v="0"/>
    <n v="0"/>
    <x v="0"/>
    <x v="1"/>
    <e v="#NAME?"/>
  </r>
  <r>
    <d v="2026-02-03T18:35:14"/>
    <s v="camila.althoff@mazzini.com.br"/>
    <x v="3"/>
    <s v="Mlz4j72"/>
    <x v="23"/>
    <x v="66"/>
    <s v="https://drive.google.com/open?id=1wWtbY0LNAak171WH3UdILHZ0YB8UdrOg"/>
    <x v="67"/>
    <s v="https://drive.google.com/open?id=1wqYUSFnUT-TLos4LwY1y68XdXl5nviPe"/>
    <s v="Brasil Atacadista porto belo, kock 04, Komprao Itapema"/>
    <m/>
    <s v="Sim"/>
    <s v="11.40"/>
    <s v="https://drive.google.com/open?id=1tQYLoEa8YFoCzA6lJ5a3D4Q2l03HkKue"/>
    <m/>
    <m/>
    <s v="106.76"/>
    <s v="https://drive.google.com/open?id=1efhBH9WAAC4fqSjPMKqfoJzcJ8yjaqGc"/>
    <m/>
    <m/>
    <x v="60"/>
    <n v="225.50000000000003"/>
    <n v="11.4"/>
    <n v="0"/>
    <n v="106.76"/>
    <n v="0"/>
    <x v="0"/>
    <x v="1"/>
    <e v="#NAME?"/>
  </r>
  <r>
    <d v="2026-02-03T18:09:16"/>
    <s v="matheus.moraes@mazzini.com.br"/>
    <x v="8"/>
    <s v="QIL7H04"/>
    <x v="23"/>
    <x v="67"/>
    <s v="https://drive.google.com/open?id=1hSYRhvDmkYDpL-C3N8CpANJme0eFKxMl"/>
    <x v="68"/>
    <s v="https://drive.google.com/open?id=14ZvXM6bvFf-33Qr5V79LvAyFlZ9gwiWg"/>
    <s v="COOPER IBIRAMA E REDE TOP IBIRAMA"/>
    <m/>
    <s v="Não"/>
    <m/>
    <m/>
    <m/>
    <m/>
    <m/>
    <m/>
    <m/>
    <m/>
    <x v="40"/>
    <n v="183.70000000000002"/>
    <n v="0"/>
    <n v="0"/>
    <n v="0"/>
    <n v="0"/>
    <x v="0"/>
    <x v="1"/>
    <e v="#NAME?"/>
  </r>
  <r>
    <d v="2026-02-04T17:20:06"/>
    <s v="sabrina.pires@mazzini.com.br"/>
    <x v="2"/>
    <s v="AZC9E32"/>
    <x v="23"/>
    <x v="61"/>
    <s v="https://drive.google.com/open?id=1fsSVTccl9bSmr4SzBDCexqS8vRgRHi1e"/>
    <x v="69"/>
    <s v="https://drive.google.com/open?id=1m9rwpwDcYex90I5yT6ngrrcSfRou0WUG"/>
    <s v="Brasil atacadista _x000a_Fort atacadista _x000a_Fort 130_x000a_Komprao _x000a_Komprao"/>
    <m/>
    <s v="Não"/>
    <m/>
    <m/>
    <m/>
    <m/>
    <m/>
    <m/>
    <m/>
    <m/>
    <x v="61"/>
    <n v="356.40000000000003"/>
    <n v="0"/>
    <n v="0"/>
    <n v="0"/>
    <n v="0"/>
    <x v="0"/>
    <x v="1"/>
    <e v="#NAME?"/>
  </r>
  <r>
    <d v="2026-02-05T07:28:20"/>
    <s v="camila.althoff@mazzini.com.br"/>
    <x v="3"/>
    <s v="Mlz4j72"/>
    <x v="24"/>
    <x v="68"/>
    <s v="https://drive.google.com/open?id=1pjOKOuzKgL3QpAYB_sla0T29P3jqK4I_"/>
    <x v="70"/>
    <s v="https://drive.google.com/open?id=1NRGOMY9Ax415RJI0gGPGJolu5SiZyil-"/>
    <s v="Angeloni beira mar, Zeus ,Carrefour , brasil rio Tavares"/>
    <m/>
    <s v="Sim"/>
    <m/>
    <m/>
    <s v="20.00"/>
    <s v="https://drive.google.com/open?id=1Dg8cSzPgDQgSBLDMUXjV9_u8lRSUqPJ6"/>
    <m/>
    <m/>
    <m/>
    <m/>
    <x v="62"/>
    <n v="64.900000000000006"/>
    <n v="0"/>
    <n v="20"/>
    <n v="0"/>
    <n v="0"/>
    <x v="0"/>
    <x v="1"/>
    <e v="#NAME?"/>
  </r>
  <r>
    <d v="2026-02-05T09:09:51"/>
    <s v="matheus.moraes@mazzini.com.br"/>
    <x v="8"/>
    <s v="QIL7H04"/>
    <x v="24"/>
    <x v="69"/>
    <s v="https://drive.google.com/open?id=1JcaIkjWdFwb59Pf6WNbHpWs6XOpQmnc3"/>
    <x v="71"/>
    <s v="https://drive.google.com/open?id=1DYdKVIX7_acQ5DlbFotuKG2hTlft2-GG"/>
    <s v="BISTEK GARCIA, COOPER ITOUPAVA NORTE E BISTEK PARK EUROPEU"/>
    <m/>
    <s v="Não"/>
    <m/>
    <m/>
    <m/>
    <m/>
    <m/>
    <m/>
    <m/>
    <m/>
    <x v="63"/>
    <n v="94.600000000000009"/>
    <n v="0"/>
    <n v="0"/>
    <n v="0"/>
    <n v="0"/>
    <x v="0"/>
    <x v="1"/>
    <e v="#NAME?"/>
  </r>
  <r>
    <d v="2026-02-05T20:44:02"/>
    <s v="sabrina.pires@mazzini.com.br"/>
    <x v="2"/>
    <s v="AZC9E32"/>
    <x v="24"/>
    <x v="70"/>
    <s v="https://drive.google.com/open?id=12AIoq0BFVilhzwUbc0V5nM7YlL6JBhNP"/>
    <x v="72"/>
    <s v="https://drive.google.com/open?id=1BRfafYKZvSfTZX2_LUSuFBvMavUR99d-"/>
    <s v="Komprao53_x000a_Komprao 01_x000a_Komprao 02_x000a_Komprao 20_x000a_Komprao 24_x000a_Tijucas"/>
    <m/>
    <s v="Não"/>
    <m/>
    <m/>
    <m/>
    <m/>
    <m/>
    <m/>
    <m/>
    <m/>
    <x v="21"/>
    <n v="136.4"/>
    <n v="0"/>
    <n v="0"/>
    <n v="0"/>
    <n v="0"/>
    <x v="0"/>
    <x v="1"/>
    <e v="#NAME?"/>
  </r>
  <r>
    <d v="2026-02-05T21:34:55"/>
    <s v="camila.althoff@mazzini.com.br"/>
    <x v="3"/>
    <s v="Mlz4j72"/>
    <x v="25"/>
    <x v="71"/>
    <s v="https://drive.google.com/open?id=1muhhx2tI6O-dsWo4FP6ZKVzpHu_VbI-t"/>
    <x v="73"/>
    <s v="https://drive.google.com/open?id=1oOCjPuYSRT8JE5vD6x3anGf6QMVoD-YB"/>
    <s v="Angeloni beira mar, Bistek Itajaí, hotel Joinville"/>
    <m/>
    <s v="Sim"/>
    <s v="11.40"/>
    <m/>
    <m/>
    <m/>
    <s v="57.90"/>
    <s v="https://drive.google.com/open?id=1I4B6mE9VpvAIn1Q-XeZWOaEjjW0GOKP-"/>
    <m/>
    <m/>
    <x v="64"/>
    <n v="244.20000000000002"/>
    <n v="11.4"/>
    <n v="0"/>
    <n v="57.9"/>
    <n v="0"/>
    <x v="0"/>
    <x v="1"/>
    <e v="#NAME?"/>
  </r>
  <r>
    <d v="2026-02-12T18:22:50"/>
    <s v="martinsneto047@gmail.com"/>
    <x v="9"/>
    <s v="IUT1C03"/>
    <x v="25"/>
    <x v="72"/>
    <s v="https://drive.google.com/open?id=1JubQoPftcyavN702RamPqEFVHBL_eGax"/>
    <x v="74"/>
    <s v="https://drive.google.com/open?id=1o79MAgYGHtyUrEVorBEnYoHP5IbNa7u6"/>
    <s v="BISTEK ITAJAI FAZER MINHA INTREGRAÇÃO COM A COORDENADORA SAIDDA, SAINDO DE LA PASSEI NA REGIAO DE ITAPEMA DO CENTRO MORRRETES E MEIA PRAIA PARA CONHECER AS LOJA E PEGAR CONTATOS DE CHEFE DE LOJA"/>
    <m/>
    <s v="Não"/>
    <m/>
    <m/>
    <m/>
    <m/>
    <m/>
    <m/>
    <m/>
    <m/>
    <x v="22"/>
    <n v="99.000000000000014"/>
    <n v="0"/>
    <n v="0"/>
    <n v="0"/>
    <n v="0"/>
    <x v="0"/>
    <x v="1"/>
    <e v="#NAME?"/>
  </r>
  <r>
    <d v="2026-02-07T09:26:39"/>
    <s v="matheus.moraes@mazzini.com.br"/>
    <x v="8"/>
    <s v="KIL7H04"/>
    <x v="25"/>
    <x v="73"/>
    <s v="https://drive.google.com/open?id=14rty0RMEyUMlH2xj85XgMjTqsy3ssQak"/>
    <x v="75"/>
    <s v="https://drive.google.com/open?id=1nORbTmcpxBPrftnjHw2261cffdPlvIVY"/>
    <s v="Komprao40 Blumenau Agua Verde, Cooper Gen. Osório, Koch Lj 89 Blumenau, Rua Lontras 206 ( Busca de Material - Desligamento ), Giassi Blumenau, Komprao Blumenau Lj32, Super A Lj1 Blumenau."/>
    <n v="9"/>
    <s v="Não"/>
    <m/>
    <m/>
    <m/>
    <m/>
    <m/>
    <m/>
    <m/>
    <m/>
    <x v="65"/>
    <n v="124.30000000000001"/>
    <n v="0"/>
    <n v="0"/>
    <n v="0"/>
    <n v="0"/>
    <x v="0"/>
    <x v="1"/>
    <e v="#NAME?"/>
  </r>
  <r>
    <d v="2026-02-18T08:36:01"/>
    <s v="lombardi2025@gmail.com"/>
    <x v="4"/>
    <s v="OWA4C07"/>
    <x v="25"/>
    <x v="74"/>
    <m/>
    <x v="76"/>
    <m/>
    <s v="Bistek,condor, Brasil atacadista"/>
    <m/>
    <s v="Não"/>
    <m/>
    <m/>
    <m/>
    <m/>
    <m/>
    <m/>
    <m/>
    <m/>
    <x v="66"/>
    <n v="16.5"/>
    <n v="0"/>
    <n v="0"/>
    <n v="0"/>
    <n v="0"/>
    <x v="0"/>
    <x v="1"/>
    <e v="#NAME?"/>
  </r>
  <r>
    <d v="2026-02-08T16:31:33"/>
    <s v="sabrina.pires@mazzini.com.br"/>
    <x v="2"/>
    <s v="AZC9E32"/>
    <x v="25"/>
    <x v="75"/>
    <s v="https://drive.google.com/open?id=1CQzBqF8RL5Lo-9CF1x_AnCSILBNMzppQ"/>
    <x v="77"/>
    <s v="https://drive.google.com/open?id=1VtSq_6NCvm56bbJGBlkIKgx3FEE8a0VY"/>
    <s v="Brasil atacadista central _x000a_Fort atacadista 130_x000a_Fort 306"/>
    <m/>
    <s v="Não"/>
    <m/>
    <m/>
    <m/>
    <m/>
    <m/>
    <m/>
    <m/>
    <m/>
    <x v="67"/>
    <n v="35.200000000000003"/>
    <n v="0"/>
    <n v="0"/>
    <n v="0"/>
    <n v="0"/>
    <x v="0"/>
    <x v="1"/>
    <e v="#NAME?"/>
  </r>
  <r>
    <d v="2026-02-10T16:37:22"/>
    <s v="aline.isacmoreira@gmail.com"/>
    <x v="10"/>
    <s v="MHV7D46"/>
    <x v="26"/>
    <x v="76"/>
    <m/>
    <x v="78"/>
    <m/>
    <s v="De Jaraguá do Sul para Joinville mercado vizinhao bairro Guanabara"/>
    <m/>
    <s v="Não"/>
    <m/>
    <m/>
    <m/>
    <m/>
    <m/>
    <m/>
    <m/>
    <m/>
    <x v="41"/>
    <n v="123.20000000000002"/>
    <n v="0"/>
    <n v="0"/>
    <n v="0"/>
    <n v="0"/>
    <x v="0"/>
    <x v="1"/>
    <e v="#NAME?"/>
  </r>
  <r>
    <d v="2026-02-07T11:19:54"/>
    <s v="camila.althoff@mazzini.com.br"/>
    <x v="3"/>
    <s v="Mlz4j72"/>
    <x v="26"/>
    <x v="77"/>
    <s v="https://drive.google.com/open?id=13Jy6mYP8_xyhCmB9-LOexm9w8uW4y6kN"/>
    <x v="79"/>
    <s v="https://drive.google.com/open?id=1OB8HtjgnhJNEOJzgxVtkMj5G99Qs73W7"/>
    <s v="Reunião mercado Joinville"/>
    <m/>
    <s v="Sim"/>
    <s v="11.40"/>
    <s v="https://drive.google.com/open?id=1UWabPjZTdzphkNtnhz7dsRKOV8l5UytL"/>
    <m/>
    <m/>
    <m/>
    <s v="https://drive.google.com/open?id=1wPsf9dmAp665gGOoDNht8p8i7oFwEf8G"/>
    <s v="300.86"/>
    <m/>
    <x v="68"/>
    <n v="239.8"/>
    <n v="11.4"/>
    <n v="0"/>
    <n v="0"/>
    <n v="300.86"/>
    <x v="0"/>
    <x v="1"/>
    <e v="#NAME?"/>
  </r>
  <r>
    <d v="2026-02-08T10:29:37"/>
    <s v="sabrina.pires@mazzini.com.br"/>
    <x v="2"/>
    <s v="AZC9E32"/>
    <x v="26"/>
    <x v="78"/>
    <s v="https://drive.google.com/open?id=10aid5gfs8AkL4XHRsXLUdx4HaLcZwMc_"/>
    <x v="80"/>
    <s v="https://drive.google.com/open?id=14w-MQ4jGIKJRR-vLXV-36aIrIeQwcGVW"/>
    <s v="Fort atacadista _x000a_Fort 365_x000a_Komprao"/>
    <m/>
    <s v="Não"/>
    <m/>
    <m/>
    <m/>
    <m/>
    <m/>
    <m/>
    <m/>
    <m/>
    <x v="69"/>
    <n v="88"/>
    <n v="0"/>
    <n v="0"/>
    <n v="0"/>
    <n v="0"/>
    <x v="0"/>
    <x v="1"/>
    <e v="#NAME?"/>
  </r>
  <r>
    <d v="2026-02-10T16:44:43"/>
    <s v="aline.isacmoreira@gmail.com"/>
    <x v="10"/>
    <s v="MHV7D46"/>
    <x v="27"/>
    <x v="79"/>
    <m/>
    <x v="81"/>
    <m/>
    <s v="De Jaraguá do Sul para komprao de Araquari, komprao de são Francisco do Sul, Angeloni SFS, komprao 50 SFS, Angeloni SFS,super Koch SFS , JOINVILLE , JARAGUÁ DO SUL"/>
    <m/>
    <s v="Não"/>
    <m/>
    <m/>
    <m/>
    <m/>
    <m/>
    <m/>
    <m/>
    <m/>
    <x v="70"/>
    <n v="224.4"/>
    <n v="0"/>
    <n v="0"/>
    <n v="0"/>
    <n v="0"/>
    <x v="0"/>
    <x v="1"/>
    <e v="#NAME?"/>
  </r>
  <r>
    <d v="2026-02-10T08:45:04"/>
    <s v="camila.althoff@mazzini.com.br"/>
    <x v="3"/>
    <s v="Mlz4j72"/>
    <x v="27"/>
    <x v="80"/>
    <s v="https://drive.google.com/open?id=1-f7955OG0uaumVr8w7khA3GOTTXXexJc"/>
    <x v="82"/>
    <s v="https://drive.google.com/open?id=1dMxld6xIS_DfCUfXD7IozHH0K4Sw-J2V"/>
    <s v="Casa coordenadora, fórum Blumenau, hotel"/>
    <m/>
    <s v="Sim"/>
    <s v="5.70"/>
    <s v="https://drive.google.com/open?id=1noq0udzq2cyXcvPQ8CqriVYKnZfRVq8Z"/>
    <s v="30.00"/>
    <s v="https://drive.google.com/open?id=1xVbDsVHXQiwL7cTsAm2__epsQ3vjqA9y"/>
    <s v="37.90"/>
    <s v="https://drive.google.com/open?id=12ACsP5IqVOsyNaLhds7oKARdkimeeH7J"/>
    <m/>
    <m/>
    <x v="71"/>
    <n v="232.10000000000002"/>
    <n v="5.7"/>
    <n v="30"/>
    <n v="37.9"/>
    <n v="0"/>
    <x v="0"/>
    <x v="1"/>
    <e v="#NAME?"/>
  </r>
  <r>
    <d v="2026-02-11T20:15:35"/>
    <s v="matheus.moraes@mazzini.com.br"/>
    <x v="8"/>
    <s v="QLI7H04"/>
    <x v="27"/>
    <x v="81"/>
    <s v="https://drive.google.com/open?id=1gLZF0RRxXVdFhAAZjJ3FvTZA7Ot7Z8XV"/>
    <x v="83"/>
    <s v="https://drive.google.com/open?id=1kg0gueQ3H5MGSy_Xd-K6FLWwpFKL9x3W"/>
    <s v="Brasil atacadista Blumenau, Zeus, bisteck garcia e Archer 01 Brusque"/>
    <m/>
    <s v="Sim"/>
    <m/>
    <m/>
    <m/>
    <m/>
    <s v="3.70"/>
    <s v="https://drive.google.com/open?id=1w_iJKC_zWZ2qf5ahUQ4E57MkoIphorsf"/>
    <m/>
    <m/>
    <x v="72"/>
    <n v="192.50000000000003"/>
    <n v="0"/>
    <n v="0"/>
    <n v="3.7"/>
    <n v="0"/>
    <x v="0"/>
    <x v="1"/>
    <e v="#NAME?"/>
  </r>
  <r>
    <d v="2026-02-11T22:47:32"/>
    <s v="sabrina.pires@mazzini.com.br"/>
    <x v="2"/>
    <s v="AZC9E32"/>
    <x v="27"/>
    <x v="82"/>
    <s v="https://drive.google.com/open?id=1XLyK_TImiOqmcqY5Hacmc3aFEVHjhHna"/>
    <x v="84"/>
    <s v="https://drive.google.com/open?id=1j_XARqxjjPzZOYorBk_foeNERyZZuDqf"/>
    <s v="Brasil atacadista Rio Tavares _x000a_Fort atacadista _x000a_Fort atacadista _x000a_Komprao _x000a_Koch"/>
    <m/>
    <s v="Não"/>
    <m/>
    <m/>
    <m/>
    <m/>
    <m/>
    <m/>
    <m/>
    <m/>
    <x v="73"/>
    <n v="93.500000000000014"/>
    <n v="0"/>
    <n v="0"/>
    <n v="0"/>
    <n v="0"/>
    <x v="0"/>
    <x v="1"/>
    <e v="#NAME?"/>
  </r>
  <r>
    <d v="2026-02-10T16:47:02"/>
    <s v="aline.isacmoreira@gmail.com"/>
    <x v="10"/>
    <s v="MHV7D46"/>
    <x v="28"/>
    <x v="83"/>
    <m/>
    <x v="85"/>
    <m/>
    <s v="Angeloni 10 Jaraguá do Sul,Super A Jaraguá do Sul"/>
    <m/>
    <s v="Não"/>
    <m/>
    <m/>
    <m/>
    <m/>
    <m/>
    <m/>
    <m/>
    <m/>
    <x v="74"/>
    <n v="17.600000000000001"/>
    <n v="0"/>
    <n v="0"/>
    <n v="0"/>
    <n v="0"/>
    <x v="0"/>
    <x v="1"/>
    <e v="#NAME?"/>
  </r>
  <r>
    <d v="2026-02-12T08:32:21"/>
    <s v="camila.althoff@mazzini.com.br"/>
    <x v="3"/>
    <s v="Mlz4j72"/>
    <x v="28"/>
    <x v="84"/>
    <s v="https://drive.google.com/open?id=14UIkzQ0U3YytrpTlBIfbPJ5-E_yHCeEI"/>
    <x v="86"/>
    <s v="https://drive.google.com/open?id=1vOCstaTw0qawpUdRY-_LxfDXk06B5B5o"/>
    <s v="Hotel Blumenau, Fort vargem, brasil ingleses"/>
    <m/>
    <s v="Sim"/>
    <s v="5.70"/>
    <s v="https://drive.google.com/open?id=1p6G2JwVQgRroLOGuu1hzLwij3aRTZgtn"/>
    <s v="25.00"/>
    <s v="https://drive.google.com/open?id=1u6dCdfNtinTesprSra0Hy10_w0XRPPyQ"/>
    <m/>
    <m/>
    <s v="236.68"/>
    <m/>
    <x v="75"/>
    <n v="251.90000000000003"/>
    <n v="5.7"/>
    <n v="25"/>
    <n v="0"/>
    <n v="236.68"/>
    <x v="0"/>
    <x v="1"/>
    <e v="#NAME?"/>
  </r>
  <r>
    <d v="2026-02-16T16:46:48"/>
    <s v="oliiveiiraa7@gmail.com"/>
    <x v="6"/>
    <s v="EUF3090"/>
    <x v="28"/>
    <x v="85"/>
    <m/>
    <x v="87"/>
    <m/>
    <s v="Atacadao lages, Bistek Lages, Fort 960, angeloni Lages, Fort 960, Stok Center Lages"/>
    <m/>
    <s v="Não"/>
    <m/>
    <m/>
    <m/>
    <m/>
    <m/>
    <m/>
    <m/>
    <m/>
    <x v="76"/>
    <n v="250.8"/>
    <n v="0"/>
    <n v="0"/>
    <n v="0"/>
    <n v="0"/>
    <x v="0"/>
    <x v="1"/>
    <e v="#NAME?"/>
  </r>
  <r>
    <d v="2026-02-12T08:36:52"/>
    <s v="camila.althoff@mazzini.com.br"/>
    <x v="3"/>
    <s v="Mlz4j72"/>
    <x v="29"/>
    <x v="86"/>
    <s v="https://drive.google.com/open?id=1KyZkHuSDZjLyezp3FBBWx5LjbuzCF2Dj"/>
    <x v="88"/>
    <s v="https://drive.google.com/open?id=1ULQZZg3QzbcVvON3zBkzWAON0kFBUlMk"/>
    <s v="Angeloni beira mar, Fort campeche ,Fort rio Tavares"/>
    <m/>
    <s v="Não"/>
    <m/>
    <m/>
    <m/>
    <m/>
    <m/>
    <m/>
    <m/>
    <m/>
    <x v="77"/>
    <n v="42.900000000000006"/>
    <n v="0"/>
    <n v="0"/>
    <n v="0"/>
    <n v="0"/>
    <x v="0"/>
    <x v="1"/>
    <e v="#NAME?"/>
  </r>
  <r>
    <d v="2026-02-12T18:27:50"/>
    <s v="martinsneto047@gmail.com"/>
    <x v="9"/>
    <s v="IUT1C03"/>
    <x v="29"/>
    <x v="87"/>
    <s v="https://drive.google.com/open?id=1Q5OjeaB07AatS3w5iDdlGnUB3BwhE6Ab"/>
    <x v="89"/>
    <s v="https://drive.google.com/open?id=177wIGkq19RdrBPgQyiIoZ5S73xkwSSqA"/>
    <s v="FUI FAZER INTREGRAÇAO DO JOAO GABRIEL PONTES KOCH 06 LOGO APOS SAI EM ROTA PARA ITAJAI, FAZER GSL ANDREY ANGELONI ITAJAI E CONHECER AS LOJA DA MINHA BASE."/>
    <m/>
    <s v="Não"/>
    <m/>
    <m/>
    <m/>
    <m/>
    <m/>
    <m/>
    <m/>
    <m/>
    <x v="28"/>
    <n v="119.9"/>
    <n v="0"/>
    <n v="0"/>
    <n v="0"/>
    <n v="0"/>
    <x v="0"/>
    <x v="1"/>
    <e v="#NAME?"/>
  </r>
  <r>
    <d v="2026-02-11T22:37:38"/>
    <s v="sabrina.pires@mazzini.com.br"/>
    <x v="2"/>
    <s v="AZC9E32"/>
    <x v="29"/>
    <x v="88"/>
    <s v="https://drive.google.com/open?id=1k0urNLDawY7EGwbhi_xg_UumuguSKN4k"/>
    <x v="90"/>
    <s v="https://drive.google.com/open?id=1l_D93bqziAri4Da5uyYMrgoxQwj0nxnf"/>
    <s v="Brasil atacadista _x000a_Fort 462_x000a_Fort 130 _x000a_Fort 306 _x000a_Fort 365"/>
    <m/>
    <s v="Não"/>
    <m/>
    <m/>
    <m/>
    <m/>
    <m/>
    <m/>
    <m/>
    <m/>
    <x v="78"/>
    <n v="200.20000000000002"/>
    <n v="0"/>
    <n v="0"/>
    <n v="0"/>
    <n v="0"/>
    <x v="0"/>
    <x v="1"/>
    <e v="#NAME?"/>
  </r>
  <r>
    <d v="2026-02-13T08:22:09"/>
    <s v="camila.althoff@mazzini.com.br"/>
    <x v="3"/>
    <s v="Mlz4j72"/>
    <x v="30"/>
    <x v="89"/>
    <s v="https://drive.google.com/open?id=1aCj0RAKwye0pxjw_zcaab-aCcx9y3kZg"/>
    <x v="91"/>
    <s v="https://drive.google.com/open?id=13bmfQD2ACPir59SNxdS7d3rd_b7BEhiL"/>
    <s v="Angeloni beira mar, Fort 810"/>
    <m/>
    <s v="Não"/>
    <m/>
    <m/>
    <m/>
    <m/>
    <m/>
    <m/>
    <m/>
    <m/>
    <x v="39"/>
    <n v="38.5"/>
    <n v="0"/>
    <n v="0"/>
    <n v="0"/>
    <n v="0"/>
    <x v="0"/>
    <x v="1"/>
    <e v="#NAME?"/>
  </r>
  <r>
    <d v="2026-02-12T18:20:19"/>
    <s v="carlos.proenca@mazzini.com.br"/>
    <x v="11"/>
    <s v="qhd3d74"/>
    <x v="30"/>
    <x v="90"/>
    <s v="https://drive.google.com/open?id=1mcnTk4EqwNbVay3hlgvAt7127HWeU7vo"/>
    <x v="92"/>
    <s v="https://drive.google.com/open?id=10GyuxMttWwVE_V3UvHC_lXCggQ_0VIm5"/>
    <s v="komprao 18, brasil atacadista porto belo, koch 07, komprao 37"/>
    <m/>
    <s v="Sim"/>
    <s v="5.70"/>
    <s v="https://drive.google.com/open?id=1IB5ro_5AcXU6xqLpQ5foKyeoWqbSCz5-"/>
    <m/>
    <m/>
    <m/>
    <m/>
    <m/>
    <m/>
    <x v="79"/>
    <n v="176"/>
    <n v="5.7"/>
    <n v="0"/>
    <n v="0"/>
    <n v="0"/>
    <x v="0"/>
    <x v="1"/>
    <e v="#NAME?"/>
  </r>
  <r>
    <d v="2026-02-14T09:31:56"/>
    <s v="sabrina.pires@mazzini.com.br"/>
    <x v="2"/>
    <s v="AZC9E32"/>
    <x v="30"/>
    <x v="91"/>
    <s v="https://drive.google.com/open?id=1KTHegYB9KEjt7Q5ROf6XzbQcSWCDF2hy"/>
    <x v="93"/>
    <s v="https://drive.google.com/open?id=19dh9NcudhKzrqWNYPB4nUsKyXwRgw_2k"/>
    <s v="Brasil atacadista central _x000a_Ângeloni beira mar _x000a_Fort 365 _x000a_Fort compacto _x000a_Komprao"/>
    <m/>
    <s v="Não"/>
    <m/>
    <m/>
    <m/>
    <m/>
    <m/>
    <m/>
    <m/>
    <m/>
    <x v="80"/>
    <n v="170.5"/>
    <n v="0"/>
    <n v="0"/>
    <n v="0"/>
    <n v="0"/>
    <x v="0"/>
    <x v="1"/>
    <e v="#NAME?"/>
  </r>
  <r>
    <d v="2026-02-14T08:43:32"/>
    <s v="camila.althoff@mazzini.com.br"/>
    <x v="3"/>
    <s v="Mlz4j72"/>
    <x v="31"/>
    <x v="92"/>
    <s v="https://drive.google.com/open?id=1ZFRQvtH_JWorZc2DkGdFDOiZWK3ijPsG"/>
    <x v="94"/>
    <s v="https://drive.google.com/open?id=1tDRCo2DfiZGvP3U6AmgCmHfVKf-9-NgA"/>
    <s v="Angeloni beira mar, Fort 810"/>
    <m/>
    <s v="Não"/>
    <m/>
    <m/>
    <m/>
    <m/>
    <m/>
    <m/>
    <m/>
    <m/>
    <x v="81"/>
    <n v="13.200000000000001"/>
    <n v="0"/>
    <n v="0"/>
    <n v="0"/>
    <n v="0"/>
    <x v="0"/>
    <x v="1"/>
    <e v="#NAME?"/>
  </r>
  <r>
    <d v="2026-02-16T15:16:32"/>
    <s v="martinsneto047@gmail.com"/>
    <x v="9"/>
    <s v="IUT1C03"/>
    <x v="31"/>
    <x v="93"/>
    <s v="https://drive.google.com/open?id=1dZHqN4ZitjysKuzofaNLcnGf02g3KmY6"/>
    <x v="95"/>
    <s v="https://drive.google.com/open?id=1sXdAxiE2TlParUg6TQDWhmZoQgeFLOJm"/>
    <s v="REVERSAO CAREFOUR CAMBORIU MESCHKE ATACADISTA GSL SUPER KOCH GSL E ENTREGA DE EPI"/>
    <m/>
    <s v="Não"/>
    <m/>
    <m/>
    <m/>
    <m/>
    <m/>
    <m/>
    <m/>
    <m/>
    <x v="42"/>
    <n v="91.300000000000011"/>
    <n v="0"/>
    <n v="0"/>
    <n v="0"/>
    <n v="0"/>
    <x v="0"/>
    <x v="1"/>
    <e v="#NAME?"/>
  </r>
  <r>
    <d v="2026-02-14T08:35:34"/>
    <s v="matheus.moraes@mazzini.com.br"/>
    <x v="8"/>
    <s v="QIL7H04"/>
    <x v="31"/>
    <x v="94"/>
    <s v="https://drive.google.com/open?id=1rPIXDwmsCfu2wkNnIjo3BMUoRa5ryWUo"/>
    <x v="96"/>
    <s v="https://drive.google.com/open?id=1wB-WtAMpVEaGNVHPtcM1RBbzJJeg03SG"/>
    <s v="Komprão timbo, fort indaial, komprão 40, cooper caçadores e cooper general osorio."/>
    <m/>
    <s v="Não"/>
    <m/>
    <m/>
    <m/>
    <m/>
    <m/>
    <m/>
    <m/>
    <m/>
    <x v="82"/>
    <n v="106.7"/>
    <n v="0"/>
    <n v="0"/>
    <n v="0"/>
    <n v="0"/>
    <x v="0"/>
    <x v="1"/>
    <e v="#NAME?"/>
  </r>
  <r>
    <d v="2026-02-14T10:59:15"/>
    <s v="sabrina.pires@mazzini.com.br"/>
    <x v="2"/>
    <s v="AZC9E32"/>
    <x v="31"/>
    <x v="95"/>
    <s v="https://drive.google.com/open?id=1Xdyi31juGN1FUxaYchsMhuYc1pOsbANN"/>
    <x v="97"/>
    <s v="https://drive.google.com/open?id=1zB2x1NdqVbLMHFN5pkUB15_Rvif0xdvG"/>
    <s v="Komprao 90 _x000a_Komprao 91"/>
    <m/>
    <s v="Não"/>
    <m/>
    <m/>
    <m/>
    <m/>
    <m/>
    <m/>
    <m/>
    <m/>
    <x v="4"/>
    <n v="55.000000000000007"/>
    <n v="0"/>
    <n v="0"/>
    <n v="0"/>
    <n v="0"/>
    <x v="0"/>
    <x v="1"/>
    <e v="#NAME?"/>
  </r>
  <r>
    <d v="2026-02-16T17:37:14"/>
    <s v="camila.althoff@mazzini.com.br"/>
    <x v="3"/>
    <s v="Mlz4j72"/>
    <x v="32"/>
    <x v="96"/>
    <s v="https://drive.google.com/open?id=12_rbVetfYmPi6BVjzrId8Y9Fda6e1s7c"/>
    <x v="98"/>
    <s v="https://drive.google.com/open?id=1JPAfzw6dq2nk8cLG8yNQfyZ2OOc-EPOb"/>
    <s v="Fort kobrasol"/>
    <m/>
    <s v="Não"/>
    <m/>
    <m/>
    <m/>
    <m/>
    <m/>
    <m/>
    <m/>
    <m/>
    <x v="83"/>
    <n v="46.2"/>
    <n v="0"/>
    <n v="0"/>
    <n v="0"/>
    <n v="0"/>
    <x v="0"/>
    <x v="1"/>
    <e v="#NAME?"/>
  </r>
  <r>
    <d v="2026-02-16T16:50:04"/>
    <s v="oliiveiiraa7@gmail.com"/>
    <x v="6"/>
    <s v="EUF3090"/>
    <x v="32"/>
    <x v="97"/>
    <m/>
    <x v="99"/>
    <m/>
    <s v="Deslocamento para Florianópolis"/>
    <m/>
    <s v="Não"/>
    <m/>
    <m/>
    <m/>
    <m/>
    <m/>
    <m/>
    <m/>
    <m/>
    <x v="84"/>
    <n v="358.6"/>
    <n v="0"/>
    <n v="0"/>
    <n v="0"/>
    <n v="0"/>
    <x v="0"/>
    <x v="1"/>
    <e v="#NAME?"/>
  </r>
  <r>
    <d v="2026-02-16T15:21:28"/>
    <s v="martinsneto047@gmail.com"/>
    <x v="9"/>
    <s v="IUT1C03"/>
    <x v="32"/>
    <x v="98"/>
    <s v="https://drive.google.com/open?id=1YGAP6nk-XSf4_FbKeCo4qdb7bJWUYEGM"/>
    <x v="100"/>
    <s v="https://drive.google.com/open?id=1VCHGF9sAJvEwoJv18sR3t5tJwm4erNbO"/>
    <s v="COMPER BOMBINHAS ENTREGA DE UNIFORME _x000a_SUPER COMPER BOMBAS _x000a_KOMPRAO BOMBINHAS INTREGRAÇÃO _x000a_KOMPRÃO 15 GSL VILA NOVA PORTO BELO _x000a_FORT 190 PORTO BELO ENTREGA EPI_x000a_KOMPRAO 37 REUNIAO JACQUELINE"/>
    <m/>
    <s v="Não"/>
    <m/>
    <m/>
    <m/>
    <m/>
    <m/>
    <m/>
    <m/>
    <m/>
    <x v="26"/>
    <n v="44"/>
    <n v="0"/>
    <n v="0"/>
    <n v="0"/>
    <n v="0"/>
    <x v="0"/>
    <x v="1"/>
    <e v="#NAME?"/>
  </r>
  <r>
    <d v="2026-02-16T13:23:37"/>
    <s v="matheus.moraes@mazzini.com.br"/>
    <x v="8"/>
    <s v="QIL7H04"/>
    <x v="32"/>
    <x v="99"/>
    <s v="https://drive.google.com/open?id=1pdZb8uUHneFVX8qkyiHW4duP8qpsVwud"/>
    <x v="101"/>
    <s v="https://drive.google.com/open?id=114oLxvClg2KFxoGKvAUBDAZWbl5f4I13"/>
    <s v="galegão blumenau, cooper vila nova e cooper garcia"/>
    <n v="14"/>
    <s v="Não"/>
    <m/>
    <m/>
    <m/>
    <m/>
    <m/>
    <m/>
    <m/>
    <m/>
    <x v="85"/>
    <n v="97.9"/>
    <n v="0"/>
    <n v="0"/>
    <n v="0"/>
    <n v="0"/>
    <x v="0"/>
    <x v="1"/>
    <e v="#NAME?"/>
  </r>
  <r>
    <d v="2026-02-18T08:40:31"/>
    <s v="lombardi2025@gmail.com"/>
    <x v="4"/>
    <s v="OWA4C07"/>
    <x v="32"/>
    <x v="100"/>
    <m/>
    <x v="102"/>
    <m/>
    <s v="Komprao 45,komprao 77,Fort 250,komprao 50, komprao 59"/>
    <m/>
    <s v="Não"/>
    <m/>
    <m/>
    <m/>
    <m/>
    <m/>
    <m/>
    <m/>
    <m/>
    <x v="20"/>
    <n v="112.2"/>
    <n v="0"/>
    <n v="0"/>
    <n v="0"/>
    <n v="0"/>
    <x v="0"/>
    <x v="1"/>
    <e v="#NAME?"/>
  </r>
  <r>
    <d v="2026-03-01T11:16:07"/>
    <s v="aline.isacmoreira@gmail.com"/>
    <x v="10"/>
    <s v="MHV7D46"/>
    <x v="33"/>
    <x v="101"/>
    <m/>
    <x v="103"/>
    <m/>
    <s v="Cooper atacarejo Jaraguá do Sul"/>
    <m/>
    <s v="Não"/>
    <m/>
    <m/>
    <m/>
    <m/>
    <m/>
    <m/>
    <m/>
    <m/>
    <x v="86"/>
    <n v="14.3"/>
    <n v="0"/>
    <n v="0"/>
    <n v="0"/>
    <n v="0"/>
    <x v="1"/>
    <x v="1"/>
    <e v="#NAME?"/>
  </r>
  <r>
    <d v="2026-03-01T11:16:07"/>
    <s v="aline.isacmoreira@gmail.com"/>
    <x v="10"/>
    <s v="MHV7D46"/>
    <x v="33"/>
    <x v="101"/>
    <m/>
    <x v="103"/>
    <m/>
    <s v="Cooper atacarejo Jaraguá do Sul"/>
    <m/>
    <s v="Não"/>
    <m/>
    <m/>
    <m/>
    <m/>
    <m/>
    <m/>
    <m/>
    <m/>
    <x v="86"/>
    <n v="14.3"/>
    <n v="0"/>
    <n v="0"/>
    <n v="0"/>
    <n v="0"/>
    <x v="1"/>
    <x v="1"/>
    <e v="#NAME?"/>
  </r>
  <r>
    <d v="2026-02-18T17:10:00"/>
    <s v="oliiveiiraa7@gmail.com"/>
    <x v="6"/>
    <s v="EUF3090"/>
    <x v="33"/>
    <x v="102"/>
    <m/>
    <x v="104"/>
    <m/>
    <s v="Deslocamento Florianópolis"/>
    <m/>
    <s v="Não"/>
    <m/>
    <m/>
    <m/>
    <m/>
    <m/>
    <m/>
    <m/>
    <m/>
    <x v="87"/>
    <n v="374.00000000000006"/>
    <n v="0"/>
    <n v="0"/>
    <n v="0"/>
    <n v="0"/>
    <x v="1"/>
    <x v="1"/>
    <e v="#NAME?"/>
  </r>
  <r>
    <d v="2026-02-20T16:11:56"/>
    <s v="martinsneto047@gmail.com"/>
    <x v="9"/>
    <s v="IUT1C03"/>
    <x v="33"/>
    <x v="103"/>
    <s v="https://drive.google.com/open?id=1_t-tyAhbfY5InoTm78NzJTPZ3F3AxoGV"/>
    <x v="105"/>
    <s v="https://drive.google.com/open?id=1oevgsTlIO0Cn1s6DNE2R_inPDcKZQc14"/>
    <s v="brasil atacadista _x000a_koch 06_x000a_komprao 37"/>
    <m/>
    <s v="Não"/>
    <m/>
    <m/>
    <m/>
    <m/>
    <m/>
    <m/>
    <m/>
    <m/>
    <x v="88"/>
    <n v="9.9"/>
    <n v="0"/>
    <n v="0"/>
    <n v="0"/>
    <n v="0"/>
    <x v="1"/>
    <x v="1"/>
    <e v="#NAME?"/>
  </r>
  <r>
    <d v="2026-02-19T17:23:45"/>
    <s v="lombardi2025@gmail.com"/>
    <x v="4"/>
    <s v="OWA4C07"/>
    <x v="33"/>
    <x v="104"/>
    <s v="https://drive.google.com/open?id=1i1TylOdyHKN6rfZn6xeHFg1xMlVvxB0i"/>
    <x v="106"/>
    <s v="https://drive.google.com/open?id=1YioKpiUWwiycyK5iUcNZLrHtR1UPDiPA"/>
    <s v="KOMPRAO ARAQUARI,ANGELONI 10,FORT TUIUTI"/>
    <m/>
    <s v="Não"/>
    <m/>
    <m/>
    <m/>
    <m/>
    <m/>
    <m/>
    <m/>
    <m/>
    <x v="79"/>
    <n v="176"/>
    <n v="0"/>
    <n v="0"/>
    <n v="0"/>
    <n v="0"/>
    <x v="1"/>
    <x v="1"/>
    <e v="#NAME?"/>
  </r>
  <r>
    <d v="2026-02-20T21:34:31"/>
    <s v="sabrina.pires@mazzini.com"/>
    <x v="2"/>
    <s v="AZC9E32"/>
    <x v="33"/>
    <x v="105"/>
    <s v="https://drive.google.com/open?id=1xK1nDv5V6UA_jYRg4Tn6X5T4TrBrdlkL"/>
    <x v="107"/>
    <s v="https://drive.google.com/open?id=18IOyH-wxCz2m1DHQyWdSjDPGg8yi3hNA"/>
    <s v="Brasil atacadista _x000a_Fort atacadista _x000a_Komprao"/>
    <m/>
    <s v="Não"/>
    <m/>
    <m/>
    <m/>
    <m/>
    <m/>
    <m/>
    <m/>
    <m/>
    <x v="89"/>
    <n v="110.00000000000001"/>
    <n v="0"/>
    <n v="0"/>
    <n v="0"/>
    <n v="0"/>
    <x v="1"/>
    <x v="1"/>
    <e v="#NAME?"/>
  </r>
  <r>
    <d v="2026-02-19T19:20:49"/>
    <s v="camila.althoff@mazzini.com.br"/>
    <x v="3"/>
    <s v="Mlz4j72"/>
    <x v="34"/>
    <x v="106"/>
    <s v="https://drive.google.com/open?id=1Ifd8S-8KWKnAJ_UQiVkx91wfsHB8WG59"/>
    <x v="108"/>
    <s v="https://drive.google.com/open?id=1QkWUk1j_BKtte-AKkHrOhOCF7mGwv1lz"/>
    <s v="Hiperselect, Fort campeche, Bistek costeira"/>
    <m/>
    <s v="Não"/>
    <m/>
    <m/>
    <m/>
    <m/>
    <m/>
    <m/>
    <m/>
    <m/>
    <x v="90"/>
    <n v="49.500000000000007"/>
    <n v="0"/>
    <n v="0"/>
    <n v="0"/>
    <n v="0"/>
    <x v="1"/>
    <x v="1"/>
    <e v="#NAME?"/>
  </r>
  <r>
    <d v="2026-02-20T16:16:19"/>
    <s v="martinsneto047@gmail.com"/>
    <x v="9"/>
    <s v="IUT1C03"/>
    <x v="34"/>
    <x v="107"/>
    <s v="https://drive.google.com/open?id=1gkREtIsCDHOT5rxRJtOBSsfMPGx1Wo0j"/>
    <x v="109"/>
    <s v="https://drive.google.com/open?id=1mNxWDOmx70puQYXfpxXjQS6-Sqiq5dQM"/>
    <s v="koch 41 _x000a_brasil atacdista _x000a_comper tabuleiro _x000a_"/>
    <m/>
    <s v="Não"/>
    <m/>
    <m/>
    <m/>
    <m/>
    <m/>
    <m/>
    <m/>
    <m/>
    <x v="51"/>
    <n v="45.1"/>
    <n v="0"/>
    <n v="0"/>
    <n v="0"/>
    <n v="0"/>
    <x v="1"/>
    <x v="1"/>
    <e v="#NAME?"/>
  </r>
  <r>
    <d v="2026-02-21T09:33:44"/>
    <s v="matheus.moraes@mazzini.com.br"/>
    <x v="8"/>
    <s v="QIL7H04"/>
    <x v="34"/>
    <x v="108"/>
    <s v="https://drive.google.com/open?id=1dGpOQvV_A6HeF6omrsMugzOVUq-UocFy"/>
    <x v="110"/>
    <s v="https://drive.google.com/open?id=144i7ivmC2sN969Cl0lIta7n6gO5LHb-m"/>
    <s v="BISTECK GARCIA, MOCAM 407. MOCAM 410, COOPER COLONINHA E MOCAM COLONINHA"/>
    <m/>
    <s v="Não"/>
    <m/>
    <m/>
    <m/>
    <m/>
    <m/>
    <m/>
    <m/>
    <m/>
    <x v="53"/>
    <n v="143"/>
    <n v="0"/>
    <n v="0"/>
    <n v="0"/>
    <n v="0"/>
    <x v="1"/>
    <x v="1"/>
    <e v="#NAME?"/>
  </r>
  <r>
    <d v="2026-02-19T17:27:09"/>
    <s v="lombardi2025@gmail.com"/>
    <x v="4"/>
    <s v="OWA4C07"/>
    <x v="34"/>
    <x v="109"/>
    <s v="https://drive.google.com/open?id=1FrXEwx9O0fKrR5V0NxtGObJbfStdglhl"/>
    <x v="111"/>
    <s v="https://drive.google.com/open?id=1t4FoRMI9VR0CeTfFZGI8doPZW_pgPBmV"/>
    <s v="ANGELONI SAO FRANCISCO,COOPER SUPER,FORT VILA NOVA,KOMPRAO 59"/>
    <m/>
    <s v="Não"/>
    <m/>
    <m/>
    <m/>
    <m/>
    <m/>
    <m/>
    <m/>
    <m/>
    <x v="91"/>
    <n v="165"/>
    <n v="0"/>
    <n v="0"/>
    <n v="0"/>
    <n v="0"/>
    <x v="1"/>
    <x v="1"/>
    <e v="#NAME?"/>
  </r>
  <r>
    <d v="2026-03-01T11:18:43"/>
    <s v="aline.isacmoreira@gmail.com"/>
    <x v="10"/>
    <s v="MHV7D46"/>
    <x v="35"/>
    <x v="110"/>
    <m/>
    <x v="112"/>
    <m/>
    <s v="Jaraguá/mercado vizinhao Joinville/Zeus/mercado vizinhao/Jaraguá"/>
    <m/>
    <s v="Não"/>
    <m/>
    <m/>
    <m/>
    <m/>
    <m/>
    <m/>
    <m/>
    <m/>
    <x v="92"/>
    <n v="157.30000000000001"/>
    <n v="0"/>
    <n v="0"/>
    <n v="0"/>
    <n v="0"/>
    <x v="1"/>
    <x v="1"/>
    <e v="#NAME?"/>
  </r>
  <r>
    <d v="2026-03-01T11:18:43"/>
    <s v="aline.isacmoreira@gmail.com"/>
    <x v="10"/>
    <s v="MHV7D46"/>
    <x v="35"/>
    <x v="110"/>
    <m/>
    <x v="112"/>
    <m/>
    <s v="Jaraguá/mercado vizinhao Joinville/Zeus/mercado vizinhao/Jaraguá"/>
    <m/>
    <s v="Não"/>
    <m/>
    <m/>
    <m/>
    <m/>
    <m/>
    <m/>
    <m/>
    <m/>
    <x v="92"/>
    <n v="157.30000000000001"/>
    <n v="0"/>
    <n v="0"/>
    <n v="0"/>
    <n v="0"/>
    <x v="1"/>
    <x v="1"/>
    <e v="#NAME?"/>
  </r>
  <r>
    <d v="2026-02-23T13:57:42"/>
    <s v="camila.althoff@mazzini.com.br"/>
    <x v="3"/>
    <s v="Mlz4j72"/>
    <x v="35"/>
    <x v="111"/>
    <s v="https://drive.google.com/open?id=16XCcsKxixgzoo1sP6eeTKbbw1xREG8BL"/>
    <x v="113"/>
    <s v="https://drive.google.com/open?id=1L9n6YaV_W-zCLC22jNe11Epraz8uQwXy"/>
    <s v="Atacadao içara, Fort tubarão"/>
    <m/>
    <s v="Sim"/>
    <s v="21.00"/>
    <s v="https://drive.google.com/open?id=1n_G4wVL-9oWBbuDnWep8ceFpZhfv8BrI"/>
    <m/>
    <m/>
    <m/>
    <m/>
    <m/>
    <m/>
    <x v="93"/>
    <n v="455.40000000000003"/>
    <n v="21"/>
    <n v="0"/>
    <n v="0"/>
    <n v="0"/>
    <x v="1"/>
    <x v="1"/>
    <e v="#NAME?"/>
  </r>
  <r>
    <d v="2026-02-20T19:21:22"/>
    <s v="oliiveiiraa7@gmail.com"/>
    <x v="6"/>
    <s v="EUF3090"/>
    <x v="35"/>
    <x v="112"/>
    <m/>
    <x v="114"/>
    <m/>
    <s v="Fort 260, Atacadao Lages, Angeloni Lages, Fort 960"/>
    <m/>
    <s v="Não"/>
    <m/>
    <m/>
    <m/>
    <m/>
    <m/>
    <m/>
    <m/>
    <m/>
    <x v="30"/>
    <n v="227.70000000000002"/>
    <n v="0"/>
    <n v="0"/>
    <n v="0"/>
    <n v="0"/>
    <x v="1"/>
    <x v="1"/>
    <e v="#NAME?"/>
  </r>
  <r>
    <d v="2026-02-20T16:18:48"/>
    <s v="martinsneto047@gmail.com"/>
    <x v="9"/>
    <s v="IUT1C03"/>
    <x v="35"/>
    <x v="113"/>
    <s v="https://drive.google.com/open?id=13kdosjaPvRieMQppIYF7js__FusNvbIs"/>
    <x v="115"/>
    <s v="https://drive.google.com/open?id=1AajKvaZ02vsOj4XThlSIC5z9eKB20VNR"/>
    <s v="intregracao k82 _x000a_komprao 37 _x000a_loja 18 _x000a_koch 06"/>
    <m/>
    <s v="Não"/>
    <m/>
    <m/>
    <m/>
    <m/>
    <m/>
    <m/>
    <m/>
    <m/>
    <x v="67"/>
    <n v="35.200000000000003"/>
    <n v="0"/>
    <n v="0"/>
    <n v="0"/>
    <n v="0"/>
    <x v="1"/>
    <x v="1"/>
    <e v="#NAME?"/>
  </r>
  <r>
    <d v="2026-02-28T15:47:20"/>
    <s v="martinsneto047@gmail.com"/>
    <x v="9"/>
    <s v="IUT"/>
    <x v="35"/>
    <x v="113"/>
    <s v="https://drive.google.com/open?id=1x0VvjJqhyucmv7y-L2hEvoRDakGzcSsb"/>
    <x v="115"/>
    <s v="https://drive.google.com/open?id=1AHKZslYPw0xjl_QIqQBjdQ_RcN0U7z6J"/>
    <s v="Brasil Atacadista _x000a_Komprao 18 _x000a_Koch 06 _x000a_Koch 09"/>
    <m/>
    <s v="Não"/>
    <m/>
    <m/>
    <m/>
    <m/>
    <m/>
    <m/>
    <m/>
    <m/>
    <x v="67"/>
    <n v="35.200000000000003"/>
    <n v="0"/>
    <n v="0"/>
    <n v="0"/>
    <n v="0"/>
    <x v="1"/>
    <x v="1"/>
    <e v="#NAME?"/>
  </r>
  <r>
    <d v="2026-02-21T09:37:53"/>
    <s v="matheus.moraes@mazzini.com.br"/>
    <x v="8"/>
    <s v="QIL7H04"/>
    <x v="35"/>
    <x v="114"/>
    <s v="https://drive.google.com/open?id=1OEEIbVr97Nz1pztkYI4idTrgz4aICAi2"/>
    <x v="116"/>
    <s v="https://drive.google.com/open?id=1n1bzzq0VZxcvMSxPyew6jjItnon8Fx9j"/>
    <s v="COOPER MAFISA"/>
    <n v="49"/>
    <s v="Não"/>
    <m/>
    <m/>
    <m/>
    <m/>
    <m/>
    <m/>
    <m/>
    <m/>
    <x v="7"/>
    <n v="66"/>
    <n v="0"/>
    <n v="0"/>
    <n v="0"/>
    <n v="0"/>
    <x v="1"/>
    <x v="1"/>
    <e v="#NAME?"/>
  </r>
  <r>
    <d v="2026-02-20T13:42:03"/>
    <s v="lombardi2025@gmail.com"/>
    <x v="4"/>
    <s v="OWA4C07"/>
    <x v="35"/>
    <x v="115"/>
    <s v="https://drive.google.com/open?id=11OaXzX2XtZMcd2aRHxRXuSlJQunSBC7E"/>
    <x v="117"/>
    <s v="https://drive.google.com/open?id=1hZwNNDnRxFTly_s8Ej_J5N-X9fhc6hb_"/>
    <s v="HIPERMAIS ITINGA,BISTEK,ZEUS"/>
    <m/>
    <s v="Não"/>
    <m/>
    <m/>
    <m/>
    <m/>
    <m/>
    <m/>
    <m/>
    <m/>
    <x v="31"/>
    <n v="111.10000000000001"/>
    <n v="0"/>
    <n v="0"/>
    <n v="0"/>
    <n v="0"/>
    <x v="1"/>
    <x v="1"/>
    <e v="#NAME?"/>
  </r>
  <r>
    <d v="2026-02-23T14:35:30"/>
    <s v="sabrina.pires@mazzini.com.br"/>
    <x v="2"/>
    <s v="AZC9E32"/>
    <x v="35"/>
    <x v="116"/>
    <s v="https://drive.google.com/open?id=1Zs94G6XMRD8ed-Q0H2Nztr3Q9jFDYK3N"/>
    <x v="118"/>
    <s v="https://drive.google.com/open?id=1EaP6yEE0mJkfVfFoF15NusyRzrMqP_mk"/>
    <s v="Komprao pedra branca _x000a_Fort 130 _x000a_Komprao ponte do imaruim _x000a_Komprao biguaçu _x000a_Fort Kobrasol _x000a_Komprao forquilhas"/>
    <m/>
    <s v="Não"/>
    <m/>
    <m/>
    <m/>
    <m/>
    <m/>
    <m/>
    <m/>
    <m/>
    <x v="94"/>
    <n v="178.20000000000002"/>
    <n v="0"/>
    <n v="0"/>
    <n v="0"/>
    <n v="0"/>
    <x v="1"/>
    <x v="1"/>
    <e v="#NAME?"/>
  </r>
  <r>
    <d v="2026-02-23T16:44:48"/>
    <s v="carlos.proenca@mazzini.com.br"/>
    <x v="11"/>
    <s v="qhd3d74"/>
    <x v="36"/>
    <x v="117"/>
    <s v="https://drive.google.com/open?id=19keAX1lcJBZuXeuosLY4J71cdKEkd2cy"/>
    <x v="119"/>
    <s v="https://drive.google.com/open?id=1pwP5zQMrEEQIBJaZ1JaisbrrmvEwWo2Q"/>
    <s v="crestani EPIs, central do EPI"/>
    <m/>
    <s v="Não"/>
    <m/>
    <m/>
    <m/>
    <m/>
    <m/>
    <m/>
    <m/>
    <m/>
    <x v="34"/>
    <n v="40.700000000000003"/>
    <n v="0"/>
    <n v="0"/>
    <n v="0"/>
    <n v="0"/>
    <x v="1"/>
    <x v="1"/>
    <e v="#NAME?"/>
  </r>
  <r>
    <d v="2026-02-24T23:34:24"/>
    <s v="camila.althoff@mazzini.com.br"/>
    <x v="3"/>
    <s v="Mlz4j72"/>
    <x v="37"/>
    <x v="118"/>
    <s v="https://drive.google.com/open?id=1rYNto9ROyzDZ8xd-cEOx8iPQFewosia-"/>
    <x v="120"/>
    <s v="https://drive.google.com/open?id=1oj8_pb6qC1P3cRaobxQCVo6S5Qi2_ng1"/>
    <s v="Fort 810, Fort 210, kock"/>
    <m/>
    <s v="Não"/>
    <m/>
    <m/>
    <m/>
    <m/>
    <m/>
    <m/>
    <m/>
    <m/>
    <x v="62"/>
    <n v="64.900000000000006"/>
    <n v="0"/>
    <n v="0"/>
    <n v="0"/>
    <n v="0"/>
    <x v="1"/>
    <x v="1"/>
    <e v="#NAME?"/>
  </r>
  <r>
    <d v="2026-02-24T19:13:50"/>
    <s v="oliiveiiraa7@gmail.com"/>
    <x v="6"/>
    <s v="EUF3090"/>
    <x v="37"/>
    <x v="119"/>
    <m/>
    <x v="121"/>
    <m/>
    <s v="Atacadão Chapecó Fort Chapecó"/>
    <m/>
    <s v="Não"/>
    <m/>
    <m/>
    <m/>
    <m/>
    <m/>
    <m/>
    <m/>
    <m/>
    <x v="95"/>
    <n v="283.8"/>
    <n v="0"/>
    <n v="0"/>
    <n v="0"/>
    <n v="0"/>
    <x v="1"/>
    <x v="1"/>
    <e v="#NAME?"/>
  </r>
  <r>
    <d v="2026-02-28T15:57:20"/>
    <s v="martinsneto047@gmail.com"/>
    <x v="9"/>
    <s v="IUT1C03"/>
    <x v="37"/>
    <x v="120"/>
    <s v="https://drive.google.com/open?id=1hyM-ggBIJ7z6dYIvEFXvqn3HhpBGSVe3"/>
    <x v="122"/>
    <s v="https://drive.google.com/open?id=1vrZUff-15siKmid35hV2RRrAj6P-0bAk"/>
    <s v="Integrações Itapema e pprto belo"/>
    <m/>
    <s v="Não"/>
    <m/>
    <m/>
    <m/>
    <m/>
    <m/>
    <m/>
    <m/>
    <m/>
    <x v="96"/>
    <n v="62.7"/>
    <n v="0"/>
    <n v="0"/>
    <n v="0"/>
    <n v="0"/>
    <x v="1"/>
    <x v="1"/>
    <e v="#NAME?"/>
  </r>
  <r>
    <d v="2026-02-26T14:35:35"/>
    <s v="lombardi2015@gmail.com"/>
    <x v="4"/>
    <s v="OWA4C07"/>
    <x v="37"/>
    <x v="121"/>
    <s v="https://drive.google.com/open?id=18It2LXAG-9yP4cbtD0Sbd1kD7TWjvb-7"/>
    <x v="123"/>
    <s v="https://drive.google.com/open?id=13XGMZUdoumwHZWrf_JNv7pf5kJxoXdtu"/>
    <s v="BRASIL ATACADISTA,FORT 905,KOMPÃO 59,CDD AMBEV,CONDOR COOMASA"/>
    <m/>
    <s v="Não"/>
    <m/>
    <m/>
    <m/>
    <m/>
    <m/>
    <m/>
    <m/>
    <m/>
    <x v="97"/>
    <n v="116.60000000000001"/>
    <n v="0"/>
    <n v="0"/>
    <n v="0"/>
    <n v="0"/>
    <x v="1"/>
    <x v="1"/>
    <e v="#NAME?"/>
  </r>
  <r>
    <d v="2026-02-26T09:03:09"/>
    <s v="sabrina.pires@mazzini.com.br"/>
    <x v="2"/>
    <s v="AZC9E32"/>
    <x v="37"/>
    <x v="122"/>
    <s v="https://drive.google.com/open?id=1FzQIk4xMz8wVhDYW4u7T0gWM8vC77S1-"/>
    <x v="124"/>
    <s v="https://drive.google.com/open?id=1A2mopCtt4rfZ7FAGZTpmkHt1MFs7OQfr"/>
    <s v="Fort _x000a_Komprao _x000a_Brasil ataca"/>
    <m/>
    <s v="Não"/>
    <m/>
    <m/>
    <m/>
    <m/>
    <m/>
    <m/>
    <m/>
    <m/>
    <x v="98"/>
    <n v="198.00000000000003"/>
    <n v="0"/>
    <n v="0"/>
    <n v="0"/>
    <n v="0"/>
    <x v="1"/>
    <x v="1"/>
    <e v="#NAME?"/>
  </r>
  <r>
    <d v="2026-03-01T11:21:53"/>
    <s v="aline.isacmoreira@gmail.com"/>
    <x v="10"/>
    <s v="MHV7D46"/>
    <x v="38"/>
    <x v="123"/>
    <m/>
    <x v="125"/>
    <m/>
    <s v="Komprao Guaramirim/cooper fresh/super A/ condor"/>
    <m/>
    <s v="Não"/>
    <m/>
    <m/>
    <m/>
    <m/>
    <m/>
    <m/>
    <m/>
    <m/>
    <x v="51"/>
    <n v="45.1"/>
    <n v="0"/>
    <n v="0"/>
    <n v="0"/>
    <n v="0"/>
    <x v="1"/>
    <x v="1"/>
    <e v="#NAME?"/>
  </r>
  <r>
    <d v="2026-03-01T11:21:53"/>
    <s v="aline.isacmoreira@gmail.com"/>
    <x v="10"/>
    <s v="MHV7D46"/>
    <x v="38"/>
    <x v="123"/>
    <m/>
    <x v="125"/>
    <m/>
    <s v="Komprao Guaramirim/cooper fresh/super A/ condor"/>
    <m/>
    <s v="Não"/>
    <m/>
    <m/>
    <m/>
    <m/>
    <m/>
    <m/>
    <m/>
    <m/>
    <x v="51"/>
    <n v="45.1"/>
    <n v="0"/>
    <n v="0"/>
    <n v="0"/>
    <n v="0"/>
    <x v="1"/>
    <x v="1"/>
    <e v="#NAME?"/>
  </r>
  <r>
    <d v="2026-02-26T14:54:56"/>
    <s v="brenon_lks@hotmail.com"/>
    <x v="12"/>
    <s v="FTF5H43"/>
    <x v="38"/>
    <x v="124"/>
    <s v="https://drive.google.com/open?id=1oAv-RT0FczZsBfzB70xzXMbREjoAYdXg"/>
    <x v="126"/>
    <s v="https://drive.google.com/open?id=1TVTb_39SpDkaq_-ybCVaZrxNOvoiNWku"/>
    <s v="RIO NEGRINHO E SÃO BENTO"/>
    <m/>
    <s v="Não"/>
    <m/>
    <m/>
    <m/>
    <m/>
    <m/>
    <m/>
    <m/>
    <m/>
    <x v="99"/>
    <n v="264"/>
    <n v="0"/>
    <n v="0"/>
    <n v="0"/>
    <n v="0"/>
    <x v="1"/>
    <x v="1"/>
    <e v="#NAME?"/>
  </r>
  <r>
    <d v="2026-02-26T09:51:27"/>
    <s v="camila.althoff@mazzini.com.br"/>
    <x v="3"/>
    <s v="Mlz4j72"/>
    <x v="38"/>
    <x v="125"/>
    <s v="https://drive.google.com/open?id=1OpYa1qb_4T5bmCLFl7mG-oCRFFZYJ9OS"/>
    <x v="127"/>
    <s v="https://drive.google.com/open?id=1VwiV4njNBoTq_hitT6Kwv2abKdFoIyil"/>
    <s v="Komprao 18 itapema"/>
    <m/>
    <s v="Sim"/>
    <s v="11.40"/>
    <s v="https://drive.google.com/open?id=1zbelIgyXRjvXazYC66M9V6vOIFDKPjst"/>
    <m/>
    <m/>
    <m/>
    <m/>
    <m/>
    <m/>
    <x v="100"/>
    <n v="199.10000000000002"/>
    <n v="11.4"/>
    <n v="0"/>
    <n v="0"/>
    <n v="0"/>
    <x v="1"/>
    <x v="1"/>
    <e v="#NAME?"/>
  </r>
  <r>
    <d v="2026-02-25T18:22:32"/>
    <s v="oliiveiiraa7@gmail.com"/>
    <x v="6"/>
    <s v="EUF3090"/>
    <x v="38"/>
    <x v="126"/>
    <m/>
    <x v="128"/>
    <m/>
    <s v="Atacadao Chapeco Fort Chapeco"/>
    <m/>
    <s v="Não"/>
    <m/>
    <m/>
    <m/>
    <m/>
    <m/>
    <m/>
    <m/>
    <m/>
    <x v="101"/>
    <n v="279.40000000000003"/>
    <n v="0"/>
    <n v="0"/>
    <n v="0"/>
    <n v="0"/>
    <x v="1"/>
    <x v="1"/>
    <e v="#NAME?"/>
  </r>
  <r>
    <d v="2026-02-28T16:28:26"/>
    <s v="martinsneto047@gmail.com"/>
    <x v="9"/>
    <s v="IUT1C03"/>
    <x v="38"/>
    <x v="127"/>
    <s v="https://drive.google.com/open?id=1OqF0SBfBKHfZMYRfW_52Tmun7ykbCzg8"/>
    <x v="129"/>
    <s v="https://drive.google.com/open?id=1VY_A9YzNK_HQWfWLm-jiHoJQiTQfdD_u"/>
    <s v="Gsl Kelvin comper _x000a_Gsl Getúlio koch 41"/>
    <m/>
    <s v="Não"/>
    <m/>
    <m/>
    <m/>
    <m/>
    <m/>
    <m/>
    <m/>
    <m/>
    <x v="102"/>
    <n v="3.3000000000000003"/>
    <n v="0"/>
    <n v="0"/>
    <n v="0"/>
    <n v="0"/>
    <x v="1"/>
    <x v="1"/>
    <e v="#NAME?"/>
  </r>
  <r>
    <d v="2026-02-26T08:28:23"/>
    <s v="matheus.moraes@mazzini.com.br"/>
    <x v="8"/>
    <s v="QIL7H04"/>
    <x v="38"/>
    <x v="128"/>
    <s v="https://drive.google.com/open?id=1YZ5bDcH79zUpZSUp5ueHt1WuVfkTDwxd"/>
    <x v="130"/>
    <s v="https://drive.google.com/open?id=13mTcK8UhouFOV342_SpMjiEgzgb9DpWa"/>
    <s v="KOMPRÃO 18 ITAPEMA"/>
    <m/>
    <s v="Não"/>
    <m/>
    <m/>
    <m/>
    <m/>
    <m/>
    <m/>
    <m/>
    <m/>
    <x v="103"/>
    <n v="258.5"/>
    <n v="0"/>
    <n v="0"/>
    <n v="0"/>
    <n v="0"/>
    <x v="1"/>
    <x v="1"/>
    <e v="#NAME?"/>
  </r>
  <r>
    <d v="2026-02-26T09:05:49"/>
    <s v="sabrina.pires@mazzini.com.br"/>
    <x v="2"/>
    <s v="AZC9E32"/>
    <x v="38"/>
    <x v="129"/>
    <s v="https://drive.google.com/open?id=1oF9C6n6dCjOpL_Ax8z5ffYfprp0fY4AZ"/>
    <x v="131"/>
    <s v="https://drive.google.com/open?id=1gBptmkVTJoM0V85QWblZ_zuqSrTwW8WS"/>
    <s v="Fort atacadista 130 _x000a_Fort 462_x000a_Brasil atacadista"/>
    <m/>
    <s v="Não"/>
    <m/>
    <m/>
    <m/>
    <m/>
    <m/>
    <m/>
    <m/>
    <m/>
    <x v="4"/>
    <n v="55.000000000000007"/>
    <n v="0"/>
    <n v="0"/>
    <n v="0"/>
    <n v="0"/>
    <x v="1"/>
    <x v="1"/>
    <e v="#NAME?"/>
  </r>
  <r>
    <d v="2026-02-27T10:21:39"/>
    <s v="camila.althoff@mazzini.com.br"/>
    <x v="3"/>
    <s v="Mlz4j72"/>
    <x v="39"/>
    <x v="130"/>
    <s v="https://drive.google.com/open?id=1RZ2Kno9ccTljQC1G0VUzVLZ0R-f_9yFf"/>
    <x v="132"/>
    <s v="https://drive.google.com/open?id=1SZgYawic6ki5uWNtKceHnL3Q84GyKLJG"/>
    <s v="Mwm, brasil rio Tavares, Fort campeche"/>
    <m/>
    <s v="Não"/>
    <m/>
    <m/>
    <m/>
    <m/>
    <m/>
    <m/>
    <m/>
    <m/>
    <x v="104"/>
    <n v="92.4"/>
    <n v="0"/>
    <n v="0"/>
    <n v="0"/>
    <n v="0"/>
    <x v="1"/>
    <x v="1"/>
    <e v="#NAME?"/>
  </r>
  <r>
    <d v="2026-02-28T16:32:14"/>
    <s v="martinsneto047@gmail.com"/>
    <x v="9"/>
    <s v="IUT1C03"/>
    <x v="39"/>
    <x v="131"/>
    <s v="https://drive.google.com/open?id=1S1QD48j0-x25_YFU1rqi77A0mxFnahWu"/>
    <x v="133"/>
    <s v="https://drive.google.com/open?id=1cFIMjaaXCyJE4td5zg6Gqpc8FTTa2Kqi"/>
    <s v="Kompra 12 _x000a_Komprao 55_x000a_Komprao 38"/>
    <m/>
    <s v="Não"/>
    <m/>
    <m/>
    <m/>
    <m/>
    <m/>
    <m/>
    <m/>
    <m/>
    <x v="22"/>
    <n v="99.000000000000014"/>
    <n v="0"/>
    <n v="0"/>
    <n v="0"/>
    <n v="0"/>
    <x v="1"/>
    <x v="1"/>
    <e v="#NAME?"/>
  </r>
  <r>
    <d v="2026-02-26T14:38:41"/>
    <s v="lombardi2015@gmail.com"/>
    <x v="4"/>
    <s v="OWA4C07"/>
    <x v="39"/>
    <x v="132"/>
    <s v="https://drive.google.com/open?id=1v7sUKJDmGpWx1CNXHR0tHhcEgmLy2bwV"/>
    <x v="134"/>
    <s v="https://drive.google.com/open?id=1MXZDP-UcNqkh878BVTXMrlAuTPGuTgpY"/>
    <s v="KOMPRAO 50,COOPER ATACAREJO"/>
    <m/>
    <s v="Não"/>
    <m/>
    <m/>
    <m/>
    <m/>
    <m/>
    <m/>
    <m/>
    <m/>
    <x v="20"/>
    <n v="112.2"/>
    <n v="0"/>
    <n v="0"/>
    <n v="0"/>
    <n v="0"/>
    <x v="1"/>
    <x v="1"/>
    <e v="#NAME?"/>
  </r>
  <r>
    <d v="2026-02-26T23:30:24"/>
    <s v="sabrina.pires@mazzini.com.br"/>
    <x v="2"/>
    <s v="AZC9E32"/>
    <x v="39"/>
    <x v="133"/>
    <s v="https://drive.google.com/open?id=1scz93qvi8upC8KNZclLtfIw6QXkGWwda"/>
    <x v="135"/>
    <s v="https://drive.google.com/open?id=1stnNs_wDYxRPeBL4s51VYgxsZXZ1N6u8"/>
    <s v="Brasil atacadista _x000a_Fort 130_x000a_Fort 290_x000a_Koch biguaçu _x000a_Komprao"/>
    <m/>
    <s v="Não"/>
    <m/>
    <m/>
    <m/>
    <m/>
    <m/>
    <m/>
    <m/>
    <m/>
    <x v="105"/>
    <n v="104.50000000000001"/>
    <n v="0"/>
    <n v="0"/>
    <n v="0"/>
    <n v="0"/>
    <x v="1"/>
    <x v="1"/>
    <e v="#NAME?"/>
  </r>
  <r>
    <d v="2026-03-01T11:23:21"/>
    <s v="aline.isacmoreira@gmail.com"/>
    <x v="10"/>
    <s v="MHV7D46"/>
    <x v="40"/>
    <x v="134"/>
    <m/>
    <x v="136"/>
    <m/>
    <s v="Fort atacadista Tuiuti Joinville"/>
    <m/>
    <s v="Não"/>
    <m/>
    <m/>
    <m/>
    <m/>
    <m/>
    <m/>
    <m/>
    <m/>
    <x v="106"/>
    <n v="156.20000000000002"/>
    <n v="0"/>
    <n v="0"/>
    <n v="0"/>
    <n v="0"/>
    <x v="1"/>
    <x v="1"/>
    <e v="#NAME?"/>
  </r>
  <r>
    <d v="2026-03-01T11:23:21"/>
    <s v="aline.isacmoreira@gmail.com"/>
    <x v="10"/>
    <s v="MHV7D46"/>
    <x v="40"/>
    <x v="134"/>
    <m/>
    <x v="136"/>
    <m/>
    <s v="Fort atacadista Tuiuti Joinville"/>
    <m/>
    <s v="Não"/>
    <m/>
    <m/>
    <m/>
    <m/>
    <m/>
    <m/>
    <m/>
    <m/>
    <x v="106"/>
    <n v="156.20000000000002"/>
    <n v="0"/>
    <n v="0"/>
    <n v="0"/>
    <n v="0"/>
    <x v="1"/>
    <x v="1"/>
    <e v="#NAME?"/>
  </r>
  <r>
    <d v="2026-02-28T08:37:03"/>
    <s v="camila.althoff@mazzini.com.br"/>
    <x v="3"/>
    <s v="Mlz4j72"/>
    <x v="40"/>
    <x v="135"/>
    <s v="https://drive.google.com/open?id=1PUlnm9SzKo77FZ1TgfAqgH9A0jkPSw51"/>
    <x v="137"/>
    <s v="https://drive.google.com/open?id=1cuv2ueX-7wnyOetD6Gn1PH3K3y3pn1y6"/>
    <s v="Fort campeche, jardim atlântico, imperatriz coqueiros"/>
    <m/>
    <s v="Não"/>
    <m/>
    <m/>
    <m/>
    <m/>
    <m/>
    <m/>
    <m/>
    <m/>
    <x v="107"/>
    <n v="72.600000000000009"/>
    <n v="0"/>
    <n v="0"/>
    <n v="0"/>
    <n v="0"/>
    <x v="1"/>
    <x v="1"/>
    <e v="#NAME?"/>
  </r>
  <r>
    <d v="2026-02-28T16:37:09"/>
    <s v="martinsneto047@gmail.com"/>
    <x v="9"/>
    <s v="IUT1C03"/>
    <x v="40"/>
    <x v="136"/>
    <s v="https://drive.google.com/open?id=1ZM024ggvHGNQ1GJRj0NSTsIPlEb6a1jY"/>
    <x v="138"/>
    <s v="https://drive.google.com/open?id=1GzhTadtzKuA4F02TcpS5laKFX6lWIl9A"/>
    <s v="Koch 52 integração _x000a_Koch 09 gsl_x000a_Brasil Atacadista integração"/>
    <m/>
    <s v="Não"/>
    <m/>
    <m/>
    <m/>
    <m/>
    <m/>
    <m/>
    <m/>
    <m/>
    <x v="108"/>
    <n v="50.6"/>
    <n v="0"/>
    <n v="0"/>
    <n v="0"/>
    <n v="0"/>
    <x v="1"/>
    <x v="1"/>
    <e v="#NAME?"/>
  </r>
  <r>
    <d v="2026-02-27T17:45:26"/>
    <s v="sabrina.pires@mazzini.com.br"/>
    <x v="2"/>
    <s v="AZC9E32"/>
    <x v="40"/>
    <x v="137"/>
    <s v="https://drive.google.com/open?id=1iKGC-NTdxaoFjBuLqj0OBr6lgPN1zDlG"/>
    <x v="139"/>
    <s v="https://drive.google.com/open?id=17Z9wr0jpEBlwObHq-vYcpNlLxcE08Zff"/>
    <s v="Komprao Tijucas 53_x000a_Komprao 20_x000a_Komprao 02_x000a_Komprao 24_x000a_Fort atacadista kobrasol"/>
    <m/>
    <s v="Não"/>
    <m/>
    <m/>
    <m/>
    <m/>
    <m/>
    <m/>
    <m/>
    <m/>
    <x v="109"/>
    <n v="184.8"/>
    <n v="0"/>
    <n v="0"/>
    <n v="0"/>
    <n v="0"/>
    <x v="1"/>
    <x v="1"/>
    <e v="#NAME?"/>
  </r>
  <r>
    <d v="2026-02-28T16:40:04"/>
    <s v="martinsneto047@gmail.com"/>
    <x v="9"/>
    <s v="IUT1C03"/>
    <x v="41"/>
    <x v="138"/>
    <s v="https://drive.google.com/open?id=1X05iDPwfMC3AFYYygVQ7gcTKjNZhgQPM"/>
    <x v="140"/>
    <s v="https://drive.google.com/open?id=1ov-HyVb08nXAyLf0hBpm0iQn_fDrLGFP"/>
    <s v="Meschek filial 01 integração _x000a_Fort 325 itajai levar cartão caju aos colaboradores _x000a_Bistek 23 levar carta caju"/>
    <m/>
    <s v="Não"/>
    <m/>
    <m/>
    <m/>
    <m/>
    <m/>
    <m/>
    <m/>
    <m/>
    <x v="105"/>
    <n v="104.50000000000001"/>
    <n v="0"/>
    <n v="0"/>
    <n v="0"/>
    <n v="0"/>
    <x v="1"/>
    <x v="1"/>
    <e v="#NAME?"/>
  </r>
  <r>
    <d v="2026-02-28T11:15:06"/>
    <s v="sabrina.pires@mazzini.com.br"/>
    <x v="2"/>
    <s v="AZC9E32"/>
    <x v="41"/>
    <x v="139"/>
    <s v="https://drive.google.com/open?id=1G2bRFmW_35BzT4ly4-uARpPbyawomK0k"/>
    <x v="141"/>
    <s v="https://drive.google.com/open?id=1fHbheHpZAUUQSLq_sOXqP9EC-Zwq4alr"/>
    <s v="Komprao 91_x000a_Fort atacadista _x000a_Brasil atacadista _x000a_Komprao ponte do imaruim _x000a_"/>
    <m/>
    <s v="Não"/>
    <m/>
    <m/>
    <m/>
    <m/>
    <m/>
    <m/>
    <m/>
    <m/>
    <x v="110"/>
    <n v="81.400000000000006"/>
    <n v="0"/>
    <n v="0"/>
    <n v="0"/>
    <n v="0"/>
    <x v="1"/>
    <x v="1"/>
    <e v="#NAME?"/>
  </r>
  <r>
    <d v="2026-03-04T16:08:46"/>
    <s v="carlos.proenca@mazzini.com.br"/>
    <x v="11"/>
    <s v="qhd3d74"/>
    <x v="42"/>
    <x v="140"/>
    <s v="https://drive.google.com/open?id=1-hbOErrCabJ47g1FG2rLXNaJqipNb7ix"/>
    <x v="142"/>
    <s v="https://drive.google.com/open?id=1mdOgyK-hs4AaLFagTbyMlWyOm1QFmoVt"/>
    <s v="buscar material casa coordenadora destino joinville"/>
    <m/>
    <s v="Não"/>
    <m/>
    <m/>
    <m/>
    <m/>
    <m/>
    <m/>
    <m/>
    <m/>
    <x v="81"/>
    <n v="13.200000000000001"/>
    <n v="0"/>
    <n v="0"/>
    <n v="0"/>
    <n v="0"/>
    <x v="0"/>
    <x v="2"/>
    <e v="#NAME?"/>
  </r>
  <r>
    <d v="2026-03-07T11:20:59"/>
    <s v="martinsneto047@gmail.com"/>
    <x v="9"/>
    <s v="IUT1C03"/>
    <x v="42"/>
    <x v="141"/>
    <s v="https://drive.google.com/open?id=1fVN72cxlgKHvO46M_m-YmHYwqavlpX4z"/>
    <x v="143"/>
    <s v="https://drive.google.com/open?id=1tL0xdLmkWIrJzE6K3l25mcAj3AhYGhlA"/>
    <s v="Segunda feira 02/03/2026_x000a_Brasil Atacadista _x000a_Koch 06 _x000a_Koch 09 _x000a_Komprao 15"/>
    <m/>
    <s v="Não"/>
    <m/>
    <m/>
    <m/>
    <m/>
    <m/>
    <m/>
    <m/>
    <m/>
    <x v="111"/>
    <n v="30.800000000000004"/>
    <n v="0"/>
    <n v="0"/>
    <n v="0"/>
    <n v="0"/>
    <x v="0"/>
    <x v="2"/>
    <e v="#NAME?"/>
  </r>
  <r>
    <d v="2026-03-06T09:54:36"/>
    <s v="matheus.moraes@mazzini.com.br"/>
    <x v="8"/>
    <s v="QIL7H04"/>
    <x v="42"/>
    <x v="142"/>
    <s v="https://drive.google.com/open?id=1McR_A6ctg2QfO5LNsB_UE7ZTGLVSaYmV"/>
    <x v="144"/>
    <s v="https://drive.google.com/open?id=1hcfYkxiCrfL4PEDYNJ-Pvn3os-3CMya2"/>
    <s v="KOMPRÃO 36, COOPER GASPAR COLONINHA, ATACADÃO BLUMENAU E GALEGÃO ESC AGRICOLA"/>
    <m/>
    <s v="Sim"/>
    <m/>
    <m/>
    <s v="8.00"/>
    <s v="https://drive.google.com/open?id=1RzgE86-kmN-zFsC4ZtQMSJfXx81VvDmg"/>
    <s v="18.25"/>
    <s v="https://drive.google.com/open?id=1YciWGkdOft5x-Wdwl6z0metNX15BmroF"/>
    <m/>
    <m/>
    <x v="112"/>
    <n v="203.50000000000003"/>
    <n v="0"/>
    <n v="8"/>
    <n v="18.25"/>
    <n v="0"/>
    <x v="0"/>
    <x v="2"/>
    <e v="#NAME?"/>
  </r>
  <r>
    <d v="2026-03-04T16:13:59"/>
    <s v="carlos.proenca@mazzini.com.br"/>
    <x v="11"/>
    <s v="qhd3d74"/>
    <x v="43"/>
    <x v="143"/>
    <s v="https://drive.google.com/open?id=1T3B2AVc9BTFg-Tc2zpV9iXMsRblvLD-p"/>
    <x v="145"/>
    <s v="https://drive.google.com/open?id=1ANa5Sw8Qs7fu-e6frVbU-9NL2svPifFV"/>
    <s v="atacarejo vizinhao gsr supervisor aline, supervisor Ricardo, supervisor Brenon"/>
    <m/>
    <s v="Sim"/>
    <s v="20.80"/>
    <s v="https://drive.google.com/open?id=1h1X9Eq1-o1FrjW3jFE_-F_ELGPFevFhd, https://drive.google.com/open?id=10xSzk6r5WWopBVMZylp93e-S6KtWNlZy, https://drive.google.com/open?id=11ytiac8RymcH3ej2j24_bK_stJ5mbe_e, https://drive.google.com/open?id=1HnolUye7IEWtGo1ljkW1eFqoZ8W3BoK0"/>
    <m/>
    <m/>
    <m/>
    <m/>
    <m/>
    <s v="perdi o comprovante do pedagio de Porto Belo sentido norte"/>
    <x v="113"/>
    <n v="409.20000000000005"/>
    <n v="20.8"/>
    <n v="0"/>
    <n v="0"/>
    <n v="0"/>
    <x v="0"/>
    <x v="2"/>
    <e v="#NAME?"/>
  </r>
  <r>
    <d v="2026-03-06T10:01:37"/>
    <s v="matheus.moraes@mazzini.com.br"/>
    <x v="8"/>
    <s v="QIL7H04"/>
    <x v="43"/>
    <x v="144"/>
    <s v="https://drive.google.com/open?id=1BBjDW8zA9JcakuD83aulS_7TBPFGXlVe"/>
    <x v="146"/>
    <s v="https://drive.google.com/open?id=1YafHreTtRx29Ps-iToKu0RQ0CQW9Bo6-"/>
    <s v="mocam 403, atacadão blumenau, kock 89, sams, galegão fortaleza, bisteck park europeu e mocam 401"/>
    <m/>
    <s v="Não"/>
    <m/>
    <m/>
    <m/>
    <m/>
    <m/>
    <m/>
    <m/>
    <m/>
    <x v="114"/>
    <n v="148.5"/>
    <n v="0"/>
    <n v="0"/>
    <n v="0"/>
    <n v="0"/>
    <x v="0"/>
    <x v="2"/>
    <e v="#NAME?"/>
  </r>
  <r>
    <d v="2026-03-15T17:10:19"/>
    <s v="aline.isacmoreira@gmail.com"/>
    <x v="10"/>
    <s v="MHV7D46"/>
    <x v="44"/>
    <x v="145"/>
    <m/>
    <x v="147"/>
    <m/>
    <s v="Cooper fresh, Fort 250, vizinhaoJoinville, komprao 77, komprao 45, Bistek, Jaraguá"/>
    <m/>
    <s v="Não"/>
    <m/>
    <m/>
    <m/>
    <m/>
    <m/>
    <m/>
    <m/>
    <m/>
    <x v="115"/>
    <n v="177.10000000000002"/>
    <n v="0"/>
    <n v="0"/>
    <n v="0"/>
    <n v="0"/>
    <x v="0"/>
    <x v="2"/>
    <e v="#NAME?"/>
  </r>
  <r>
    <d v="2026-03-07T11:27:52"/>
    <s v="martinsneto047@gmail.com"/>
    <x v="9"/>
    <s v="IUT1C03"/>
    <x v="44"/>
    <x v="146"/>
    <s v="https://drive.google.com/open?id=1v6_lcOOyY6g6zjWQJxQhTCZmO91B3A-K"/>
    <x v="148"/>
    <s v="https://drive.google.com/open?id=1y2siOoFkcXuyi_KHuqGSbmATyHYqWBWF"/>
    <s v="brasil atacadista fort 190- koch 07 komprao 37"/>
    <m/>
    <s v="Sim"/>
    <m/>
    <m/>
    <m/>
    <m/>
    <n v="9"/>
    <s v="https://drive.google.com/open?id=1FL6WOCzxpBEx6L69CHlp3E-EBXrbKUcZ"/>
    <m/>
    <m/>
    <x v="74"/>
    <n v="17.600000000000001"/>
    <n v="0"/>
    <n v="0"/>
    <n v="9"/>
    <n v="0"/>
    <x v="0"/>
    <x v="2"/>
    <e v="#NAME?"/>
  </r>
  <r>
    <d v="2026-03-06T10:05:28"/>
    <s v="matheus.moraes@mazzini.com.br"/>
    <x v="8"/>
    <s v="QIL7H04"/>
    <x v="44"/>
    <x v="147"/>
    <s v="https://drive.google.com/open?id=1QKAua0alrVKGU5ClKVnaxp_W6qotzkfI"/>
    <x v="149"/>
    <s v="https://drive.google.com/open?id=11GinyXb_p6BVNGOgjcLAih-i-YTppAKz"/>
    <s v="supermercado mocam indaial, preceiro rodeio, schmoller lontras, nardelão 201, supermercado central 101 e komprão 32"/>
    <m/>
    <s v="Não"/>
    <m/>
    <m/>
    <m/>
    <m/>
    <m/>
    <m/>
    <m/>
    <m/>
    <x v="116"/>
    <n v="267.3"/>
    <n v="0"/>
    <n v="0"/>
    <n v="0"/>
    <n v="0"/>
    <x v="0"/>
    <x v="2"/>
    <e v="#NAME?"/>
  </r>
  <r>
    <d v="2026-03-04T20:37:44"/>
    <s v="sabrina.pires@mazzini.com.br"/>
    <x v="2"/>
    <s v="AZC9E32"/>
    <x v="44"/>
    <x v="148"/>
    <s v="https://drive.google.com/open?id=1PMnf9rKq763vobprb5gjSQAEtbhkl5JF"/>
    <x v="150"/>
    <s v="https://drive.google.com/open?id=1_mJyQEp7OO3_ETNCjzxt2px703EtN132"/>
    <s v="Brasil atacadista central _x000a_Fort 306_x000a_Fort 365_x000a_Fort 290 Komprao _x000a_Komprao pedra branca _x000a_Fort 130"/>
    <m/>
    <s v="Não"/>
    <m/>
    <m/>
    <m/>
    <m/>
    <m/>
    <m/>
    <m/>
    <m/>
    <x v="117"/>
    <n v="190.3"/>
    <n v="0"/>
    <n v="0"/>
    <n v="0"/>
    <n v="0"/>
    <x v="0"/>
    <x v="2"/>
    <e v="#NAME?"/>
  </r>
  <r>
    <d v="2026-03-15T17:13:18"/>
    <s v="aline.isacmoreira@gmail.com"/>
    <x v="10"/>
    <s v="MHV7D46"/>
    <x v="45"/>
    <x v="149"/>
    <m/>
    <x v="151"/>
    <m/>
    <s v="Komprao 50, komprao 26, kock SFS, Jaraguá"/>
    <m/>
    <s v="Não"/>
    <m/>
    <m/>
    <m/>
    <m/>
    <m/>
    <m/>
    <m/>
    <m/>
    <x v="115"/>
    <n v="177.10000000000002"/>
    <n v="0"/>
    <n v="0"/>
    <n v="0"/>
    <n v="0"/>
    <x v="0"/>
    <x v="2"/>
    <e v="#NAME?"/>
  </r>
  <r>
    <d v="2026-03-06T08:37:31"/>
    <s v="camila.althoff@mazzini.com.br"/>
    <x v="3"/>
    <s v="Mlz4j72"/>
    <x v="45"/>
    <x v="150"/>
    <s v="https://drive.google.com/open?id=1YB_qwntXnfwV-uNOdj_ZC8_rAfKHkImW"/>
    <x v="152"/>
    <s v="https://drive.google.com/open?id=1RMv5UjS4244Aq2dLgaTOwPVa1MD0Zx-S"/>
    <s v="Fort vargem, mwm, Fort kobrasol"/>
    <m/>
    <s v="Não"/>
    <m/>
    <m/>
    <m/>
    <m/>
    <m/>
    <m/>
    <m/>
    <m/>
    <x v="8"/>
    <n v="117.7"/>
    <n v="0"/>
    <n v="0"/>
    <n v="0"/>
    <n v="0"/>
    <x v="0"/>
    <x v="2"/>
    <e v="#NAME?"/>
  </r>
  <r>
    <d v="2026-03-06T22:00:11"/>
    <s v="oliiveiiraa7@gmail.com"/>
    <x v="6"/>
    <s v="EUF3090"/>
    <x v="45"/>
    <x v="151"/>
    <s v="https://drive.google.com/open?id=1m_95KQhbPwIvH7OTgOYS7FshvQWUb2FA"/>
    <x v="153"/>
    <s v="https://drive.google.com/open?id=1RK1WtySDwQ9ozvCcytmz4ZD-hzQbhUuK"/>
    <s v="Stok Center Lages, Atacadao Lages, Angeloni Lages, Fort 260 Lages, Bistek Lages, Fort 960 Lages, Brasil Atacadista Lages"/>
    <m/>
    <s v="Não"/>
    <m/>
    <m/>
    <m/>
    <m/>
    <m/>
    <m/>
    <m/>
    <m/>
    <x v="118"/>
    <n v="249.70000000000002"/>
    <n v="0"/>
    <n v="0"/>
    <n v="0"/>
    <n v="0"/>
    <x v="0"/>
    <x v="2"/>
    <e v="#NAME?"/>
  </r>
  <r>
    <d v="2026-03-07T11:30:14"/>
    <s v="martinsneto047@gmail.com"/>
    <x v="9"/>
    <s v="IUT1C03"/>
    <x v="45"/>
    <x v="152"/>
    <s v="https://drive.google.com/open?id=1VUE3VWQAOY8qhdJt9rEDjBqYVpbrXABm"/>
    <x v="154"/>
    <s v="https://drive.google.com/open?id=1RKqDkdQQjaXR7bHUmrY50y5v7GLE79s1"/>
    <s v="Koch Meia Praia _x000a_Koch Hipermercado _x000a_Fory 825 itajai _x000a_Fort 310 _x000a_Meschke Atacadista _x000a_Komprão 37 PB"/>
    <m/>
    <s v="Não"/>
    <m/>
    <m/>
    <m/>
    <m/>
    <m/>
    <m/>
    <m/>
    <m/>
    <x v="41"/>
    <n v="123.20000000000002"/>
    <n v="0"/>
    <n v="0"/>
    <n v="0"/>
    <n v="0"/>
    <x v="0"/>
    <x v="2"/>
    <e v="#NAME?"/>
  </r>
  <r>
    <d v="2026-03-06T10:14:36"/>
    <s v="matheus.moraes@mazzini.com.br"/>
    <x v="8"/>
    <s v="QIL7H04"/>
    <x v="45"/>
    <x v="153"/>
    <s v="https://drive.google.com/open?id=1to1SsS5iC-qk3sWFKKM8xoKNoXheYZRw"/>
    <x v="155"/>
    <s v="https://drive.google.com/open?id=1EYwG99HIOy4hlYYkn0b7pEOQ8VivBpDX"/>
    <s v="giassi, atacadão blumenau, bisteck garcia, archer gaspar, zeus, gtop 19 e top fortaleza"/>
    <n v="100"/>
    <s v="Não"/>
    <m/>
    <m/>
    <m/>
    <m/>
    <m/>
    <m/>
    <m/>
    <m/>
    <x v="114"/>
    <n v="148.5"/>
    <n v="0"/>
    <n v="0"/>
    <n v="0"/>
    <n v="0"/>
    <x v="0"/>
    <x v="2"/>
    <e v="#NAME?"/>
  </r>
  <r>
    <d v="2026-03-07T12:58:44"/>
    <s v="camila.althoff@mazzini.com.br"/>
    <x v="3"/>
    <s v="Mlz4j72"/>
    <x v="46"/>
    <x v="154"/>
    <s v="https://drive.google.com/open?id=1l5tzQ2PtE4Xyl4dKOuwrA9_nGC11lg3_"/>
    <x v="156"/>
    <s v="https://drive.google.com/open?id=1giLBUu4yxZ73EhTvCZlnat2-4-AjYJ8V"/>
    <s v="Carrefour, Angeloni beira mar, Fort campeche, hiperselect"/>
    <m/>
    <s v="Sim"/>
    <m/>
    <m/>
    <s v="25.00"/>
    <s v="https://drive.google.com/open?id=1ncYX4DQreZl__0fg9axFQNgCyIC5h_l_, https://drive.google.com/open?id=1eCQGceMk1NaDo7foLfto3bIc8T6L-fNj"/>
    <m/>
    <m/>
    <m/>
    <m/>
    <x v="119"/>
    <n v="56.1"/>
    <n v="0"/>
    <n v="25"/>
    <n v="0"/>
    <n v="0"/>
    <x v="0"/>
    <x v="2"/>
    <e v="#NAME?"/>
  </r>
  <r>
    <d v="2026-03-06T15:45:08"/>
    <s v="carlos.proenca@mazzini.com.br"/>
    <x v="11"/>
    <s v="qhd3d74"/>
    <x v="46"/>
    <x v="155"/>
    <s v="https://drive.google.com/open?id=1rc9G4uB2NpfTJOfywCZPoWzd0RN4YbL1"/>
    <x v="157"/>
    <s v="https://drive.google.com/open?id=1L_Lsyu_jlGKi7zVTLgSKkzKkpCfGfNwZ"/>
    <s v="carrefour shopping vila romana( EPI Diego)"/>
    <m/>
    <s v="Sim"/>
    <m/>
    <m/>
    <s v="20.00"/>
    <s v="https://drive.google.com/open?id=1pXm69yixAtlnnYXjAdklQ-9jbBjP_J7q"/>
    <m/>
    <m/>
    <m/>
    <m/>
    <x v="120"/>
    <n v="71.5"/>
    <n v="0"/>
    <n v="20"/>
    <n v="0"/>
    <n v="0"/>
    <x v="0"/>
    <x v="2"/>
    <e v="#NAME?"/>
  </r>
  <r>
    <d v="2026-03-07T11:37:02"/>
    <s v="martinsneto047@gmail.com"/>
    <x v="9"/>
    <s v="IUT1C03"/>
    <x v="46"/>
    <x v="156"/>
    <s v="https://drive.google.com/open?id=13o02JwrLFWOqjZe0QDtQeXYWpKgiG6vI"/>
    <x v="158"/>
    <s v="https://drive.google.com/open?id=1ZT53ENWi0Kv8ITw_Mj3K5SaM-a7SB613"/>
    <s v="komprao 38 _x000a_fort 214"/>
    <m/>
    <s v="Não"/>
    <m/>
    <m/>
    <m/>
    <m/>
    <m/>
    <m/>
    <m/>
    <m/>
    <x v="25"/>
    <n v="77"/>
    <n v="0"/>
    <n v="0"/>
    <n v="0"/>
    <n v="0"/>
    <x v="0"/>
    <x v="2"/>
    <e v="#NAME?"/>
  </r>
  <r>
    <d v="2026-03-06T10:18:28"/>
    <s v="matheus.moraes@mazzini.com.br"/>
    <x v="8"/>
    <s v="QIL7H04"/>
    <x v="46"/>
    <x v="157"/>
    <s v="https://drive.google.com/open?id=1L9O3tWtAUAGxBgdh94EvDClnicWvmrtu"/>
    <x v="159"/>
    <s v="https://drive.google.com/open?id=1DHvK4xo0sivwxhTT52opi6OQZXoH7mKl"/>
    <s v="cooper vila nova, cooper itoupava e komprão 40"/>
    <m/>
    <s v="Não"/>
    <m/>
    <m/>
    <m/>
    <m/>
    <m/>
    <m/>
    <m/>
    <m/>
    <x v="31"/>
    <n v="111.10000000000001"/>
    <n v="0"/>
    <n v="0"/>
    <n v="0"/>
    <n v="0"/>
    <x v="0"/>
    <x v="2"/>
    <e v="#NAME?"/>
  </r>
  <r>
    <d v="2026-03-10T10:53:00"/>
    <s v="matheus.moraes@mazzini.com.br"/>
    <x v="8"/>
    <s v="QIL7H04"/>
    <x v="47"/>
    <x v="158"/>
    <s v="https://drive.google.com/open?id=1KAj8slaG8HzsnAsKKwoaOPvAhGqb4KL7"/>
    <x v="160"/>
    <s v="https://drive.google.com/open?id=1u1vRRAADiLaxQ3Tu77dJjy2rIgrtyhq1"/>
    <s v="COOPER CAÇADORES (RECOLHER MATERIAL DO ISSAC)"/>
    <m/>
    <s v="Não"/>
    <m/>
    <m/>
    <m/>
    <m/>
    <m/>
    <m/>
    <m/>
    <m/>
    <x v="16"/>
    <n v="0"/>
    <n v="0"/>
    <n v="0"/>
    <n v="0"/>
    <n v="0"/>
    <x v="0"/>
    <x v="2"/>
    <e v="#NAME?"/>
  </r>
  <r>
    <d v="2026-03-09T16:42:06"/>
    <s v="carlos.proenca@mazzini.com.br"/>
    <x v="11"/>
    <s v="qhd3d74"/>
    <x v="48"/>
    <x v="159"/>
    <s v="https://drive.google.com/open?id=128nrlrUk9t1btBnmm84Q6ZpgkXG2B6N2"/>
    <x v="161"/>
    <s v="https://drive.google.com/open?id=1Zl1hzrl-hvcX_0luYTYrrELmkjsJgqnv"/>
    <s v="coleta EPI com coordenadora"/>
    <m/>
    <s v="Não"/>
    <m/>
    <m/>
    <m/>
    <m/>
    <m/>
    <m/>
    <m/>
    <m/>
    <x v="81"/>
    <n v="13.200000000000001"/>
    <n v="0"/>
    <n v="0"/>
    <n v="0"/>
    <n v="0"/>
    <x v="0"/>
    <x v="2"/>
    <e v="#NAME?"/>
  </r>
  <r>
    <d v="2026-03-09T15:23:53"/>
    <s v="martinsneto047@gmail.com"/>
    <x v="9"/>
    <s v="IUT1C03"/>
    <x v="48"/>
    <x v="160"/>
    <s v="https://drive.google.com/open?id=1a_1DV6TfZ4Z8ERpkuPzhH4Aw8C7FaJ9n"/>
    <x v="162"/>
    <s v="https://drive.google.com/open?id=1deK5U8gGowPhpNiWuSLHoHhEVHzu_-kB"/>
    <s v="koch 06 _x000a_komprao 37_x000a_koch 07"/>
    <m/>
    <s v="Não"/>
    <m/>
    <m/>
    <m/>
    <m/>
    <m/>
    <m/>
    <m/>
    <m/>
    <x v="74"/>
    <n v="17.600000000000001"/>
    <n v="0"/>
    <n v="0"/>
    <n v="0"/>
    <n v="0"/>
    <x v="0"/>
    <x v="2"/>
    <e v="#NAME?"/>
  </r>
  <r>
    <d v="2026-03-14T15:47:52"/>
    <s v="martinsneto047@gmail.com"/>
    <x v="9"/>
    <s v="IUT1C03"/>
    <x v="48"/>
    <x v="160"/>
    <s v="https://drive.google.com/open?id=1kvC2zufAQ6pqEpqbYbQDxe8t6o4mvM85"/>
    <x v="162"/>
    <s v="https://drive.google.com/open?id=1wVl1dcgZIJlbUmEWHLpla7XwXQuWdY21"/>
    <s v="KOCH 06 _x000a_KOMPRAO 37_x000a_KOCH 07"/>
    <m/>
    <s v="Não"/>
    <m/>
    <m/>
    <m/>
    <m/>
    <m/>
    <m/>
    <m/>
    <m/>
    <x v="74"/>
    <n v="17.600000000000001"/>
    <n v="0"/>
    <n v="0"/>
    <n v="0"/>
    <n v="0"/>
    <x v="0"/>
    <x v="2"/>
    <e v="#NAME?"/>
  </r>
  <r>
    <d v="2026-03-10T23:24:08"/>
    <s v="camila.althoff@mazzini.com.br"/>
    <x v="3"/>
    <s v="Mlz4j72"/>
    <x v="49"/>
    <x v="161"/>
    <s v="https://drive.google.com/open?id=1w1xj0oPYYt7WNvhyLKol3v9RLPNF5LDm"/>
    <x v="163"/>
    <s v="https://drive.google.com/open?id=19Dyen8KZJY-pRFZ3oEQ4Dt6VJN4YcEj5"/>
    <s v="Fort 306"/>
    <m/>
    <s v="Não"/>
    <m/>
    <m/>
    <m/>
    <m/>
    <m/>
    <m/>
    <m/>
    <m/>
    <x v="7"/>
    <n v="66"/>
    <n v="0"/>
    <n v="0"/>
    <n v="0"/>
    <n v="0"/>
    <x v="0"/>
    <x v="2"/>
    <e v="#NAME?"/>
  </r>
  <r>
    <d v="2026-03-14T15:50:06"/>
    <s v="martinsneto047@gmail.com"/>
    <x v="9"/>
    <s v="IUT1C03"/>
    <x v="49"/>
    <x v="162"/>
    <s v="https://drive.google.com/open?id=1kwqnHXgSzLYc_GQIyosgW8STYsPLIsRj"/>
    <x v="164"/>
    <s v="https://drive.google.com/open?id=1KRuuooH5NgG7CDvObfZgcghv_-s1mWNl"/>
    <s v="KOCH 06 KOMPRAO 18"/>
    <m/>
    <s v="Não"/>
    <m/>
    <m/>
    <m/>
    <m/>
    <m/>
    <m/>
    <m/>
    <m/>
    <x v="121"/>
    <n v="37.400000000000006"/>
    <n v="0"/>
    <n v="0"/>
    <n v="0"/>
    <n v="0"/>
    <x v="0"/>
    <x v="2"/>
    <e v="#NAME?"/>
  </r>
  <r>
    <d v="2026-03-10T13:59:02"/>
    <s v="matheus.moraes@mazzini.com.br"/>
    <x v="8"/>
    <s v="QIL7H04"/>
    <x v="49"/>
    <x v="163"/>
    <s v="https://drive.google.com/open?id=1fpPpEIutiWZGRWRMbxlEtYN-BGuHhXzQ"/>
    <x v="165"/>
    <s v="https://drive.google.com/open?id=1Zl-9PWD4Qwu3U_zref0NGfZCu59cQCSV"/>
    <s v="MOCAM INDAIAL E COOPER NAÇÕES"/>
    <m/>
    <s v="Não"/>
    <m/>
    <m/>
    <m/>
    <m/>
    <m/>
    <m/>
    <m/>
    <m/>
    <x v="122"/>
    <n v="79.2"/>
    <n v="0"/>
    <n v="0"/>
    <n v="0"/>
    <n v="0"/>
    <x v="0"/>
    <x v="2"/>
    <e v="#NAME?"/>
  </r>
  <r>
    <d v="2026-03-16T07:38:20"/>
    <s v="lombardi2025@gmail.com"/>
    <x v="4"/>
    <s v="OWA4C07"/>
    <x v="49"/>
    <x v="164"/>
    <s v="https://drive.google.com/open?id=19TtATU9E2x4kRXhO0hSo645IeVjtIaQg"/>
    <x v="166"/>
    <s v="https://drive.google.com/open?id=1qBUSV0hd6VspjoXO8Z4Za53PzwIWUpmx"/>
    <s v="KOMPRAO 50,CONDOR COMASA,FORT"/>
    <m/>
    <s v="Não"/>
    <m/>
    <m/>
    <m/>
    <m/>
    <m/>
    <m/>
    <m/>
    <m/>
    <x v="123"/>
    <n v="127.60000000000001"/>
    <n v="0"/>
    <n v="0"/>
    <n v="0"/>
    <n v="0"/>
    <x v="0"/>
    <x v="2"/>
    <e v="#NAME?"/>
  </r>
  <r>
    <d v="2026-03-15T17:16:02"/>
    <s v="aline.isacmoreira@gmail.com"/>
    <x v="10"/>
    <s v="MHV7D46"/>
    <x v="50"/>
    <x v="165"/>
    <m/>
    <x v="167"/>
    <m/>
    <s v="Komprao Guaramirim, Angeloni 10, super A"/>
    <m/>
    <s v="Não"/>
    <m/>
    <m/>
    <m/>
    <m/>
    <m/>
    <m/>
    <m/>
    <m/>
    <x v="1"/>
    <n v="39.6"/>
    <n v="0"/>
    <n v="0"/>
    <n v="0"/>
    <n v="0"/>
    <x v="0"/>
    <x v="2"/>
    <e v="#NAME?"/>
  </r>
  <r>
    <d v="2026-03-11T18:56:06"/>
    <s v="camila.althoff@mazzini.com.br"/>
    <x v="3"/>
    <s v="Mlz4j72"/>
    <x v="50"/>
    <x v="166"/>
    <s v="https://drive.google.com/open?id=1R8DMYnHdEKWzc0x9gQ0dS4dNEhlG0B3m"/>
    <x v="168"/>
    <s v="https://drive.google.com/open?id=1pzEVRFOz4IPzIcGZGNP03TRxgJJ7j8Na"/>
    <s v="Atacadão via expressa, komprao Laguna, Angeloni beira mar"/>
    <m/>
    <s v="Sim"/>
    <s v="16.20"/>
    <s v="https://drive.google.com/open?id=17-z_LZLku898SfLm-RaXlnK1mBvKtHLk"/>
    <s v="10.00"/>
    <s v="https://drive.google.com/open?id=1mhaUYtGD6A9CXTtqWcM-Gijz1gtvz_bF"/>
    <m/>
    <m/>
    <m/>
    <m/>
    <x v="124"/>
    <n v="280.5"/>
    <n v="16.2"/>
    <n v="10"/>
    <n v="0"/>
    <n v="0"/>
    <x v="0"/>
    <x v="2"/>
    <e v="#NAME?"/>
  </r>
  <r>
    <d v="2026-03-12T10:34:41"/>
    <s v="carlos.proenca@mazzini.com.br"/>
    <x v="11"/>
    <s v="qhd3d74"/>
    <x v="50"/>
    <x v="167"/>
    <s v="https://drive.google.com/open?id=1DsnO2AuEa0kQVHqqeWa9z64BajSDEC70"/>
    <x v="169"/>
    <s v="https://drive.google.com/open?id=1uRgvtMKxTCJxXxAYngEbZMTJeGPd1HNf"/>
    <s v="rede top agricola/GSR SUPERVISOR MATHEUS E DESYREE"/>
    <m/>
    <s v="Sim"/>
    <s v="10.40"/>
    <s v="https://drive.google.com/open?id=1xBLMpvJNata7_WMmVY7fyq-7Jz-1jAsS, https://drive.google.com/open?id=13NlsWb53D-Q29KCTOMaDnOYoNYTkx3O6"/>
    <m/>
    <m/>
    <m/>
    <m/>
    <m/>
    <m/>
    <x v="125"/>
    <n v="378.40000000000003"/>
    <n v="10.4"/>
    <n v="0"/>
    <n v="0"/>
    <n v="0"/>
    <x v="0"/>
    <x v="2"/>
    <e v="#NAME?"/>
  </r>
  <r>
    <d v="2026-03-14T15:53:15"/>
    <s v="martinsneto047@gmail.com"/>
    <x v="9"/>
    <s v="IUT1C03"/>
    <x v="50"/>
    <x v="168"/>
    <s v="https://drive.google.com/open?id=1UK72Kw5ToIZ3wQnmDZSilLOor1YIDYni"/>
    <x v="170"/>
    <s v="https://drive.google.com/open?id=1McZ9AM7pPXP-sTAkXAa-fo-8seRg6AyK"/>
    <s v="KOMPRAO 74 _x000a_KOCH EXPRESS _x000a_KOMPRAO CAMBOIRIU AREAIS_x000a_ZEUS"/>
    <m/>
    <s v="Não"/>
    <m/>
    <m/>
    <m/>
    <m/>
    <m/>
    <m/>
    <m/>
    <m/>
    <x v="115"/>
    <n v="177.10000000000002"/>
    <n v="0"/>
    <n v="0"/>
    <n v="0"/>
    <n v="0"/>
    <x v="0"/>
    <x v="2"/>
    <e v="#NAME?"/>
  </r>
  <r>
    <d v="2026-03-16T07:40:47"/>
    <s v="lombardi2025@gmail.com"/>
    <x v="4"/>
    <s v="OWA4C07"/>
    <x v="50"/>
    <x v="169"/>
    <s v="https://drive.google.com/open?id=1PPpT9-dYPEyXoDBIBgk4PkMGp56R9Gh-"/>
    <x v="171"/>
    <s v="https://drive.google.com/open?id=1nKxYxLBhipGgD2CJgfnK6hdcRJl66Jf1"/>
    <s v="KOMPRÃO45,SAMS"/>
    <m/>
    <s v="Não"/>
    <m/>
    <m/>
    <m/>
    <m/>
    <m/>
    <m/>
    <m/>
    <m/>
    <x v="77"/>
    <n v="42.900000000000006"/>
    <n v="0"/>
    <n v="0"/>
    <n v="0"/>
    <n v="0"/>
    <x v="0"/>
    <x v="2"/>
    <e v="#NAME?"/>
  </r>
  <r>
    <d v="2026-03-12T18:15:31"/>
    <s v="sabrina.pires@mazzini.com.br"/>
    <x v="2"/>
    <s v="AZC9E32"/>
    <x v="50"/>
    <x v="170"/>
    <s v="https://drive.google.com/open?id=1OFfZffpLMSaJu1sp_NpurET01T3YskLd"/>
    <x v="172"/>
    <s v="https://drive.google.com/open?id=1_9deMcMhN0g1d3Gp8DE7-Kxu_n5O6qSF"/>
    <s v="Komprao pedra branca _x000a_Fort atacadista _x000a_Brasil atacadista"/>
    <m/>
    <s v="Não"/>
    <m/>
    <m/>
    <m/>
    <m/>
    <m/>
    <m/>
    <m/>
    <m/>
    <x v="27"/>
    <n v="68.2"/>
    <n v="0"/>
    <n v="0"/>
    <n v="0"/>
    <n v="0"/>
    <x v="0"/>
    <x v="2"/>
    <e v="#NAME?"/>
  </r>
  <r>
    <d v="2026-03-15T17:19:43"/>
    <s v="aline.isacmoreira@gmail.com"/>
    <x v="10"/>
    <s v="MHV7D46"/>
    <x v="51"/>
    <x v="171"/>
    <m/>
    <x v="173"/>
    <m/>
    <s v="Komprao 51, Fort Tuiuti, Fort 405, Jaraguá"/>
    <m/>
    <s v="Não"/>
    <m/>
    <m/>
    <m/>
    <m/>
    <m/>
    <m/>
    <m/>
    <m/>
    <x v="126"/>
    <n v="144.10000000000002"/>
    <n v="0"/>
    <n v="0"/>
    <n v="0"/>
    <n v="0"/>
    <x v="0"/>
    <x v="2"/>
    <e v="#NAME?"/>
  </r>
  <r>
    <d v="2026-03-13T08:19:08"/>
    <s v="camila.althoff@mazzini.com.br"/>
    <x v="3"/>
    <s v="Mlz4j72"/>
    <x v="51"/>
    <x v="172"/>
    <s v="https://drive.google.com/open?id=1fjeWsPdCP1K1lvbmFlSKUYJ7TGox10JD"/>
    <x v="174"/>
    <s v="https://drive.google.com/open?id=1n_Yc9gLV_oB96xEUTZLDYDvXhQN3B3K5"/>
    <s v="Carrefour, Angeloni Trindade, Fort vargem"/>
    <m/>
    <s v="Sim"/>
    <m/>
    <m/>
    <s v="20.00"/>
    <s v="https://drive.google.com/open?id=1TGAkH95CjEkfz8zJbS5cD3WBLXZyB1Lk"/>
    <m/>
    <m/>
    <m/>
    <m/>
    <x v="27"/>
    <n v="68.2"/>
    <n v="0"/>
    <n v="20"/>
    <n v="0"/>
    <n v="0"/>
    <x v="0"/>
    <x v="2"/>
    <e v="#NAME?"/>
  </r>
  <r>
    <d v="2026-03-14T15:55:55"/>
    <s v="martinsneto047@gmail.com"/>
    <x v="9"/>
    <s v="IUT1C03"/>
    <x v="51"/>
    <x v="173"/>
    <s v="https://drive.google.com/open?id=1VhPcohQGXr8fh4fC7Anj10dkcwpO-cQJ"/>
    <x v="175"/>
    <s v="https://drive.google.com/open?id=1FyNZuc2OvWAGZx7ZSMnvFhV1pZDkorHB"/>
    <s v="KOMPRAO 18 _x000a_COMPER ITAPEMA FORT _x000a_FORT 190"/>
    <m/>
    <s v="Não"/>
    <m/>
    <m/>
    <m/>
    <m/>
    <m/>
    <m/>
    <m/>
    <m/>
    <x v="127"/>
    <n v="23.1"/>
    <n v="0"/>
    <n v="0"/>
    <n v="0"/>
    <n v="0"/>
    <x v="0"/>
    <x v="2"/>
    <e v="#NAME?"/>
  </r>
  <r>
    <d v="2026-03-16T07:42:59"/>
    <s v="lombardi2025@gmail.com"/>
    <x v="4"/>
    <s v="OWA4C07"/>
    <x v="51"/>
    <x v="174"/>
    <s v="https://drive.google.com/open?id=1zxA3ATrimwoSwcBJJSrEsqsPKEvyuEFF"/>
    <x v="176"/>
    <s v="https://drive.google.com/open?id=1QRLGH_X2AW_YjddG5QXBw9JTdERF8pPt"/>
    <s v="COMPRE MAIS RIO NEGRINHO,POSTO RIO NEGRINHO,SUPER PAO"/>
    <m/>
    <s v="Não"/>
    <m/>
    <m/>
    <m/>
    <m/>
    <m/>
    <m/>
    <m/>
    <m/>
    <x v="128"/>
    <n v="299.20000000000005"/>
    <n v="0"/>
    <n v="0"/>
    <n v="0"/>
    <n v="0"/>
    <x v="0"/>
    <x v="2"/>
    <e v="#NAME?"/>
  </r>
  <r>
    <d v="2026-03-12T18:19:32"/>
    <s v="sabrina.pires@mazzini.com.br"/>
    <x v="2"/>
    <s v="AZC9E32"/>
    <x v="51"/>
    <x v="175"/>
    <s v="https://drive.google.com/open?id=1f5OvNq3zh5RFrxUUzoz2l4eWGcbH7sbm"/>
    <x v="177"/>
    <s v="https://drive.google.com/open?id=1WfM0Hs-imKhtaR-y139kwmy_3zEMO0v1"/>
    <s v="Kompra 01 Tijucas _x000a_Komprao 02_x000a_Komprao 24_x000a_Komprao 20 _x000a_Fort atacadista _x000a_Brasil atacadista"/>
    <m/>
    <s v="Não"/>
    <m/>
    <m/>
    <m/>
    <m/>
    <m/>
    <m/>
    <m/>
    <m/>
    <x v="129"/>
    <n v="206.8"/>
    <n v="0"/>
    <n v="0"/>
    <n v="0"/>
    <n v="0"/>
    <x v="0"/>
    <x v="2"/>
    <e v="#NAME?"/>
  </r>
  <r>
    <d v="2026-03-15T17:21:18"/>
    <s v="aline.isacmoreira@gmail.com"/>
    <x v="10"/>
    <s v="MHV7D46"/>
    <x v="52"/>
    <x v="176"/>
    <m/>
    <x v="178"/>
    <m/>
    <s v="Preceiro SFS"/>
    <m/>
    <s v="Não"/>
    <m/>
    <m/>
    <m/>
    <m/>
    <m/>
    <m/>
    <m/>
    <m/>
    <x v="130"/>
    <n v="171.60000000000002"/>
    <n v="0"/>
    <n v="0"/>
    <n v="0"/>
    <n v="0"/>
    <x v="0"/>
    <x v="2"/>
    <e v="#NAME?"/>
  </r>
  <r>
    <d v="2026-03-13T19:44:49"/>
    <s v="camila.althoff@mazzini.com.br"/>
    <x v="3"/>
    <s v="Mlz4j72"/>
    <x v="52"/>
    <x v="177"/>
    <s v="https://drive.google.com/open?id=1Ve5D_a8P6cnss-NTbsIuDabTFUnNQ_-y"/>
    <x v="179"/>
    <s v="https://drive.google.com/open?id=1rZcllbw3PY9ljXG2gr2yMPO-EZP60cjp"/>
    <s v="Komprao Garopaba"/>
    <m/>
    <s v="Sim"/>
    <s v="11.40"/>
    <s v="https://drive.google.com/open?id=1LcgaRQuHAHv47U_MTEnskv5t6KXVhnd4"/>
    <m/>
    <m/>
    <m/>
    <m/>
    <m/>
    <m/>
    <x v="129"/>
    <n v="206.8"/>
    <n v="11.4"/>
    <n v="0"/>
    <n v="0"/>
    <n v="0"/>
    <x v="0"/>
    <x v="2"/>
    <e v="#NAME?"/>
  </r>
  <r>
    <d v="2026-03-14T15:58:33"/>
    <s v="martinsneto047@gmail.com"/>
    <x v="9"/>
    <s v="IUT1C03"/>
    <x v="52"/>
    <x v="178"/>
    <s v="https://drive.google.com/open?id=1kgiYF7HusbD03_j6aqHzk-JodIpqK85A"/>
    <x v="180"/>
    <s v="https://drive.google.com/open?id=1LzNaYQQKmjcp5Pk_dNNNxcNC2ttd9c3J"/>
    <s v="KOMPRAO 18 _x000a_KOMPRAO 12 _x000a_ZEUS _x000a_KOMPRAO 18"/>
    <m/>
    <s v="Não"/>
    <m/>
    <m/>
    <m/>
    <m/>
    <m/>
    <m/>
    <m/>
    <m/>
    <x v="131"/>
    <n v="84.7"/>
    <n v="0"/>
    <n v="0"/>
    <n v="0"/>
    <n v="0"/>
    <x v="0"/>
    <x v="2"/>
    <e v="#NAME?"/>
  </r>
  <r>
    <d v="2026-03-16T07:45:02"/>
    <s v="lombardi2025@gmail.com"/>
    <x v="4"/>
    <s v="OWA4C07"/>
    <x v="52"/>
    <x v="179"/>
    <s v="https://drive.google.com/open?id=1dK5Aoe5yeI7OTv796i8EASQgfrnILVIK"/>
    <x v="181"/>
    <s v="https://drive.google.com/open?id=1zI8rRW7VNw0Nu96CI2VyDo6YmCilNv0D"/>
    <s v="COOPER JARAGUA,COOPER CENTRO ,KOMPRAO,CONDOR 51,HIPERMAIS"/>
    <m/>
    <s v="Não"/>
    <m/>
    <m/>
    <m/>
    <m/>
    <m/>
    <m/>
    <m/>
    <m/>
    <x v="132"/>
    <n v="159.5"/>
    <n v="0"/>
    <n v="0"/>
    <n v="0"/>
    <n v="0"/>
    <x v="0"/>
    <x v="2"/>
    <e v="#NAME?"/>
  </r>
  <r>
    <d v="2026-03-15T17:10:35"/>
    <s v="sabrina.pires@mazzini.com.br"/>
    <x v="2"/>
    <s v="AZC9E32"/>
    <x v="52"/>
    <x v="180"/>
    <s v="https://drive.google.com/open?id=1vXYikr5RISg0ECt44GC7SgRpS_tjscMs"/>
    <x v="182"/>
    <s v="https://drive.google.com/open?id=1-CBaF8M9Ik-TQtaQbbbsKl8nDDpJrXo8"/>
    <s v="Koch biguaçu _x000a_Brasil atacadista _x000a_Fort atacadista"/>
    <m/>
    <s v="Não"/>
    <m/>
    <m/>
    <m/>
    <m/>
    <m/>
    <m/>
    <m/>
    <m/>
    <x v="133"/>
    <n v="333.3"/>
    <n v="0"/>
    <n v="0"/>
    <n v="0"/>
    <n v="0"/>
    <x v="0"/>
    <x v="2"/>
    <e v="#NAME?"/>
  </r>
  <r>
    <d v="2026-03-14T16:00:25"/>
    <s v="martinsneto047@gmail.com"/>
    <x v="9"/>
    <s v="IUT1C03"/>
    <x v="53"/>
    <x v="181"/>
    <s v="https://drive.google.com/open?id=1-l2RuzBBvjiJSzmIBvcieHafW-0kYeXe"/>
    <x v="183"/>
    <s v="https://drive.google.com/open?id=1cWHTWlTsZMgj1WxZmcUEJXO9Cubti9jR"/>
    <s v="KOCH 09 _x000a_KOMNPRAO 37_x000a_KOMPRAO 18"/>
    <m/>
    <s v="Não"/>
    <m/>
    <m/>
    <m/>
    <m/>
    <m/>
    <m/>
    <m/>
    <m/>
    <x v="127"/>
    <n v="23.1"/>
    <n v="0"/>
    <n v="0"/>
    <n v="0"/>
    <n v="0"/>
    <x v="0"/>
    <x v="2"/>
    <e v="#NAME?"/>
  </r>
  <r>
    <d v="2026-03-15T17:45:42"/>
    <s v="sabrina.pires@mazzini.com.br"/>
    <x v="2"/>
    <s v="AZC9E32"/>
    <x v="53"/>
    <x v="182"/>
    <s v="https://drive.google.com/open?id=1Wfewjwv5dorg7QGZ4Tk_k7j-6Yi7r_0P"/>
    <x v="184"/>
    <s v="https://drive.google.com/open?id=1DVfaR1Y7NUwUw5ds3qAKCTqsvDUuAqo3"/>
    <s v="Fort 290 _x000a_Koch _x000a_Fort 306_x000a_Fort 365_x000a_Fort 130_x000a_Brasil atacadista _x000a_Komprao"/>
    <m/>
    <s v="Não"/>
    <m/>
    <m/>
    <m/>
    <m/>
    <m/>
    <m/>
    <m/>
    <m/>
    <x v="104"/>
    <n v="92.4"/>
    <n v="0"/>
    <n v="0"/>
    <n v="0"/>
    <n v="0"/>
    <x v="0"/>
    <x v="2"/>
    <e v="#NAME?"/>
  </r>
  <r>
    <d v="2026-03-17T17:41:08"/>
    <s v="oliiveiiraa7@gmail.com"/>
    <x v="6"/>
    <s v="EUF3090"/>
    <x v="54"/>
    <x v="183"/>
    <m/>
    <x v="185"/>
    <m/>
    <s v="Fort 260, Angeloni Lages, atacadão Lages, Bistek Lages, Fort 960 lages"/>
    <m/>
    <s v="Não"/>
    <m/>
    <m/>
    <m/>
    <m/>
    <m/>
    <m/>
    <m/>
    <m/>
    <x v="134"/>
    <n v="263.21999999999997"/>
    <n v="0"/>
    <n v="0"/>
    <n v="0"/>
    <n v="0"/>
    <x v="1"/>
    <x v="2"/>
    <e v="#NAME?"/>
  </r>
  <r>
    <d v="2026-03-21T11:03:26"/>
    <s v="martinsneto047@gmail.com"/>
    <x v="9"/>
    <s v="IUT1C03"/>
    <x v="54"/>
    <x v="184"/>
    <s v="https://drive.google.com/open?id=1jzUZs3Zgl1ZXeB3gQlb2fVJqrXJxITuC"/>
    <x v="186"/>
    <s v="https://drive.google.com/open?id=1IJx9Tte9-BZCdw4AYonBxPTHv_XPvjNP"/>
    <s v="komprao 18 komprao 37 koch 04"/>
    <m/>
    <s v="Não"/>
    <m/>
    <m/>
    <m/>
    <m/>
    <m/>
    <m/>
    <m/>
    <m/>
    <x v="81"/>
    <n v="14.76"/>
    <n v="0"/>
    <n v="0"/>
    <n v="0"/>
    <n v="0"/>
    <x v="1"/>
    <x v="2"/>
    <e v="#NAME?"/>
  </r>
  <r>
    <d v="2026-03-16T08:23:10"/>
    <s v="matheus.moraes@mazzini.com.br"/>
    <x v="8"/>
    <s v="QIL7H04"/>
    <x v="54"/>
    <x v="185"/>
    <s v="https://drive.google.com/open?id=1CKTq98kXcylXxQxeMci3lNTB-vnoRg3z"/>
    <x v="187"/>
    <s v="https://drive.google.com/open?id=1XCN0fNt7SznnZEHFpesRBlMJyQm_8qM3"/>
    <s v="MOCAM 403, TOP ESCOLA AGRICOLA, COOPER GARCIA, COOPER ITOUPAVA"/>
    <m/>
    <s v="Sim"/>
    <m/>
    <m/>
    <m/>
    <m/>
    <s v="13.20"/>
    <s v="https://drive.google.com/open?id=1_XB7QlJfRhwVZiArh-v55hh5qpftsf5E"/>
    <m/>
    <m/>
    <x v="135"/>
    <n v="129.15"/>
    <n v="0"/>
    <n v="0"/>
    <n v="13.2"/>
    <n v="0"/>
    <x v="1"/>
    <x v="2"/>
    <e v="#NAME?"/>
  </r>
  <r>
    <d v="2026-03-28T12:21:05"/>
    <s v="aline.isacmoreira@gmail.com"/>
    <x v="10"/>
    <s v="MHV7D46"/>
    <x v="55"/>
    <x v="186"/>
    <m/>
    <x v="188"/>
    <m/>
    <s v="Komprao 77, Fort 905, imperatriz 37, Fort 450, Jaraguá do Sul"/>
    <m/>
    <s v="Não"/>
    <m/>
    <m/>
    <m/>
    <m/>
    <m/>
    <m/>
    <m/>
    <m/>
    <x v="136"/>
    <n v="169.74"/>
    <n v="0"/>
    <n v="0"/>
    <n v="0"/>
    <n v="0"/>
    <x v="1"/>
    <x v="2"/>
    <e v="#NAME?"/>
  </r>
  <r>
    <d v="2026-03-17T20:03:02"/>
    <s v="camila.althoff@mazzini.com.br"/>
    <x v="3"/>
    <s v="Mlz4j72"/>
    <x v="55"/>
    <x v="187"/>
    <s v="https://drive.google.com/open?id=1pFJLOgqs7-YJOVGhgKjFc6nNRq8paDhQ"/>
    <x v="189"/>
    <s v="https://drive.google.com/open?id=1VeoWHv_j2ZH3EawX-ZS-egih1tWlXe_p"/>
    <s v="Gsr,mwm, Fort campeche, correio Trindade , Fort vargem"/>
    <m/>
    <s v="Não"/>
    <m/>
    <m/>
    <m/>
    <m/>
    <m/>
    <m/>
    <m/>
    <m/>
    <x v="53"/>
    <n v="159.9"/>
    <n v="0"/>
    <n v="0"/>
    <n v="0"/>
    <n v="0"/>
    <x v="1"/>
    <x v="2"/>
    <e v="#NAME?"/>
  </r>
  <r>
    <d v="2026-03-21T11:08:20"/>
    <s v="martinsneto047@gmail.com"/>
    <x v="9"/>
    <s v="IUT1C03"/>
    <x v="55"/>
    <x v="188"/>
    <s v="https://drive.google.com/open?id=1lU8XXm_v6qfRinEdeNHyWeg9ecm49wkJ"/>
    <x v="190"/>
    <s v="https://drive.google.com/open?id=1opAPURNBhNBKtXavVCNi-Xrjlp5mocg7"/>
    <s v="komprao 21 _x000a_zeus _x000a_komprao 23 giovana _x000a_zeus"/>
    <m/>
    <s v="Sim"/>
    <m/>
    <m/>
    <m/>
    <m/>
    <s v="231.70"/>
    <s v="https://drive.google.com/open?id=1_JzYWj7CfgF9QxeuXbbYwID0mEdturKW"/>
    <m/>
    <m/>
    <x v="13"/>
    <n v="89.789999999999992"/>
    <n v="0"/>
    <n v="0"/>
    <n v="231.7"/>
    <n v="0"/>
    <x v="1"/>
    <x v="2"/>
    <e v="#NAME?"/>
  </r>
  <r>
    <d v="2026-03-18T22:03:17"/>
    <s v="sabrina.pires@mazzini.com.br"/>
    <x v="2"/>
    <s v="AZC9E32"/>
    <x v="55"/>
    <x v="189"/>
    <s v="https://drive.google.com/open?id=1MReDOWUJsfsiCxvM0NDSgk2snk24PAGS"/>
    <x v="191"/>
    <s v="https://drive.google.com/open?id=12AZZcrUyNz2zUXr4Oyz0CmV6G1PjqPw_"/>
    <s v="Fort atacadista _x000a_Komprao _x000a_Brasil atacadista"/>
    <m/>
    <s v="Não"/>
    <m/>
    <m/>
    <m/>
    <m/>
    <m/>
    <m/>
    <m/>
    <m/>
    <x v="15"/>
    <n v="54.12"/>
    <n v="0"/>
    <n v="0"/>
    <n v="0"/>
    <n v="0"/>
    <x v="1"/>
    <x v="2"/>
    <e v="#NAME?"/>
  </r>
  <r>
    <d v="2026-03-18T17:50:56"/>
    <s v="camila.althoff@mazzini.com.br"/>
    <x v="3"/>
    <s v="Mlz4j72"/>
    <x v="56"/>
    <x v="190"/>
    <s v="https://drive.google.com/open?id=1AMhJyFGCBqnLsVsLbGB-CgI2qahDRSqd"/>
    <x v="192"/>
    <s v="https://drive.google.com/open?id=1fOuxxOAJakRbp_jJg1ZJTfUhanv8KG64"/>
    <s v="Cdd palhoça, kock Itapema, Komprao tijucas, Carrefour"/>
    <m/>
    <s v="Sim"/>
    <s v="11.40"/>
    <m/>
    <s v="20.00"/>
    <s v="https://drive.google.com/open?id=1cVNmUdpeIy8OxqHhTe8btNDEctm8AFXh"/>
    <m/>
    <m/>
    <m/>
    <m/>
    <x v="137"/>
    <n v="234.93"/>
    <n v="11.4"/>
    <n v="20"/>
    <n v="0"/>
    <n v="0"/>
    <x v="1"/>
    <x v="2"/>
    <e v="#NAME?"/>
  </r>
  <r>
    <d v="2026-03-21T11:14:29"/>
    <s v="martinsneto047@gmail.com"/>
    <x v="9"/>
    <s v="IUT1C03"/>
    <x v="56"/>
    <x v="191"/>
    <s v="https://drive.google.com/open?id=121LBQeOxNgsSUKZqou2hvC0vzPm8NIQ3"/>
    <x v="193"/>
    <s v="https://drive.google.com/open?id=10SHFbt6FMoRcxE-xEomdI64U3axVayW0"/>
    <s v="koch porto belo_x000a_komprao 37 _x000a_komprao 82 _x000a_komprao 18 _x000a_koch hiper ltda"/>
    <m/>
    <s v="Não"/>
    <m/>
    <m/>
    <m/>
    <m/>
    <m/>
    <m/>
    <m/>
    <m/>
    <x v="27"/>
    <n v="76.260000000000005"/>
    <n v="0"/>
    <n v="0"/>
    <n v="0"/>
    <n v="0"/>
    <x v="1"/>
    <x v="2"/>
    <e v="#NAME?"/>
  </r>
  <r>
    <d v="2026-03-19T08:10:56"/>
    <s v="matheus.moraes@mazzini.com.br"/>
    <x v="8"/>
    <s v="QIL7H04"/>
    <x v="56"/>
    <x v="192"/>
    <s v="https://drive.google.com/open?id=19Vs2KyWKhRaShiO-M7rJN6JgU-PiDqec"/>
    <x v="194"/>
    <s v="https://drive.google.com/open?id=1Iq6ZmZkBNbEeI6VnXwJyexAh5OAdl8EL"/>
    <s v="ZEUS MATRIZ, ZEUS BR, ARCHER GASPAR, MOCAM INDAIAL"/>
    <m/>
    <s v="Não"/>
    <m/>
    <m/>
    <m/>
    <m/>
    <m/>
    <m/>
    <m/>
    <m/>
    <x v="138"/>
    <n v="216.48"/>
    <n v="0"/>
    <n v="0"/>
    <n v="0"/>
    <n v="0"/>
    <x v="1"/>
    <x v="2"/>
    <e v="#NAME?"/>
  </r>
  <r>
    <d v="2026-03-30T09:41:36"/>
    <s v="lombardi2025@gmail.com"/>
    <x v="4"/>
    <s v="OWA4C07"/>
    <x v="56"/>
    <x v="193"/>
    <s v="https://drive.google.com/open?id=16Pb_z8f5cc6r7-0lzSf5IouM8lzNsw3c"/>
    <x v="195"/>
    <s v="https://drive.google.com/open?id=1Auj9xnnNFVmvyS7QyfFkMVTEqvu-GGHn"/>
    <s v="CONDOR MAFRA ,SUPER PAO RIO NEGRINHO"/>
    <m/>
    <s v="Não"/>
    <m/>
    <m/>
    <m/>
    <m/>
    <m/>
    <m/>
    <m/>
    <m/>
    <x v="139"/>
    <n v="393.6"/>
    <n v="0"/>
    <n v="0"/>
    <n v="0"/>
    <n v="0"/>
    <x v="1"/>
    <x v="2"/>
    <e v="#NAME?"/>
  </r>
  <r>
    <d v="2026-03-18T22:06:13"/>
    <s v="sabrina.pires@mazzini.com.br"/>
    <x v="2"/>
    <s v="AZC9E32"/>
    <x v="56"/>
    <x v="194"/>
    <m/>
    <x v="196"/>
    <s v="https://drive.google.com/open?id=1XOhQARQ5iKlk8N-bhiN4j7WNb6iZzvU2"/>
    <s v="Brasil atacadista sertão do imaruim _x000a_Brasil atacadista Ipiranga _x000a_Fort atacadista"/>
    <m/>
    <s v="Não"/>
    <m/>
    <m/>
    <m/>
    <m/>
    <m/>
    <m/>
    <m/>
    <m/>
    <x v="140"/>
    <n v="30.75"/>
    <n v="0"/>
    <n v="0"/>
    <n v="0"/>
    <n v="0"/>
    <x v="1"/>
    <x v="2"/>
    <e v="#NAME?"/>
  </r>
  <r>
    <d v="2026-03-19T20:37:09"/>
    <s v="oliiveiiraa7@gmail.com"/>
    <x v="6"/>
    <s v="EUF3090"/>
    <x v="57"/>
    <x v="195"/>
    <s v="https://drive.google.com/open?id=1DHE8VedOAlAWGlL5hu6ErVjXTAzGVDgl"/>
    <x v="197"/>
    <s v="https://drive.google.com/open?id=1sCFhoNqIYk5uxpCVAB8U_mp8UJtnLRjy"/>
    <s v="Fort Chapeco, Atacadao avenida senador Chapecó , Atacadao Fernando Machado Chapecó"/>
    <m/>
    <s v="Não"/>
    <m/>
    <m/>
    <m/>
    <m/>
    <m/>
    <m/>
    <m/>
    <m/>
    <x v="141"/>
    <n v="316.11"/>
    <n v="0"/>
    <n v="0"/>
    <n v="0"/>
    <n v="0"/>
    <x v="1"/>
    <x v="2"/>
    <e v="#NAME?"/>
  </r>
  <r>
    <d v="2026-03-20T09:49:58"/>
    <s v="matheus.moraes@mazzini.com.br"/>
    <x v="8"/>
    <s v="QIL7H04"/>
    <x v="57"/>
    <x v="196"/>
    <s v="https://drive.google.com/open?id=1mcnkNwqCDxuExUtE6MTRQiLfK0ZHTxNM"/>
    <x v="198"/>
    <s v="https://drive.google.com/open?id=10AwjFmPS1GnJdgpLJcsqdApw0iH6mHWm"/>
    <s v="Bistek park europeu, cooper vila nova, supermercado central 103, sams blumenau e supermercado central 104"/>
    <m/>
    <s v="Não"/>
    <m/>
    <m/>
    <m/>
    <m/>
    <m/>
    <m/>
    <m/>
    <m/>
    <x v="53"/>
    <n v="159.9"/>
    <n v="0"/>
    <n v="0"/>
    <n v="0"/>
    <n v="0"/>
    <x v="1"/>
    <x v="2"/>
    <e v="#NAME?"/>
  </r>
  <r>
    <d v="2026-03-20T18:11:02"/>
    <s v="sabrina.pires@mazzini.com.br"/>
    <x v="2"/>
    <s v="AZC9E32"/>
    <x v="57"/>
    <x v="197"/>
    <s v="https://drive.google.com/open?id=1IexopgIwGOWd-c1HGLMh9WHWmGFJonuY"/>
    <x v="199"/>
    <s v="https://drive.google.com/open?id=1pdigEqYuqP1Y7WzFbXvMnFgB2VhlcwEx"/>
    <s v="Fort atacadista _x000a_Brasil atacadista _x000a_Komprao"/>
    <m/>
    <s v="Não"/>
    <m/>
    <m/>
    <m/>
    <m/>
    <m/>
    <m/>
    <m/>
    <m/>
    <x v="107"/>
    <n v="81.179999999999993"/>
    <n v="0"/>
    <n v="0"/>
    <n v="0"/>
    <n v="0"/>
    <x v="1"/>
    <x v="2"/>
    <e v="#NAME?"/>
  </r>
  <r>
    <d v="2026-03-28T12:23:53"/>
    <s v="aline.isacmoreira@gmail.com"/>
    <x v="10"/>
    <s v="MHV7D46"/>
    <x v="58"/>
    <x v="198"/>
    <m/>
    <x v="200"/>
    <m/>
    <s v="Angeloni 10"/>
    <m/>
    <s v="Não"/>
    <m/>
    <m/>
    <m/>
    <m/>
    <m/>
    <m/>
    <m/>
    <m/>
    <x v="74"/>
    <n v="19.68"/>
    <n v="0"/>
    <n v="0"/>
    <n v="0"/>
    <n v="0"/>
    <x v="1"/>
    <x v="2"/>
    <e v="#NAME?"/>
  </r>
  <r>
    <d v="2026-03-20T19:27:28"/>
    <s v="camila.althoff@mazzini.com.br"/>
    <x v="3"/>
    <s v="Mlz4j72"/>
    <x v="58"/>
    <x v="199"/>
    <s v="https://drive.google.com/open?id=197ymn_gVg9XF8ab52XHozB602yTY1BKn"/>
    <x v="201"/>
    <s v="https://drive.google.com/open?id=1zMoJbDWhBLn-r7zaiq9qTeeAUCA6Tgh6"/>
    <s v="Cdd AmBev, Fort jardim atlântico, Carrefour"/>
    <m/>
    <s v="Sim"/>
    <m/>
    <m/>
    <m/>
    <m/>
    <s v="14.25"/>
    <s v="https://drive.google.com/open?id=1U8kQd3jm_7dLg4zH-j5aicraK0nk5Q9G, https://drive.google.com/open?id=1j7H-knS8MdmnLpO-S7Mf35QbDgmbrSYR"/>
    <m/>
    <m/>
    <x v="142"/>
    <n v="82.41"/>
    <n v="0"/>
    <n v="0"/>
    <n v="14.25"/>
    <n v="0"/>
    <x v="1"/>
    <x v="2"/>
    <e v="#NAME?"/>
  </r>
  <r>
    <d v="2026-03-20T22:35:26"/>
    <s v="oliiveiiraa7@gmail.com"/>
    <x v="6"/>
    <s v="EUF3090"/>
    <x v="58"/>
    <x v="200"/>
    <s v="https://drive.google.com/open?id=1lJT-mzmRglF0O7MaVq7PPHPgY6VMsTDg"/>
    <x v="202"/>
    <s v="https://drive.google.com/open?id=1vqw5vSnJ7sPR98_el94Fu-xw_fkWC-zd"/>
    <s v="Retorno de Chapecó"/>
    <m/>
    <s v="Não"/>
    <m/>
    <m/>
    <m/>
    <m/>
    <m/>
    <m/>
    <m/>
    <m/>
    <x v="143"/>
    <n v="305.04000000000002"/>
    <n v="0"/>
    <n v="0"/>
    <n v="0"/>
    <n v="0"/>
    <x v="1"/>
    <x v="2"/>
    <e v="#NAME?"/>
  </r>
  <r>
    <d v="2026-03-21T11:41:31"/>
    <s v="martinsneto047@gmail.com"/>
    <x v="9"/>
    <s v="IUT1C03"/>
    <x v="58"/>
    <x v="201"/>
    <s v="https://drive.google.com/open?id=1sfxZuPUJNrcpY4EnRVJNh3doFhad95Rb"/>
    <x v="203"/>
    <s v="https://drive.google.com/open?id=1IOSzCDCIL4APdWgeB4Yoc0nYQVVU4W_u"/>
    <s v="Fort 825 _x000a_Fort 225_x000a_Zeus _x000a_Komprao 21 _x000a_Koch 14 _x000a_Komprao 37."/>
    <m/>
    <s v="Não"/>
    <m/>
    <m/>
    <m/>
    <m/>
    <m/>
    <m/>
    <m/>
    <m/>
    <x v="144"/>
    <n v="145.13999999999999"/>
    <n v="0"/>
    <n v="0"/>
    <n v="0"/>
    <n v="0"/>
    <x v="1"/>
    <x v="2"/>
    <e v="#NAME?"/>
  </r>
  <r>
    <d v="2026-03-30T09:44:19"/>
    <s v="lombardi2025@gmail.com"/>
    <x v="4"/>
    <s v="OWA4C07"/>
    <x v="58"/>
    <x v="202"/>
    <s v="https://drive.google.com/open?id=1i2LwwWvXwg5alzt7FvHLUA4-y4EVgSBM"/>
    <x v="204"/>
    <s v="https://drive.google.com/open?id=1zSIwAvmetmLq9qXn38WG5C4yG2V_Nxc_"/>
    <s v="CONDOR 57,CONDOR 51,KOMPRAO 29"/>
    <m/>
    <s v="Não"/>
    <m/>
    <m/>
    <m/>
    <m/>
    <m/>
    <m/>
    <m/>
    <m/>
    <x v="111"/>
    <n v="34.44"/>
    <n v="0"/>
    <n v="0"/>
    <n v="0"/>
    <n v="0"/>
    <x v="1"/>
    <x v="2"/>
    <e v="#NAME?"/>
  </r>
  <r>
    <d v="2026-03-24T18:18:13"/>
    <s v="sabrina.pires@mazzini.com.br"/>
    <x v="2"/>
    <s v="AZC9E32"/>
    <x v="58"/>
    <x v="203"/>
    <m/>
    <x v="205"/>
    <m/>
    <s v="Atacadao São José _x000a_Imperatriz palhoça _x000a_Fort atacadista 160"/>
    <m/>
    <s v="Sim"/>
    <m/>
    <m/>
    <n v="25"/>
    <s v="https://drive.google.com/open?id=1zj38EVeIP50IUX1_t8xdCY7pl-MfBwRy"/>
    <m/>
    <m/>
    <m/>
    <m/>
    <x v="145"/>
    <n v="63.96"/>
    <n v="0"/>
    <n v="25"/>
    <n v="0"/>
    <n v="0"/>
    <x v="1"/>
    <x v="2"/>
    <e v="#NAME?"/>
  </r>
  <r>
    <d v="2026-03-24T08:38:42"/>
    <s v="camila.althoff@mazzini.com.br"/>
    <x v="3"/>
    <s v="Mlz4j72"/>
    <x v="59"/>
    <x v="204"/>
    <s v="https://drive.google.com/open?id=1NRdyXrsW3OiOLualP8WiCXSB986KlDur"/>
    <x v="206"/>
    <s v="https://drive.google.com/open?id=1jdEVc7i0dvWPJaMNybomDRFnSykiT9m5"/>
    <s v="Fort campeche, base aérea recolher EPI Adrielle, Fort vargem recolher EPI Lisiane"/>
    <m/>
    <s v="Não"/>
    <m/>
    <m/>
    <m/>
    <m/>
    <m/>
    <m/>
    <m/>
    <m/>
    <x v="27"/>
    <n v="76.260000000000005"/>
    <n v="0"/>
    <n v="0"/>
    <n v="0"/>
    <n v="0"/>
    <x v="1"/>
    <x v="2"/>
    <e v="#NAME?"/>
  </r>
  <r>
    <d v="2026-03-23T18:18:40"/>
    <s v="oliiveiiraa7@gmail.com"/>
    <x v="6"/>
    <s v="EUF3090"/>
    <x v="60"/>
    <x v="205"/>
    <m/>
    <x v="207"/>
    <m/>
    <s v="Brasil atacadista, Fort 960, Angeloni Lages"/>
    <m/>
    <s v="Não"/>
    <m/>
    <m/>
    <m/>
    <m/>
    <m/>
    <m/>
    <m/>
    <m/>
    <x v="64"/>
    <n v="273.06"/>
    <n v="0"/>
    <n v="0"/>
    <n v="0"/>
    <n v="0"/>
    <x v="1"/>
    <x v="2"/>
    <e v="#NAME?"/>
  </r>
  <r>
    <d v="2026-03-24T08:37:12"/>
    <s v="matheus.moraes@mazzini.com.br"/>
    <x v="8"/>
    <s v="QIL7H04"/>
    <x v="60"/>
    <x v="206"/>
    <s v="https://drive.google.com/open?id=16UdUJnU6dQ-ZtUCCu_tfgh_X4DqMUDTD"/>
    <x v="208"/>
    <s v="https://drive.google.com/open?id=1oK5NbaB9x0GMMHKye2kQiWcmaHFUzl9N"/>
    <s v="Zeuz CD, cooper mafisa, komprão indaial"/>
    <m/>
    <s v="Não"/>
    <m/>
    <m/>
    <m/>
    <m/>
    <m/>
    <m/>
    <m/>
    <m/>
    <x v="146"/>
    <n v="120.53999999999999"/>
    <n v="0"/>
    <n v="0"/>
    <n v="0"/>
    <n v="0"/>
    <x v="1"/>
    <x v="2"/>
    <e v="#NAME?"/>
  </r>
  <r>
    <d v="2026-03-28T12:26:50"/>
    <s v="aline.isacmoreira@gmail.com"/>
    <x v="10"/>
    <s v="MHV7D46"/>
    <x v="61"/>
    <x v="207"/>
    <m/>
    <x v="209"/>
    <m/>
    <s v="Fort 250, komprao 51"/>
    <m/>
    <s v="Não"/>
    <m/>
    <m/>
    <m/>
    <m/>
    <m/>
    <m/>
    <m/>
    <m/>
    <x v="147"/>
    <n v="162.35999999999999"/>
    <n v="0"/>
    <n v="0"/>
    <n v="0"/>
    <n v="0"/>
    <x v="1"/>
    <x v="2"/>
    <e v="#NAME?"/>
  </r>
  <r>
    <d v="2026-03-25T10:56:16"/>
    <s v="camila.althoff@mazzini.com.br"/>
    <x v="3"/>
    <s v="Mlz4j72"/>
    <x v="61"/>
    <x v="208"/>
    <s v="https://drive.google.com/open?id=1hE_viZm69hjHX9riwml0A5z6WSNsZZdN"/>
    <x v="210"/>
    <s v="https://drive.google.com/open?id=1lQZnq51zrmV3g8Qo9gtE6mki07vFbbs9"/>
    <s v="Komprao Garopaba"/>
    <m/>
    <s v="Sim"/>
    <s v="11.40"/>
    <s v="https://drive.google.com/open?id=13p7rX7GEVFP8K1mwiwxSDlaBrGeVcY3G"/>
    <m/>
    <m/>
    <m/>
    <m/>
    <m/>
    <m/>
    <x v="58"/>
    <n v="204.18"/>
    <n v="11.4"/>
    <n v="0"/>
    <n v="0"/>
    <n v="0"/>
    <x v="1"/>
    <x v="2"/>
    <e v="#NAME?"/>
  </r>
  <r>
    <d v="2026-03-25T08:35:27"/>
    <s v="carlos.proenca@mazzini.com.br"/>
    <x v="11"/>
    <s v="qhd3d74"/>
    <x v="61"/>
    <x v="209"/>
    <s v="https://drive.google.com/open?id=1iZOwa2es_gmkZu6l8DhIIMrABCfgAnCW"/>
    <x v="211"/>
    <s v="https://drive.google.com/open?id=1qfbajAAzpp4HH-lOD3dFIiWNvKlPh5-7"/>
    <s v="imperatriz coqueiros Floripa/Fort Atacadista lj 130 Palhoça"/>
    <m/>
    <s v="Não"/>
    <m/>
    <m/>
    <m/>
    <m/>
    <m/>
    <m/>
    <m/>
    <m/>
    <x v="148"/>
    <n v="77.489999999999995"/>
    <n v="0"/>
    <n v="0"/>
    <n v="0"/>
    <n v="0"/>
    <x v="1"/>
    <x v="2"/>
    <e v="#NAME?"/>
  </r>
  <r>
    <d v="2026-03-28T13:18:11"/>
    <s v="martinsneto047@gmail.com"/>
    <x v="9"/>
    <s v="IUT1C03"/>
    <x v="61"/>
    <x v="210"/>
    <s v="https://drive.google.com/open?id=1spx3eSwWBCUecJDuMg0eI9JGSSof2R7E"/>
    <x v="212"/>
    <s v="https://drive.google.com/open?id=1GTRayTu-pMsNB-oUHVzfmo3Z5xDG54on"/>
    <s v="komprao 18 _x000a_koch 06 _x000a_meschke filial 1 _x000a_brASIL ATACDISTA PB _x000a_KOMPRAO 37"/>
    <m/>
    <s v="Não"/>
    <m/>
    <m/>
    <m/>
    <m/>
    <m/>
    <m/>
    <m/>
    <m/>
    <x v="149"/>
    <n v="83.64"/>
    <n v="0"/>
    <n v="0"/>
    <n v="0"/>
    <n v="0"/>
    <x v="1"/>
    <x v="2"/>
    <e v="#NAME?"/>
  </r>
  <r>
    <d v="2026-03-25T08:39:25"/>
    <s v="matheus.moraes@mazzini.com.br"/>
    <x v="8"/>
    <s v="QIL7H04"/>
    <x v="61"/>
    <x v="211"/>
    <s v="https://drive.google.com/open?id=1pJKimmll2b6GeMdGcecbmIXjdFyHf17C"/>
    <x v="213"/>
    <s v="https://drive.google.com/open?id=1Zf_Sw7cLvlhLj9cqFl88_O5zKDyxgB8c"/>
    <s v="COOPER VILA NOVA"/>
    <m/>
    <s v="Não"/>
    <m/>
    <m/>
    <m/>
    <m/>
    <m/>
    <m/>
    <m/>
    <m/>
    <x v="25"/>
    <n v="86.1"/>
    <n v="0"/>
    <n v="0"/>
    <n v="0"/>
    <n v="0"/>
    <x v="1"/>
    <x v="2"/>
    <e v="#NAME?"/>
  </r>
  <r>
    <d v="2026-03-30T09:46:53"/>
    <s v="lombardi2025@gmail.com"/>
    <x v="4"/>
    <s v="OWA4C07"/>
    <x v="61"/>
    <x v="212"/>
    <s v="https://drive.google.com/open?id=1ZPJslKFvMabGhq6n_DlIN60YsV_hzMd3"/>
    <x v="214"/>
    <s v="https://drive.google.com/open?id=1fWOcKZ8wajc5szvkjrK-pWyMM2HJ5Qpz"/>
    <s v="KOMPRAO RIO NEGRINHO,CONDOR RIO NEGRINHO,SUPER PAO"/>
    <m/>
    <s v="Não"/>
    <m/>
    <m/>
    <m/>
    <m/>
    <m/>
    <m/>
    <m/>
    <m/>
    <x v="70"/>
    <n v="250.92"/>
    <n v="0"/>
    <n v="0"/>
    <n v="0"/>
    <n v="0"/>
    <x v="1"/>
    <x v="2"/>
    <e v="#NAME?"/>
  </r>
  <r>
    <d v="2026-03-24T18:23:12"/>
    <s v="sabrina.pires@mazzini.com.br"/>
    <x v="2"/>
    <s v="AZC9E32"/>
    <x v="61"/>
    <x v="213"/>
    <m/>
    <x v="215"/>
    <m/>
    <s v="Komprao 29_x000a_Komprao bom viver _x000a_Bisteck _x000a_Brasil atacadista _x000a_Forte 462_x000a_Fort 130"/>
    <m/>
    <s v="Não"/>
    <m/>
    <m/>
    <m/>
    <m/>
    <m/>
    <m/>
    <m/>
    <m/>
    <x v="120"/>
    <n v="79.95"/>
    <n v="0"/>
    <n v="0"/>
    <n v="0"/>
    <n v="0"/>
    <x v="1"/>
    <x v="2"/>
    <e v="#NAME?"/>
  </r>
  <r>
    <d v="2026-03-25T20:03:00"/>
    <s v="camila.althoff@mazzini.com.br"/>
    <x v="3"/>
    <s v="Mlz4j72"/>
    <x v="62"/>
    <x v="214"/>
    <s v="https://drive.google.com/open?id=1FQ8itc0RjxP5k2lvLme19OvT6pjoU35K"/>
    <x v="216"/>
    <s v="https://drive.google.com/open?id=1i3arKquQ5B4XCKSQYJW2fiUJ923hYv_Z"/>
    <s v="Fort 810, Fort vargem, kock 47"/>
    <m/>
    <s v="Não"/>
    <m/>
    <m/>
    <m/>
    <m/>
    <m/>
    <m/>
    <m/>
    <m/>
    <x v="16"/>
    <n v="0"/>
    <n v="0"/>
    <n v="0"/>
    <n v="0"/>
    <n v="0"/>
    <x v="1"/>
    <x v="2"/>
    <e v="#NAME?"/>
  </r>
  <r>
    <d v="2026-03-26T07:15:33"/>
    <s v="carlos.proenca@mazzini.com.br"/>
    <x v="11"/>
    <s v="qhd3d74"/>
    <x v="62"/>
    <x v="215"/>
    <s v="https://drive.google.com/open?id=1gNFY1ZkWl_FRfiUNzzROnEcuXv0M1-OP"/>
    <x v="217"/>
    <s v="https://drive.google.com/open?id=184iQ_5YpJkyfFkWytal8LQAfwi3blTEV"/>
    <s v="FOrt compacto palhoça/Brasil atacadista Palhoça"/>
    <m/>
    <s v="Não"/>
    <m/>
    <m/>
    <m/>
    <m/>
    <m/>
    <m/>
    <m/>
    <m/>
    <x v="67"/>
    <n v="39.36"/>
    <n v="0"/>
    <n v="0"/>
    <n v="0"/>
    <n v="0"/>
    <x v="1"/>
    <x v="2"/>
    <e v="#NAME?"/>
  </r>
  <r>
    <d v="2026-03-30T09:49:15"/>
    <s v="lombardi2025@gmail.com"/>
    <x v="4"/>
    <s v="OWA4C07"/>
    <x v="62"/>
    <x v="216"/>
    <s v="https://drive.google.com/open?id=1WKMgZY7Sxp6itANH7uT266XuY3npqSiP"/>
    <x v="218"/>
    <s v="https://drive.google.com/open?id=1bnYkBw-0_iRet1e8DcOOcIm8zQqJ30BP"/>
    <s v="SAMS,BRASIL ATACADISTA,KOMPRAO"/>
    <m/>
    <s v="Não"/>
    <m/>
    <m/>
    <m/>
    <m/>
    <m/>
    <m/>
    <m/>
    <m/>
    <x v="150"/>
    <n v="24.6"/>
    <n v="0"/>
    <n v="0"/>
    <n v="0"/>
    <n v="0"/>
    <x v="1"/>
    <x v="2"/>
    <e v="#NAME?"/>
  </r>
  <r>
    <d v="2026-03-26T09:07:48"/>
    <s v="sabrina.pires@mazzini.com.br"/>
    <x v="2"/>
    <s v="AZC9E32"/>
    <x v="62"/>
    <x v="217"/>
    <m/>
    <x v="219"/>
    <m/>
    <s v="Fort kobrasol _x000a_Fort 306_x000a_Fort 290_x000a_Koch biguaçu _x000a_Fort 365 _x000a_Komprao Palhoça _x000a_Fort 462"/>
    <m/>
    <s v="Não"/>
    <m/>
    <m/>
    <m/>
    <m/>
    <m/>
    <m/>
    <m/>
    <m/>
    <x v="69"/>
    <n v="98.4"/>
    <n v="0"/>
    <n v="0"/>
    <n v="0"/>
    <n v="0"/>
    <x v="1"/>
    <x v="2"/>
    <e v="#NAME?"/>
  </r>
  <r>
    <d v="2026-03-27T09:15:03"/>
    <s v="camila.althoff@mazzini.com.br"/>
    <x v="3"/>
    <s v="Mlz4j72"/>
    <x v="63"/>
    <x v="218"/>
    <s v="https://drive.google.com/open?id=1GCcV46IcnSGRFJQasnH-L8H1Cp0NTNsb"/>
    <x v="220"/>
    <s v="https://drive.google.com/open?id=1R9vG4J7vTt8XyFhN6InB1v4jUqH88SJt"/>
    <s v="Angeloni agronômica, brasil atacadista"/>
    <m/>
    <s v="Sim"/>
    <m/>
    <m/>
    <s v="10.00"/>
    <s v="https://drive.google.com/open?id=1cHsnvZE1M-9tUNAe7hQ-NNhsjp2WXy8j"/>
    <m/>
    <m/>
    <m/>
    <m/>
    <x v="111"/>
    <n v="34.44"/>
    <n v="0"/>
    <n v="10"/>
    <n v="0"/>
    <n v="0"/>
    <x v="1"/>
    <x v="2"/>
    <e v="#NAME?"/>
  </r>
  <r>
    <d v="2026-03-26T15:45:13"/>
    <s v="carlos.proenca@mazzini.com.br"/>
    <x v="11"/>
    <s v="qhd3d74"/>
    <x v="63"/>
    <x v="219"/>
    <s v="https://drive.google.com/open?id=1sQOIxtl1GT9MYPWsy81LoUw1m4tDikd5"/>
    <x v="221"/>
    <s v="https://drive.google.com/open?id=1jpu2C40OVgf0Zi6mIEXIUWcfM_IKolHg"/>
    <s v="KOMPRAO LAGUNA/ANGELONI LAGUNA"/>
    <m/>
    <s v="Sim"/>
    <s v="16.40"/>
    <s v="https://drive.google.com/open?id=1TWx0kvg1Gnrr-KKLtJG08mI2oWavviEu, https://drive.google.com/open?id=1eLYm8o0WPDrDneVJbfrtZgrY8vbXuGYY, https://drive.google.com/open?id=1tRChIrYCR_vSjVNKnYAo-P7mkUgFq89D, https://drive.google.com/open?id=1oXY7vooKJPScb98AMlZ-K9dgJQ_74nGR"/>
    <m/>
    <m/>
    <m/>
    <m/>
    <m/>
    <m/>
    <x v="151"/>
    <n v="297.65999999999997"/>
    <n v="16.399999999999999"/>
    <n v="0"/>
    <n v="0"/>
    <n v="0"/>
    <x v="1"/>
    <x v="2"/>
    <e v="#NAME?"/>
  </r>
  <r>
    <d v="2026-03-28T13:20:16"/>
    <s v="martinsneto047@gmail.com"/>
    <x v="9"/>
    <s v="IUT1C03"/>
    <x v="63"/>
    <x v="220"/>
    <s v="https://drive.google.com/open?id=1wXGiKRhzbJuFrJwlRKvofS68dXLwXkxF"/>
    <x v="222"/>
    <s v="https://drive.google.com/open?id=1d0lU9waf9Tb6ob56VeqHZkuN1nFOt2iv"/>
    <s v="Angeloni itajai _x000a_Bistek itajai _x000a_Comper disper _x000a_Carrefour _x000a_Koch 04 _x000a_Fort porto belo _x000a_Koch 14 _x000a_Komprao 82 _x000a_Komprao 37"/>
    <m/>
    <s v="Não"/>
    <m/>
    <m/>
    <m/>
    <m/>
    <m/>
    <m/>
    <m/>
    <m/>
    <x v="152"/>
    <n v="143.91"/>
    <n v="0"/>
    <n v="0"/>
    <n v="0"/>
    <n v="0"/>
    <x v="1"/>
    <x v="2"/>
    <e v="#NAME?"/>
  </r>
  <r>
    <d v="2026-03-27T08:39:46"/>
    <s v="sabrina.pires@mazzini.com.br"/>
    <x v="2"/>
    <s v="AZC9E32"/>
    <x v="63"/>
    <x v="221"/>
    <s v="https://drive.google.com/open?id=1uptkT0P4stQilZ9wp1-JZBNf7LICyWoq"/>
    <x v="223"/>
    <s v="https://drive.google.com/open?id=1cxStzcL6j6vFkcSdxEjk-GJbHw-iggfV"/>
    <s v="Fort biguaçu _x000a_Atacadao _x000a_Komprao bom viver _x000a_Komprao real parque_x000a_Brasil atacadista Ipiranga _x000a_Brasil central"/>
    <n v="73"/>
    <s v="Não"/>
    <m/>
    <m/>
    <m/>
    <m/>
    <m/>
    <m/>
    <m/>
    <m/>
    <x v="153"/>
    <n v="114.39"/>
    <n v="0"/>
    <n v="0"/>
    <n v="0"/>
    <n v="0"/>
    <x v="1"/>
    <x v="2"/>
    <e v="#NAME?"/>
  </r>
  <r>
    <d v="2026-03-28T12:28:45"/>
    <s v="aline.isacmoreira@gmail.com"/>
    <x v="10"/>
    <s v="MHV7D46"/>
    <x v="64"/>
    <x v="222"/>
    <m/>
    <x v="224"/>
    <m/>
    <s v="Komprao Guaramirim"/>
    <m/>
    <s v="Não"/>
    <m/>
    <m/>
    <m/>
    <m/>
    <m/>
    <m/>
    <m/>
    <m/>
    <x v="1"/>
    <n v="44.28"/>
    <n v="0"/>
    <n v="0"/>
    <n v="0"/>
    <n v="0"/>
    <x v="1"/>
    <x v="2"/>
    <e v="#NAME?"/>
  </r>
  <r>
    <d v="2026-03-27T20:39:24"/>
    <s v="camila.althoff@mazzini.com.br"/>
    <x v="3"/>
    <s v="Mlz4j72"/>
    <x v="64"/>
    <x v="223"/>
    <s v="https://drive.google.com/open?id=1BV4fB0as88tMcF1WuFg5HS6mAqFThyvS"/>
    <x v="225"/>
    <s v="https://drive.google.com/open?id=1lj7Fqzp3qX7h1PbJAWXMFc_XsK7BAqlt"/>
    <s v="Atacadão via expressa, Zeus"/>
    <m/>
    <s v="Sim"/>
    <m/>
    <m/>
    <m/>
    <m/>
    <s v="25.47"/>
    <s v="https://drive.google.com/open?id=1m6AnXnJul9s75LidMao6-JY8xIhtZWrZ"/>
    <m/>
    <s v="Comprado para os promotores, pois estavam na virada de planograma do Atacadão via expressa."/>
    <x v="121"/>
    <n v="41.82"/>
    <n v="0"/>
    <n v="0"/>
    <n v="25.47"/>
    <n v="0"/>
    <x v="1"/>
    <x v="2"/>
    <e v="#NAME?"/>
  </r>
  <r>
    <d v="2026-03-30T09:51:58"/>
    <s v="lombardi2025@gmail.com"/>
    <x v="4"/>
    <s v="OWA4C07"/>
    <x v="64"/>
    <x v="224"/>
    <s v="https://drive.google.com/open?id=1VjxNhSTk4G71JV7Dx2eQDyPSSXjJKszR"/>
    <x v="226"/>
    <s v="https://drive.google.com/open?id=1F1OzpqZfjYRJMa3ErEW0RZenk5kWtOzm"/>
    <s v="FORT SAO BENTO,CONDOR SAO BENTO,HIPER MAIS SAO BENTO"/>
    <m/>
    <s v="Não"/>
    <m/>
    <m/>
    <m/>
    <m/>
    <m/>
    <m/>
    <m/>
    <m/>
    <x v="138"/>
    <n v="216.48"/>
    <n v="0"/>
    <n v="0"/>
    <n v="0"/>
    <n v="0"/>
    <x v="1"/>
    <x v="2"/>
    <e v="#NAME?"/>
  </r>
  <r>
    <d v="2026-03-30T14:00:24"/>
    <s v="sabrina.pires@mazzini.com.br"/>
    <x v="2"/>
    <s v="AZC9E32"/>
    <x v="64"/>
    <x v="225"/>
    <m/>
    <x v="227"/>
    <m/>
    <s v="Bisteck avenida das torres _x000a_Prado de biguaçu _x000a_Atacadao"/>
    <m/>
    <s v="Não"/>
    <m/>
    <m/>
    <m/>
    <m/>
    <m/>
    <m/>
    <m/>
    <m/>
    <x v="11"/>
    <n v="57.81"/>
    <n v="0"/>
    <n v="0"/>
    <n v="0"/>
    <n v="0"/>
    <x v="1"/>
    <x v="2"/>
    <e v="#NAME?"/>
  </r>
  <r>
    <d v="2026-03-28T12:30:11"/>
    <s v="aline.isacmoreira@gmail.com"/>
    <x v="10"/>
    <s v="MHV7D46"/>
    <x v="65"/>
    <x v="226"/>
    <m/>
    <x v="228"/>
    <m/>
    <s v="Condor Jaraguá, rancho bom amizade"/>
    <m/>
    <s v="Não"/>
    <m/>
    <m/>
    <m/>
    <m/>
    <m/>
    <m/>
    <m/>
    <m/>
    <x v="154"/>
    <n v="22.14"/>
    <n v="0"/>
    <n v="0"/>
    <n v="0"/>
    <n v="0"/>
    <x v="1"/>
    <x v="2"/>
    <e v="#NAME?"/>
  </r>
  <r>
    <d v="2026-03-28T13:35:12"/>
    <s v="camila.althoff@mazzini.com.br"/>
    <x v="3"/>
    <s v="Mlz4j72"/>
    <x v="65"/>
    <x v="227"/>
    <s v="https://drive.google.com/open?id=10QVh-7vRVTwL1XghfYUBS2pMNb9vkqW6"/>
    <x v="229"/>
    <s v="https://drive.google.com/open?id=1Q6lEakcMqN-PjJTWVbuSS9xe-kAfDZyV"/>
    <s v="Fort vargem"/>
    <m/>
    <s v="Não"/>
    <m/>
    <m/>
    <m/>
    <m/>
    <m/>
    <m/>
    <m/>
    <m/>
    <x v="56"/>
    <n v="46.74"/>
    <n v="0"/>
    <n v="0"/>
    <n v="0"/>
    <n v="0"/>
    <x v="1"/>
    <x v="2"/>
    <e v="#NAME?"/>
  </r>
  <r>
    <d v="2026-03-28T13:23:05"/>
    <s v="martinsneto047@gmail.com"/>
    <x v="9"/>
    <s v="IUT1C03"/>
    <x v="65"/>
    <x v="228"/>
    <s v="https://drive.google.com/open?id=1fp-Gd7ykkfzOo1q5gwgELA0eLNKh8PJO"/>
    <x v="230"/>
    <s v="https://drive.google.com/open?id=1oepk_NYxsi5Q-Xalwwk4IhD6sSNPpHiX"/>
    <s v="Fort 214 CAMBORIU_x000a_Koch 52 ITAPEMA_x000a_Koch 41 MEIA PRAIA_x000a_Komprao 37 PORTO BELO"/>
    <m/>
    <s v="Não"/>
    <m/>
    <m/>
    <m/>
    <m/>
    <m/>
    <m/>
    <m/>
    <m/>
    <x v="25"/>
    <n v="86.1"/>
    <n v="0"/>
    <n v="0"/>
    <n v="0"/>
    <n v="0"/>
    <x v="1"/>
    <x v="2"/>
    <e v="#NAME?"/>
  </r>
  <r>
    <d v="2026-03-31T16:20:24"/>
    <s v="martinsneto047@gmail.com"/>
    <x v="9"/>
    <s v="IUT1C03"/>
    <x v="66"/>
    <x v="229"/>
    <s v="https://drive.google.com/open?id=1vKwDO4VG5vdxfIgizZPI4v1P-5SLKXiQ"/>
    <x v="231"/>
    <s v="https://drive.google.com/open?id=1DX05ObKYvM7TqZHLnsrQJvy0ICywTl4x"/>
    <s v="komprao 18 _x000a_koch 07 _x000a_fort 190_x000a_komprao 37"/>
    <m/>
    <s v="Não"/>
    <m/>
    <m/>
    <m/>
    <m/>
    <m/>
    <m/>
    <m/>
    <m/>
    <x v="154"/>
    <n v="22.14"/>
    <n v="0"/>
    <n v="0"/>
    <n v="0"/>
    <n v="0"/>
    <x v="1"/>
    <x v="2"/>
    <e v="#NAME?"/>
  </r>
  <r>
    <d v="2026-03-30T14:02:45"/>
    <s v="sabrina.pires@mazzini.com.br"/>
    <x v="2"/>
    <s v="AZC9E32"/>
    <x v="66"/>
    <x v="230"/>
    <m/>
    <x v="232"/>
    <m/>
    <s v="Casa da cordenadora _x000a_Imperatriz ponte do imaruim _x000a_Morro do gato casa da promotora"/>
    <m/>
    <s v="Não"/>
    <m/>
    <m/>
    <m/>
    <m/>
    <m/>
    <m/>
    <m/>
    <m/>
    <x v="67"/>
    <n v="39.36"/>
    <n v="0"/>
    <n v="0"/>
    <n v="0"/>
    <n v="0"/>
    <x v="1"/>
    <x v="2"/>
    <e v="#NAME?"/>
  </r>
  <r>
    <d v="2026-03-31T19:10:27"/>
    <s v="camila.althoff@mazzini.com.br"/>
    <x v="3"/>
    <s v="Mlz4j72"/>
    <x v="67"/>
    <x v="231"/>
    <s v="https://drive.google.com/open?id=1-QHiQwPqLiTuBoMJ5ybngS8F9NEfx44C"/>
    <x v="233"/>
    <s v="https://drive.google.com/open?id=15nxRVo9bGbkXCTgqA-sbQ3bGANSlhB_K"/>
    <s v="Angeloni Trindade, Fort kobrasol, Fort 306"/>
    <m/>
    <s v="Sim"/>
    <m/>
    <m/>
    <m/>
    <m/>
    <s v="9.00"/>
    <s v="https://drive.google.com/open?id=1cmNVJh-Z5FGINEOOJB-NFKZAmex24iAl"/>
    <m/>
    <m/>
    <x v="155"/>
    <n v="97.17"/>
    <n v="0"/>
    <n v="0"/>
    <n v="9"/>
    <n v="0"/>
    <x v="1"/>
    <x v="2"/>
    <e v="#NAME?"/>
  </r>
  <r>
    <d v="2026-03-31T15:14:13"/>
    <s v="carlos.proenca@mazzini.com.br"/>
    <x v="11"/>
    <s v="qhd3d74"/>
    <x v="67"/>
    <x v="232"/>
    <s v="https://drive.google.com/open?id=10uSkdl6IQktpt7hy_21bX_bUUfa_wKRU"/>
    <x v="234"/>
    <s v="https://drive.google.com/open?id=1ocyJmdp3CUaFf6PSLTdzbAIRE4vGz21z"/>
    <s v="atacadao biguaçu, FORT CAMPECHE, BRASIL ATACADISTA RIO TAVARES, AGELONI BEIRA MAR, ATADAO BIGUAÇU, FORT KOBRASOL, KOMPRAO 84, KOMPRAO 79, BRASIL ATACADISTA PALHOÇA"/>
    <m/>
    <s v="Não"/>
    <m/>
    <m/>
    <m/>
    <m/>
    <m/>
    <m/>
    <m/>
    <m/>
    <x v="156"/>
    <n v="148.82999999999998"/>
    <n v="0"/>
    <n v="0"/>
    <n v="0"/>
    <n v="0"/>
    <x v="1"/>
    <x v="2"/>
    <e v="#NAME?"/>
  </r>
  <r>
    <d v="2026-03-31T16:22:06"/>
    <s v="martinsneto047@gmail.com"/>
    <x v="9"/>
    <s v="IUT1C03"/>
    <x v="67"/>
    <x v="233"/>
    <s v="https://drive.google.com/open?id=1g0zc3YEqS7EiPDMsdsIUmTnWUNDj_e7S"/>
    <x v="235"/>
    <s v="https://drive.google.com/open?id=1h7mf7zQC0pyh7A1QsXE_I0Ebf6Q1cQo5"/>
    <s v="komprao 18_x000a_kopch 04_x000a_koch 09_x000a_koch 14_x000a_komprao 37"/>
    <m/>
    <s v="Não"/>
    <m/>
    <m/>
    <m/>
    <m/>
    <m/>
    <m/>
    <m/>
    <m/>
    <x v="157"/>
    <n v="67.650000000000006"/>
    <n v="0"/>
    <n v="0"/>
    <n v="0"/>
    <n v="0"/>
    <x v="1"/>
    <x v="2"/>
    <e v="#NAME?"/>
  </r>
  <r>
    <d v="2026-04-02T08:18:40"/>
    <s v="camila.althoff@mazzini.com.br"/>
    <x v="3"/>
    <s v="Mlz4j72"/>
    <x v="68"/>
    <x v="234"/>
    <s v="https://drive.google.com/open?id=1loRN8HaonmrbywKeIJYgIshSrLXYTyfq"/>
    <x v="236"/>
    <s v="https://drive.google.com/open?id=1Y-dc1hxtFs1Vm7XO5aWiorKNbCIwPds2"/>
    <s v="Komprao Garopaba"/>
    <m/>
    <s v="Sim"/>
    <s v="11.40"/>
    <s v="https://drive.google.com/open?id=1_lyHg4uZscdnJqpIzJjp3ky2I3Vg_2DA"/>
    <m/>
    <m/>
    <m/>
    <m/>
    <m/>
    <m/>
    <x v="158"/>
    <n v="217.71"/>
    <n v="11.4"/>
    <n v="0"/>
    <n v="0"/>
    <n v="0"/>
    <x v="0"/>
    <x v="3"/>
    <e v="#NAME?"/>
  </r>
  <r>
    <d v="2026-04-01T21:55:22"/>
    <s v="oliiveiiraa7@gmail.com"/>
    <x v="6"/>
    <s v="EUF3090"/>
    <x v="68"/>
    <x v="235"/>
    <s v="https://drive.google.com/open?id=1_dhsUU99ebBjw1YHLmS_o9JmBmgIdhSJ"/>
    <x v="237"/>
    <s v="https://drive.google.com/open?id=1aD1h_JD3tvqYoU3PA0gnWMsvBvUQF7Po"/>
    <s v="Brasil atacadista bairro progresso rio do sul, Brasil atacadista av aristides Rio do Sul"/>
    <m/>
    <s v="Não"/>
    <m/>
    <m/>
    <m/>
    <m/>
    <m/>
    <m/>
    <m/>
    <m/>
    <x v="46"/>
    <n v="463.71"/>
    <n v="0"/>
    <n v="0"/>
    <n v="0"/>
    <n v="0"/>
    <x v="0"/>
    <x v="3"/>
    <e v="#NAME?"/>
  </r>
  <r>
    <d v="2026-04-09T18:43:17"/>
    <s v="martinsneto047@gmail.com"/>
    <x v="9"/>
    <s v="IUT1C03"/>
    <x v="68"/>
    <x v="236"/>
    <s v="https://drive.google.com/open?id=1HWPlk6ZIlA12KgJle6puXpyvWWVL891F"/>
    <x v="238"/>
    <s v="https://drive.google.com/open?id=1vt__gb1J8nEQ6IAjWui1v4jptLLAmPVw"/>
    <s v="Komprao 18 _x000a_Komprao 21 _x000a_Komprao 55 _x000a_Koch 07 _x000a_Komprao 37"/>
    <m/>
    <s v="Não"/>
    <m/>
    <m/>
    <m/>
    <m/>
    <m/>
    <m/>
    <m/>
    <m/>
    <x v="110"/>
    <n v="91.02"/>
    <n v="0"/>
    <n v="0"/>
    <n v="0"/>
    <n v="0"/>
    <x v="0"/>
    <x v="3"/>
    <e v="#NAME?"/>
  </r>
  <r>
    <d v="2026-04-01T17:26:14"/>
    <s v="matheus.moraes@mazzini.com.br"/>
    <x v="8"/>
    <s v="QIL7H04"/>
    <x v="68"/>
    <x v="237"/>
    <s v="https://drive.google.com/open?id=1lh4FDqfWFU0qpkaYHpgFUtzOeTsjppiQ"/>
    <x v="239"/>
    <s v="https://drive.google.com/open?id=19Mpapm3ZOpiW1pLkHys-oMxVNteG8EZy"/>
    <s v="cooper garcia, bisteck garcia, super a, gtop fortaleza 19, brasil atacadista, atacadão, cooper itoupava, komprão 32"/>
    <m/>
    <s v="Não"/>
    <m/>
    <m/>
    <m/>
    <m/>
    <m/>
    <m/>
    <m/>
    <m/>
    <x v="159"/>
    <n v="132.84"/>
    <n v="0"/>
    <n v="0"/>
    <n v="0"/>
    <n v="0"/>
    <x v="0"/>
    <x v="3"/>
    <e v="#NAME?"/>
  </r>
  <r>
    <d v="2026-04-16T09:46:28"/>
    <s v="lombardi2025@gmail.com"/>
    <x v="4"/>
    <s v="FTF5H43"/>
    <x v="68"/>
    <x v="238"/>
    <s v="https://drive.google.com/open?id=1z-FmbUPJHpRL5SF1Jn_9xysfpi1CJIEp"/>
    <x v="240"/>
    <s v="https://drive.google.com/open?id=15vPFn7HW_Mb18hRfCloRz9MAOvgRRPZ5"/>
    <s v="KOMPRAO 18"/>
    <m/>
    <s v="Não"/>
    <m/>
    <m/>
    <m/>
    <m/>
    <m/>
    <m/>
    <m/>
    <m/>
    <x v="160"/>
    <n v="225.09"/>
    <n v="0"/>
    <n v="0"/>
    <n v="0"/>
    <n v="0"/>
    <x v="0"/>
    <x v="3"/>
    <e v="#NAME?"/>
  </r>
  <r>
    <d v="2026-04-06T08:36:10"/>
    <s v="sabrina.pires@mazzini.com.br"/>
    <x v="2"/>
    <s v="Azc9232"/>
    <x v="68"/>
    <x v="239"/>
    <m/>
    <x v="241"/>
    <m/>
    <s v="Brasil atacadista sertão do imaruim _x000a_Brasil atacadista Ipiranga _x000a_Komprao for"/>
    <m/>
    <s v="Não"/>
    <m/>
    <m/>
    <m/>
    <m/>
    <m/>
    <m/>
    <m/>
    <m/>
    <x v="145"/>
    <n v="63.96"/>
    <n v="0"/>
    <n v="0"/>
    <n v="0"/>
    <n v="0"/>
    <x v="0"/>
    <x v="3"/>
    <e v="#NAME?"/>
  </r>
  <r>
    <d v="2026-04-03T13:51:12"/>
    <s v="camila.althoff@mazzini.com.br"/>
    <x v="3"/>
    <s v="Mlz4j72"/>
    <x v="69"/>
    <x v="240"/>
    <s v="https://drive.google.com/open?id=1rCoSjlACG_pRSKU4w0X9qYZIMIOgA3Ps"/>
    <x v="242"/>
    <s v="https://drive.google.com/open?id=11IITcBkqPcVtXPukMiXfBI6R1-ZSAZ92"/>
    <s v="Imperatriz Coqueiros, Angeloni beira mar, Angeloni capoeiras,atacadão, Fort vargem"/>
    <m/>
    <s v="Não"/>
    <m/>
    <m/>
    <m/>
    <m/>
    <m/>
    <m/>
    <m/>
    <m/>
    <x v="110"/>
    <n v="91.02"/>
    <n v="0"/>
    <n v="0"/>
    <n v="0"/>
    <n v="0"/>
    <x v="0"/>
    <x v="3"/>
    <e v="#NAME?"/>
  </r>
  <r>
    <d v="2026-04-09T18:47:20"/>
    <s v="martinsneto047@gmail.com"/>
    <x v="9"/>
    <s v="IUT1C03"/>
    <x v="69"/>
    <x v="241"/>
    <s v="https://drive.google.com/open?id=1RBtltzgJ6e5eVl4JxKc6zm04xGkzRbTd"/>
    <x v="243"/>
    <s v="https://drive.google.com/open?id=1aGJZx374CR8nQjFBT7h1qfvSNKsqEDn0"/>
    <s v="Koch 04 _x000a_Komprao 18 _x000a_Carrefour balneário _x000a_Komprao 37"/>
    <m/>
    <s v="Não"/>
    <m/>
    <m/>
    <m/>
    <m/>
    <m/>
    <m/>
    <m/>
    <m/>
    <x v="142"/>
    <n v="82.41"/>
    <n v="0"/>
    <n v="0"/>
    <n v="0"/>
    <n v="0"/>
    <x v="0"/>
    <x v="3"/>
    <e v="#NAME?"/>
  </r>
  <r>
    <d v="2026-04-06T08:39:29"/>
    <s v="sabrina.pires@mazzini.com.br"/>
    <x v="2"/>
    <s v="AZC9E32"/>
    <x v="69"/>
    <x v="242"/>
    <m/>
    <x v="244"/>
    <m/>
    <s v="Fort 462_x000a_Fort 130 _x000a_Brasil central _x000a_Komprao"/>
    <m/>
    <s v="Não"/>
    <m/>
    <m/>
    <m/>
    <m/>
    <m/>
    <m/>
    <m/>
    <m/>
    <x v="161"/>
    <n v="60.269999999999996"/>
    <n v="0"/>
    <n v="0"/>
    <n v="0"/>
    <n v="0"/>
    <x v="0"/>
    <x v="3"/>
    <e v="#NAME?"/>
  </r>
  <r>
    <d v="2026-04-04T12:41:11"/>
    <s v="camila.althoff@mazzini.com.br"/>
    <x v="3"/>
    <s v="Mlz4j72"/>
    <x v="70"/>
    <x v="243"/>
    <s v="https://drive.google.com/open?id=1vmwv9XcqXpnYxmJ_WeuvEvwLSiYtaF9f"/>
    <x v="245"/>
    <s v="https://drive.google.com/open?id=1mQIBFKHBV6eb71fdyWU-pN3TpXVX5oLO"/>
    <s v="Fort campeche, hiperselect morro das pedras"/>
    <m/>
    <s v="Não"/>
    <m/>
    <m/>
    <m/>
    <m/>
    <m/>
    <m/>
    <m/>
    <m/>
    <x v="153"/>
    <n v="114.39"/>
    <n v="0"/>
    <n v="0"/>
    <n v="0"/>
    <n v="0"/>
    <x v="0"/>
    <x v="3"/>
    <e v="#NAME?"/>
  </r>
  <r>
    <d v="2026-04-07T08:39:01"/>
    <s v="camila.althoff@mazzini.com.br"/>
    <x v="3"/>
    <s v="Mlz4j72"/>
    <x v="71"/>
    <x v="244"/>
    <s v="https://drive.google.com/open?id=13hF_5pRq6UJ5Tvzix0gC6_GITsxL7xXC"/>
    <x v="246"/>
    <s v="https://drive.google.com/open?id=1eFIwaGu9S8-8ftHMjOtjMPq7GRVQ2B-M"/>
    <s v="Angeloni capoeiras, brasil atacadista palhoça"/>
    <m/>
    <s v="Não"/>
    <m/>
    <m/>
    <m/>
    <m/>
    <m/>
    <m/>
    <m/>
    <m/>
    <x v="162"/>
    <n v="99.63"/>
    <n v="0"/>
    <n v="0"/>
    <n v="0"/>
    <n v="0"/>
    <x v="0"/>
    <x v="3"/>
    <e v="#NAME?"/>
  </r>
  <r>
    <d v="2026-04-09T19:02:58"/>
    <s v="martinsneto047@gmail.com"/>
    <x v="9"/>
    <s v="IUT1C03"/>
    <x v="71"/>
    <x v="245"/>
    <s v="https://drive.google.com/open?id=1Mvr3PT51otgxEr9m6GgjUpPbWlsoOBzB"/>
    <x v="247"/>
    <s v="https://drive.google.com/open?id=1url-ZC8QahSMgOTDb25ziI4VubrKlFL3"/>
    <s v="KOMPRAO 18"/>
    <m/>
    <s v="Sim"/>
    <m/>
    <m/>
    <m/>
    <m/>
    <m/>
    <m/>
    <m/>
    <m/>
    <x v="163"/>
    <n v="8.61"/>
    <n v="0"/>
    <n v="0"/>
    <n v="0"/>
    <n v="0"/>
    <x v="0"/>
    <x v="3"/>
    <e v="#NAME?"/>
  </r>
  <r>
    <d v="2026-04-11T09:45:25"/>
    <s v="sabrina.pires@mazzini.com.br"/>
    <x v="2"/>
    <s v="AZC9E32"/>
    <x v="71"/>
    <x v="246"/>
    <m/>
    <x v="248"/>
    <m/>
    <s v="Brasil atacadista central _x000a_Fort 462"/>
    <m/>
    <s v="Não"/>
    <m/>
    <m/>
    <m/>
    <m/>
    <m/>
    <m/>
    <m/>
    <m/>
    <x v="164"/>
    <n v="36.9"/>
    <n v="0"/>
    <n v="0"/>
    <n v="0"/>
    <n v="0"/>
    <x v="0"/>
    <x v="3"/>
    <e v="#NAME?"/>
  </r>
  <r>
    <d v="2026-04-08T08:39:53"/>
    <s v="camila.althoff@mazzini.com.br"/>
    <x v="3"/>
    <s v="Mlz4j72"/>
    <x v="72"/>
    <x v="247"/>
    <s v="https://drive.google.com/open?id=1LHf0WbUHIx36i1inuS_CbXkVcVjCl_5S"/>
    <x v="249"/>
    <s v="https://drive.google.com/open?id=1biHbCAv1pP6lpNDX_cCT3C2lQs3j7SGD"/>
    <s v="Angeloni capoeiras"/>
    <m/>
    <s v="Não"/>
    <m/>
    <m/>
    <m/>
    <m/>
    <m/>
    <m/>
    <m/>
    <m/>
    <x v="4"/>
    <n v="61.5"/>
    <n v="0"/>
    <n v="0"/>
    <n v="0"/>
    <n v="0"/>
    <x v="0"/>
    <x v="3"/>
    <e v="#NAME?"/>
  </r>
  <r>
    <d v="2026-04-07T16:59:22"/>
    <s v="carlos.proenca@mazzini.com.br"/>
    <x v="11"/>
    <s v="qhd3d74"/>
    <x v="72"/>
    <x v="248"/>
    <s v="https://drive.google.com/open?id=1SRaD3j1bmY8JPWbBssX1_co5q24sqJj9"/>
    <x v="250"/>
    <s v="https://drive.google.com/open?id=1FZow0EyD3CcTBxiA1No1KEIlrCJsjmYD"/>
    <s v="angeloni beira mar/ vila romana/atacadao via expressa florianopolis"/>
    <m/>
    <s v="Não"/>
    <m/>
    <m/>
    <m/>
    <m/>
    <m/>
    <m/>
    <m/>
    <m/>
    <x v="149"/>
    <n v="83.64"/>
    <n v="0"/>
    <n v="0"/>
    <n v="0"/>
    <n v="0"/>
    <x v="0"/>
    <x v="3"/>
    <e v="#NAME?"/>
  </r>
  <r>
    <d v="2026-04-09T18:56:00"/>
    <s v="martinsneto047@gmail.com"/>
    <x v="9"/>
    <s v="IUT1C03"/>
    <x v="72"/>
    <x v="249"/>
    <s v="https://drive.google.com/open?id=1x_7APvN7tBoXQOAGNwO2naVu97nl13ea"/>
    <x v="251"/>
    <s v="https://drive.google.com/open?id=1C4-hcyW8SFJWQjFJQ8QtEDah4oxlu82d"/>
    <s v="KOMPRAO 18 KOCH 04 KOCH 41 _x000a_KOCH 52 KOCH 07"/>
    <m/>
    <s v="Não"/>
    <m/>
    <m/>
    <m/>
    <m/>
    <m/>
    <m/>
    <m/>
    <m/>
    <x v="56"/>
    <n v="46.74"/>
    <n v="0"/>
    <n v="0"/>
    <n v="0"/>
    <n v="0"/>
    <x v="0"/>
    <x v="3"/>
    <e v="#NAME?"/>
  </r>
  <r>
    <d v="2026-04-16T09:53:40"/>
    <s v="lombardi2025@gmail.com"/>
    <x v="4"/>
    <s v="OWA4C07"/>
    <x v="72"/>
    <x v="250"/>
    <s v="https://drive.google.com/open?id=1JJp9qcnsE1OO1tBM81hB_3SpeAOkqrKo"/>
    <x v="252"/>
    <s v="https://drive.google.com/open?id=1I67HW7vPrefdZ4KTmjopjn1P_5lPEqE3"/>
    <s v="RIO NEGRINHO"/>
    <m/>
    <s v="Não"/>
    <m/>
    <m/>
    <m/>
    <m/>
    <m/>
    <m/>
    <m/>
    <m/>
    <x v="138"/>
    <n v="216.48"/>
    <n v="0"/>
    <n v="0"/>
    <n v="0"/>
    <n v="0"/>
    <x v="0"/>
    <x v="3"/>
    <e v="#NAME?"/>
  </r>
  <r>
    <d v="2026-04-11T09:46:53"/>
    <s v="sabrina.pires@mazzini.com.br"/>
    <x v="2"/>
    <s v="AZC9E32"/>
    <x v="72"/>
    <x v="251"/>
    <m/>
    <x v="253"/>
    <m/>
    <s v="Brasil atacadista"/>
    <m/>
    <s v="Não"/>
    <m/>
    <m/>
    <m/>
    <m/>
    <m/>
    <m/>
    <m/>
    <m/>
    <x v="39"/>
    <n v="43.05"/>
    <n v="0"/>
    <n v="0"/>
    <n v="0"/>
    <n v="0"/>
    <x v="0"/>
    <x v="3"/>
    <e v="#NAME?"/>
  </r>
  <r>
    <d v="2026-04-08T22:53:44"/>
    <s v="camila.althoff@mazzini.com.br"/>
    <x v="3"/>
    <s v="Mlz4j72"/>
    <x v="73"/>
    <x v="252"/>
    <s v="https://drive.google.com/open?id=1X0gt6-KkoH7YmaOFgc1k4hV6uEdUpp-7"/>
    <x v="254"/>
    <s v="https://drive.google.com/open?id=1EVFOmfI_puzPf0S1annrI6reTwNIjRrG"/>
    <s v="Angeloni capoeiras"/>
    <m/>
    <s v="Sim"/>
    <m/>
    <m/>
    <m/>
    <m/>
    <s v="7.18"/>
    <s v="https://drive.google.com/open?id=1aEQK4QwE20X6S4LTdpWrdbI8NfjHt4CL"/>
    <m/>
    <m/>
    <x v="7"/>
    <n v="73.8"/>
    <n v="0"/>
    <n v="0"/>
    <n v="7.18"/>
    <n v="0"/>
    <x v="0"/>
    <x v="3"/>
    <e v="#NAME?"/>
  </r>
  <r>
    <d v="2026-04-09T18:57:56"/>
    <s v="martinsneto047@gmail.com"/>
    <x v="9"/>
    <s v="IUT1C03"/>
    <x v="73"/>
    <x v="253"/>
    <s v="https://drive.google.com/open?id=1nbEbOUh_cm4QGk7TanrHJbPin613sTqP"/>
    <x v="255"/>
    <s v="https://drive.google.com/open?id=12YWtyM1cTgRgyjVgwstFXYmxr5rUDNxX"/>
    <s v="BISTEK ITJAI MECHKE FILIAL 1"/>
    <m/>
    <s v="Não"/>
    <m/>
    <m/>
    <m/>
    <m/>
    <m/>
    <m/>
    <m/>
    <m/>
    <x v="6"/>
    <n v="100.86"/>
    <n v="0"/>
    <n v="0"/>
    <n v="0"/>
    <n v="0"/>
    <x v="0"/>
    <x v="3"/>
    <e v="#NAME?"/>
  </r>
  <r>
    <d v="2026-04-11T09:48:36"/>
    <s v="sabrina.pires@mazzini.com.br"/>
    <x v="2"/>
    <s v="AZC9E32"/>
    <x v="73"/>
    <x v="254"/>
    <m/>
    <x v="256"/>
    <m/>
    <s v="Angeloni capoeiras _x000a_Komprao ponte do imaruim"/>
    <m/>
    <s v="Não"/>
    <m/>
    <m/>
    <m/>
    <m/>
    <m/>
    <m/>
    <m/>
    <m/>
    <x v="90"/>
    <n v="55.35"/>
    <n v="0"/>
    <n v="0"/>
    <n v="0"/>
    <n v="0"/>
    <x v="0"/>
    <x v="3"/>
    <e v="#NAME?"/>
  </r>
  <r>
    <d v="2026-04-11T09:51:37"/>
    <s v="sabrina.pires@mazzini.com.br"/>
    <x v="2"/>
    <s v="AZC9E32"/>
    <x v="74"/>
    <x v="255"/>
    <m/>
    <x v="257"/>
    <m/>
    <s v="Komprao ponte do imaruim _x000a_Fort 130"/>
    <m/>
    <s v="Não"/>
    <m/>
    <m/>
    <m/>
    <m/>
    <m/>
    <m/>
    <m/>
    <m/>
    <x v="140"/>
    <n v="30.75"/>
    <n v="0"/>
    <n v="0"/>
    <n v="0"/>
    <n v="0"/>
    <x v="0"/>
    <x v="3"/>
    <e v="#NAME?"/>
  </r>
  <r>
    <d v="2026-04-12T13:41:06"/>
    <s v="camila.althoff@mazzini.com.br"/>
    <x v="3"/>
    <s v="Mlz4j72"/>
    <x v="75"/>
    <x v="256"/>
    <s v="https://drive.google.com/open?id=172726aiYZVzEZetPX4-5QZdS8VTyQQqn"/>
    <x v="258"/>
    <s v="https://drive.google.com/open?id=1VtbE1qjMY-W7Nxqb4CoBxENYoaEFnPKg"/>
    <s v="Kock ingleses"/>
    <m/>
    <s v="Não"/>
    <m/>
    <m/>
    <m/>
    <m/>
    <m/>
    <m/>
    <m/>
    <m/>
    <x v="154"/>
    <n v="22.14"/>
    <n v="0"/>
    <n v="0"/>
    <n v="0"/>
    <n v="0"/>
    <x v="0"/>
    <x v="3"/>
    <e v="#NAME?"/>
  </r>
  <r>
    <d v="2026-04-11T12:11:44"/>
    <s v="carlos.proenca@mazzini.com.br"/>
    <x v="11"/>
    <s v="qhd3d74"/>
    <x v="75"/>
    <x v="257"/>
    <s v="https://drive.google.com/open?id=146sDvHpgDhlmQkqUv-YncO7BbuCfLmkE"/>
    <x v="259"/>
    <s v="https://drive.google.com/open?id=18PCiHimvgZPhf6IXz8985cJqjZE13wtw"/>
    <s v="komprao laguna/fort tubarao"/>
    <m/>
    <s v="Não"/>
    <m/>
    <m/>
    <m/>
    <m/>
    <m/>
    <m/>
    <m/>
    <m/>
    <x v="165"/>
    <n v="319.8"/>
    <n v="0"/>
    <n v="0"/>
    <n v="0"/>
    <n v="0"/>
    <x v="0"/>
    <x v="3"/>
    <e v="#NAME?"/>
  </r>
  <r>
    <d v="2026-04-11T09:08:45"/>
    <s v="martinsneto047@gmail.com"/>
    <x v="9"/>
    <s v="IUT1C03"/>
    <x v="75"/>
    <x v="258"/>
    <s v="https://drive.google.com/open?id=1K0NMBr__bce0J8bKI7kCIVWwQW6XRGfp"/>
    <x v="260"/>
    <s v="https://drive.google.com/open?id=1v4kizJ7CHe5_jntdEJ0yJozO44jhXUIr"/>
    <s v="CARREFOUR CAMBORIÚ _x000a_MESCHKE ATACADISTA_x000a_KOCH FLORIPA_x000a_KOMPRÃO 23_x000a_KOCH 08_x000a_KOMPRÃO 55_x000a_KOMPRÃO 38"/>
    <n v="9"/>
    <s v="Não"/>
    <m/>
    <m/>
    <m/>
    <m/>
    <m/>
    <m/>
    <m/>
    <m/>
    <x v="135"/>
    <n v="129.15"/>
    <n v="0"/>
    <n v="0"/>
    <n v="0"/>
    <n v="0"/>
    <x v="0"/>
    <x v="3"/>
    <e v="#NAME?"/>
  </r>
  <r>
    <d v="2026-04-13T06:03:37"/>
    <s v="matheus.moraes@mazzini.com.br"/>
    <x v="8"/>
    <s v="QIL7H04"/>
    <x v="75"/>
    <x v="259"/>
    <s v="https://drive.google.com/open?id=13yaMOoSg4pK4iQT_JQdVcYhuTmQYYCMr"/>
    <x v="261"/>
    <s v="https://drive.google.com/open?id=1uXuwoAEL6WdGD5I8voRj3YafZPMfSrlG"/>
    <s v="COOPER INDAIAL (RECOLHER MATERIAL DA VANESSA)"/>
    <m/>
    <s v="Não"/>
    <m/>
    <m/>
    <m/>
    <m/>
    <m/>
    <m/>
    <m/>
    <m/>
    <x v="48"/>
    <n v="87.33"/>
    <n v="0"/>
    <n v="0"/>
    <n v="0"/>
    <n v="0"/>
    <x v="0"/>
    <x v="3"/>
    <e v="#NAME?"/>
  </r>
  <r>
    <d v="2026-04-16T09:56:50"/>
    <s v="lombardi2025@gmail.com"/>
    <x v="4"/>
    <s v="OWA4C07"/>
    <x v="75"/>
    <x v="260"/>
    <s v="https://drive.google.com/open?id=1ZMQTV82g_TW9Uxdp0ca5LuLl62te22SY"/>
    <x v="262"/>
    <s v="https://drive.google.com/open?id=1uJVBjOb0kgXui0_ds72dXrDuMb8aMZ7r"/>
    <s v="BRASIL ATACADISTA,CONDOR COMASA,ANGELONI,CONDOR 51"/>
    <m/>
    <s v="Não"/>
    <m/>
    <m/>
    <m/>
    <m/>
    <m/>
    <m/>
    <m/>
    <m/>
    <x v="166"/>
    <n v="65.19"/>
    <n v="0"/>
    <n v="0"/>
    <n v="0"/>
    <n v="0"/>
    <x v="0"/>
    <x v="3"/>
    <e v="#NAME?"/>
  </r>
  <r>
    <d v="2026-04-11T09:59:42"/>
    <s v="sabrina.pires@mazzini.com.br"/>
    <x v="2"/>
    <s v="AZC9E32"/>
    <x v="75"/>
    <x v="261"/>
    <m/>
    <x v="263"/>
    <m/>
    <s v="Komprao 53 Tijucas _x000a_Komprao 20 Tijucas _x000a_Koch 02 Tijucas _x000a_Komprao 24 Tijucas _x000a_Komprao Bayer filho Tijucas _x000a_Komprao São João Batista"/>
    <m/>
    <s v="Não"/>
    <m/>
    <m/>
    <m/>
    <m/>
    <m/>
    <m/>
    <m/>
    <m/>
    <x v="167"/>
    <n v="194.34"/>
    <n v="0"/>
    <n v="0"/>
    <n v="0"/>
    <n v="0"/>
    <x v="0"/>
    <x v="3"/>
    <e v="#NAME?"/>
  </r>
  <r>
    <d v="2026-04-14T16:47:43"/>
    <s v="matheus.moraes@mazzini.com.br"/>
    <x v="8"/>
    <s v="QIL7H04"/>
    <x v="76"/>
    <x v="262"/>
    <s v="https://drive.google.com/open?id=1FEEtf64Z1ek7Wk2G8R_kI3v631VT73Zz"/>
    <x v="264"/>
    <s v="https://drive.google.com/open?id=1JDp2wkgLvo7xPU1vUgyFitW3J_S1bI97"/>
    <s v="SUPER A, GIASSI E COOPER GENERAL OSORIO"/>
    <m/>
    <s v="Não"/>
    <m/>
    <m/>
    <m/>
    <m/>
    <m/>
    <m/>
    <m/>
    <m/>
    <x v="69"/>
    <n v="98.4"/>
    <n v="0"/>
    <n v="0"/>
    <n v="0"/>
    <n v="0"/>
    <x v="0"/>
    <x v="3"/>
    <e v="#NAME?"/>
  </r>
  <r>
    <d v="2026-04-14T19:34:41"/>
    <s v="camila.althoff@mazzini.com.br"/>
    <x v="3"/>
    <s v="Mlz4j72"/>
    <x v="77"/>
    <x v="263"/>
    <s v="https://drive.google.com/open?id=123y3X9OjsNO7izmIkFZuOkapNY-GY2am"/>
    <x v="265"/>
    <s v="https://drive.google.com/open?id=1MyZ611kd_FFQ5a6MRAkDgYFHfmQdA3K2"/>
    <s v="Imperatriz lagoa, Fort campeche, Carrefour"/>
    <m/>
    <s v="Sim"/>
    <m/>
    <m/>
    <m/>
    <m/>
    <s v="56.65"/>
    <s v="https://drive.google.com/open?id=16MxU4IwPAtipIL94N3xh3d5AtvUwHd0Q, https://drive.google.com/open?id=1UwXHuvtYZ9XLCz7bfAi-sXMaSH3RRJ5O"/>
    <m/>
    <m/>
    <x v="168"/>
    <n v="108.24"/>
    <n v="0"/>
    <n v="0"/>
    <n v="56.65"/>
    <n v="0"/>
    <x v="0"/>
    <x v="3"/>
    <e v="#NAME?"/>
  </r>
  <r>
    <d v="2026-04-14T15:09:27"/>
    <s v="carlos.proenca@mazzini.com.br"/>
    <x v="11"/>
    <s v="qhd3d74"/>
    <x v="77"/>
    <x v="264"/>
    <s v="https://drive.google.com/open?id=1rp4IwssczdDcGDVNezvzO2ZAvrY0iV_W"/>
    <x v="266"/>
    <s v="https://drive.google.com/open?id=1oyqdks3T74V7tl76_qC83LW5gNEe1Us2"/>
    <s v="fort santo antono de lisboa , fort vargem grande, koch ingleses, fort campeche"/>
    <m/>
    <s v="Não"/>
    <m/>
    <m/>
    <m/>
    <m/>
    <m/>
    <m/>
    <m/>
    <m/>
    <x v="169"/>
    <n v="158.66999999999999"/>
    <n v="0"/>
    <n v="0"/>
    <n v="0"/>
    <n v="0"/>
    <x v="0"/>
    <x v="3"/>
    <e v="#NAME?"/>
  </r>
  <r>
    <d v="2026-04-15T13:06:44"/>
    <s v="oliiveiiraa7@gmail.com"/>
    <x v="6"/>
    <s v="EUF3090"/>
    <x v="77"/>
    <x v="265"/>
    <m/>
    <x v="267"/>
    <m/>
    <s v="Brasil atacadista bairro progresso, Brasil atacadista rio do sul, fort rio do sul"/>
    <m/>
    <s v="Não"/>
    <m/>
    <m/>
    <m/>
    <m/>
    <m/>
    <m/>
    <m/>
    <m/>
    <x v="170"/>
    <n v="477.24"/>
    <n v="0"/>
    <n v="0"/>
    <n v="0"/>
    <n v="0"/>
    <x v="0"/>
    <x v="3"/>
    <e v="#NAME?"/>
  </r>
  <r>
    <d v="2026-04-14T18:17:22"/>
    <s v="martinsneto047@gmail.com"/>
    <x v="9"/>
    <s v="IUT1C03"/>
    <x v="77"/>
    <x v="266"/>
    <s v="https://drive.google.com/open?id=1hiv39p4mJ8hu-I76s5cIYtSpqNbtu3Nb"/>
    <x v="268"/>
    <s v="https://drive.google.com/open?id=1AqTeau-Nc3DFOIwIy8YR4CuLx-2VByLh"/>
    <s v="KOMPRÃO 37 _x000a_KOMPRÃO 15 _x000a_KOCH 07 _x000a_FORT 190 _x000a_KOMPRÃO 18 _x000a_KOCH 52_x000a_KOCH 14_x000a_KOCH 09 _x000a_COMPER ITAPEMA _x000a_KOCH 04 _x000a_KOCH 41_x000a_KOCH 06"/>
    <m/>
    <s v="Não"/>
    <m/>
    <m/>
    <m/>
    <m/>
    <m/>
    <m/>
    <m/>
    <m/>
    <x v="148"/>
    <n v="77.489999999999995"/>
    <n v="0"/>
    <n v="0"/>
    <n v="0"/>
    <n v="0"/>
    <x v="0"/>
    <x v="3"/>
    <e v="#NAME?"/>
  </r>
  <r>
    <d v="2026-04-15T09:52:06"/>
    <s v="matheus.moraes@mazzini.com.br"/>
    <x v="8"/>
    <s v="QIL7H04"/>
    <x v="77"/>
    <x v="267"/>
    <s v="https://drive.google.com/open?id=1W8No0qy4_DXP-RNaBlUU1XIWP-qcaBkY"/>
    <x v="269"/>
    <s v="https://drive.google.com/open?id=1alCQolshrV23eEO5JO1Wn-Q1iLFor41P"/>
    <s v="fort brusque, mercado archer, mercado stock, mercado archer são luiz, komprão 36, cooper itoupava norte, zeus e komprão pomerode"/>
    <m/>
    <s v="Não"/>
    <m/>
    <m/>
    <m/>
    <m/>
    <m/>
    <m/>
    <m/>
    <m/>
    <x v="171"/>
    <n v="248.46"/>
    <n v="0"/>
    <n v="0"/>
    <n v="0"/>
    <n v="0"/>
    <x v="0"/>
    <x v="3"/>
    <e v="#NAME?"/>
  </r>
  <r>
    <d v="2026-04-16T09:23:23"/>
    <s v="sabrina.pires@mazzini.com.br"/>
    <x v="2"/>
    <s v="AZC9E32"/>
    <x v="77"/>
    <x v="268"/>
    <m/>
    <x v="270"/>
    <m/>
    <s v="Brasil atacadista _x000a_Fort 130 _x000a_Fort 462"/>
    <m/>
    <s v="Não"/>
    <m/>
    <m/>
    <m/>
    <m/>
    <m/>
    <m/>
    <m/>
    <m/>
    <x v="164"/>
    <n v="36.9"/>
    <n v="0"/>
    <n v="0"/>
    <n v="0"/>
    <n v="0"/>
    <x v="0"/>
    <x v="3"/>
    <e v="#NAME?"/>
  </r>
  <r>
    <d v="2026-04-15T23:00:14"/>
    <s v="camila.althoff@mazzini.com.br"/>
    <x v="3"/>
    <s v="Mlz4j72"/>
    <x v="78"/>
    <x v="269"/>
    <s v="https://drive.google.com/open?id=1TmvVhAdPMaepE-OsFfiFVyoHdDq078ck"/>
    <x v="271"/>
    <s v="https://drive.google.com/open?id=1-n_5lERE6G8mCih3DRF_TfSMEcXyOYcp"/>
    <s v="Pegar EPI coordenadora, hotel"/>
    <m/>
    <s v="Sim"/>
    <s v="20.70"/>
    <s v="https://drive.google.com/open?id=1UHnPJMCt6cVCE7jdmu7IhlXajI750_7W"/>
    <s v="20.00"/>
    <s v="https://drive.google.com/open?id=1x2LSlyiF3tWE5m5s7DJenggkkuTVtRUf"/>
    <n v="35"/>
    <s v="https://drive.google.com/open?id=1VjImCWPAvalpSEYwTd2mz3kOwpHx3r4k"/>
    <m/>
    <m/>
    <x v="143"/>
    <n v="305.04000000000002"/>
    <n v="20.7"/>
    <n v="20"/>
    <n v="35"/>
    <n v="0"/>
    <x v="0"/>
    <x v="3"/>
    <e v="#NAME?"/>
  </r>
  <r>
    <d v="2026-04-15T17:55:48"/>
    <s v="martinsneto047@gmail.com"/>
    <x v="9"/>
    <s v="IUT1C03"/>
    <x v="78"/>
    <x v="270"/>
    <s v="https://drive.google.com/open?id=1ZDN4ka1m9iwpDMwLETTL2-odytsXiAvD"/>
    <x v="272"/>
    <s v="https://drive.google.com/open?id=1sjNn8DL4dqQnBm0H9xzOwxU2CjhRgpoc"/>
    <s v="Fort 225 Itajaí_x000a_Fort 310 Itajai_x000a_Komprão 74 Itajai_x000a_Angeloni Itajai_x000a_Fort 825 Itajaí_x000a_Bistek Itajaí _x000a_Fort 32 São João It_x000a_KOMRPÃO 18 RECOLHER EPI"/>
    <m/>
    <s v="Não"/>
    <m/>
    <m/>
    <m/>
    <m/>
    <m/>
    <m/>
    <m/>
    <m/>
    <x v="172"/>
    <n v="157.44"/>
    <n v="0"/>
    <n v="0"/>
    <n v="0"/>
    <n v="0"/>
    <x v="0"/>
    <x v="3"/>
    <e v="#NAME?"/>
  </r>
  <r>
    <d v="2026-04-15T17:51:42"/>
    <s v="matheus.moraes@mazzini.com.br"/>
    <x v="8"/>
    <s v="QIL7H04"/>
    <x v="78"/>
    <x v="271"/>
    <s v="https://drive.google.com/open?id=1FkyUVFJWGlcTGZAVF91VMdImiMYRNRR1"/>
    <x v="273"/>
    <s v="https://drive.google.com/open?id=1IfHvGZm_Y0m0UI0GzVXRCeFgHfeLTu7e"/>
    <s v="PRECEIRO INDAIAL E RUA FRANCISCO MARGARIDA (RECOLHER MATERIAL DO JOÃO)"/>
    <m/>
    <s v="Não"/>
    <m/>
    <m/>
    <m/>
    <m/>
    <m/>
    <m/>
    <m/>
    <m/>
    <x v="144"/>
    <n v="145.13999999999999"/>
    <n v="0"/>
    <n v="0"/>
    <n v="0"/>
    <n v="0"/>
    <x v="0"/>
    <x v="3"/>
    <e v="#NAME?"/>
  </r>
  <r>
    <d v="2026-04-16T10:02:12"/>
    <s v="lombardi2025@gmail.com"/>
    <x v="4"/>
    <s v="OWA4C07"/>
    <x v="78"/>
    <x v="272"/>
    <s v="https://drive.google.com/open?id=1TwP-0NQwVcKlglApsMmumSWnwMCytkIY"/>
    <x v="274"/>
    <s v="https://drive.google.com/open?id=1YHGHM-NkrABDN1s7MxZE0lKkFyXmfelS"/>
    <s v="MAFRA E SÃO BENTO"/>
    <m/>
    <s v="Não"/>
    <m/>
    <m/>
    <m/>
    <m/>
    <m/>
    <m/>
    <m/>
    <m/>
    <x v="61"/>
    <n v="398.52"/>
    <n v="0"/>
    <n v="0"/>
    <n v="0"/>
    <n v="0"/>
    <x v="0"/>
    <x v="3"/>
    <e v="#NAME?"/>
  </r>
  <r>
    <d v="2026-04-16T09:25:54"/>
    <s v="sabrina.pires@mazzini.com.br"/>
    <x v="2"/>
    <s v="AZC9E32"/>
    <x v="78"/>
    <x v="273"/>
    <m/>
    <x v="275"/>
    <m/>
    <s v="Komprao real parque _x000a_Komprao bom viver _x000a_Komprao pedra branca"/>
    <m/>
    <s v="Não"/>
    <m/>
    <m/>
    <m/>
    <m/>
    <m/>
    <m/>
    <m/>
    <m/>
    <x v="56"/>
    <n v="46.74"/>
    <n v="0"/>
    <n v="0"/>
    <n v="0"/>
    <n v="0"/>
    <x v="0"/>
    <x v="3"/>
    <e v="#NAME?"/>
  </r>
  <r>
    <d v="2026-04-16T18:16:06"/>
    <s v="camila.althoff@mazzini.com.br"/>
    <x v="3"/>
    <s v="Mlz4j72"/>
    <x v="79"/>
    <x v="274"/>
    <s v="https://drive.google.com/open?id=1l7v1vllPoqE_YgD255eTAqpjB2RSql8b"/>
    <x v="276"/>
    <s v="https://drive.google.com/open?id=1zZjzUj_bpq5gt_f5nGLOBDhisJ7q3nK9"/>
    <s v="Atacadão içara, manentti,.Fort tubarão"/>
    <m/>
    <s v="Sim"/>
    <s v="11.70"/>
    <s v="https://drive.google.com/open?id=1fN2GB1Ypcja3ZA2km0oAJ51orh2W_1ZX"/>
    <m/>
    <m/>
    <m/>
    <m/>
    <m/>
    <m/>
    <x v="173"/>
    <n v="337.02"/>
    <n v="11.7"/>
    <n v="0"/>
    <n v="0"/>
    <n v="0"/>
    <x v="1"/>
    <x v="3"/>
    <e v="#NAME?"/>
  </r>
  <r>
    <d v="2026-04-20T14:26:34"/>
    <s v="carlos.proenca@mazzini.com.br"/>
    <x v="11"/>
    <s v="tch4e45"/>
    <x v="79"/>
    <x v="275"/>
    <s v="https://drive.google.com/open?id=1THBfcZWnksS4hBkHYqNB_BqsR1bOuyOT"/>
    <x v="277"/>
    <s v="https://drive.google.com/open?id=1J0wnz4DUDR_e1pEREaptgPmoG7VggKTq"/>
    <s v="atacadao florianopolis, fort sao jose,angeloni"/>
    <m/>
    <s v="Não"/>
    <m/>
    <m/>
    <m/>
    <m/>
    <m/>
    <m/>
    <m/>
    <m/>
    <x v="145"/>
    <n v="63.96"/>
    <n v="0"/>
    <n v="0"/>
    <n v="0"/>
    <n v="0"/>
    <x v="1"/>
    <x v="3"/>
    <e v="#NAME?"/>
  </r>
  <r>
    <d v="2026-04-17T07:00:16"/>
    <s v="matheus.moraes@mazzini.com.br"/>
    <x v="8"/>
    <s v="QIL7H04"/>
    <x v="79"/>
    <x v="276"/>
    <s v="https://drive.google.com/open?id=1xwnAyuJxGxBfUJYhqTTGBl5O98I6Y6z7"/>
    <x v="278"/>
    <s v="https://drive.google.com/open?id=1Ve93M1s4Q8SYMAyw6BHwfc4w-t2vYzVv"/>
    <s v="SUPER A E SAMS"/>
    <m/>
    <s v="Não"/>
    <m/>
    <m/>
    <m/>
    <m/>
    <m/>
    <m/>
    <m/>
    <m/>
    <x v="174"/>
    <n v="107.01"/>
    <n v="0"/>
    <n v="0"/>
    <n v="0"/>
    <n v="0"/>
    <x v="1"/>
    <x v="3"/>
    <e v="#NAME?"/>
  </r>
  <r>
    <d v="2026-04-16T17:50:25"/>
    <s v="lombardi2025@gmail.com"/>
    <x v="4"/>
    <s v="OWA4C07"/>
    <x v="79"/>
    <x v="277"/>
    <s v="https://drive.google.com/open?id=1FEWrtdX12ywWsbBpPRiVGROZ94R2CJTU"/>
    <x v="279"/>
    <s v="https://drive.google.com/open?id=1lJfr2cwyuO0Zkp2ntUd2DRx3immx4uPI"/>
    <s v="KOMPRAO 18"/>
    <m/>
    <s v="Não"/>
    <m/>
    <m/>
    <m/>
    <m/>
    <m/>
    <m/>
    <m/>
    <m/>
    <x v="160"/>
    <n v="225.09"/>
    <n v="0"/>
    <n v="0"/>
    <n v="0"/>
    <n v="0"/>
    <x v="1"/>
    <x v="3"/>
    <e v="#NAME?"/>
  </r>
  <r>
    <d v="2026-04-29T18:28:14"/>
    <s v="aline.moreira@mazzini.com.br"/>
    <x v="10"/>
    <s v="MHV7D46"/>
    <x v="80"/>
    <x v="278"/>
    <m/>
    <x v="280"/>
    <m/>
    <s v="Komprao 77, komprao 45, Bistek, CDD AmBev,"/>
    <m/>
    <s v="Não"/>
    <m/>
    <m/>
    <m/>
    <m/>
    <m/>
    <m/>
    <m/>
    <m/>
    <x v="126"/>
    <n v="161.13"/>
    <n v="0"/>
    <n v="0"/>
    <n v="0"/>
    <n v="0"/>
    <x v="1"/>
    <x v="3"/>
    <e v="#NAME?"/>
  </r>
  <r>
    <d v="2026-04-27T14:25:51"/>
    <s v="martinsneto047@gmail.com"/>
    <x v="9"/>
    <s v="IUT1C03"/>
    <x v="80"/>
    <x v="279"/>
    <s v="https://drive.google.com/open?id=1mw6wlE2aIREVK30VMQk_xZF8cImunm52"/>
    <x v="281"/>
    <s v="https://drive.google.com/open?id=16-V7X4knTYUXwP_qLKPQY0dRfKUymxlC"/>
    <s v="Komprao 12_x000a_Meschek Atacadista _x000a_Meschke filial 01"/>
    <m/>
    <s v="Não"/>
    <m/>
    <m/>
    <m/>
    <m/>
    <m/>
    <m/>
    <m/>
    <m/>
    <x v="2"/>
    <n v="95.94"/>
    <n v="0"/>
    <n v="0"/>
    <n v="0"/>
    <n v="0"/>
    <x v="1"/>
    <x v="3"/>
    <e v="#NAME?"/>
  </r>
  <r>
    <d v="2026-04-18T08:25:29"/>
    <s v="matheus.moraes@mazzini.com.br"/>
    <x v="8"/>
    <s v="QIL7H04"/>
    <x v="80"/>
    <x v="280"/>
    <s v="https://drive.google.com/open?id=13l4peLUNJoojnJRfiQMJ7MdK91lCiotR"/>
    <x v="282"/>
    <s v="https://drive.google.com/open?id=1j-pXiWtOUZIZooJ6MzBP3tRymSDbvb6s"/>
    <s v="TOP ESCOLA AGRICOLA, GIASSI, COOPER INDAIAL, KOMPRÃO 49 E SUPERMERCADO CENTRAL 104"/>
    <m/>
    <s v="Sim"/>
    <m/>
    <m/>
    <m/>
    <m/>
    <s v="20.75"/>
    <s v="https://drive.google.com/open?id=18JNY43nrcANeUd2I9NF-WedHOF9OgUJg"/>
    <m/>
    <m/>
    <x v="175"/>
    <n v="182.04"/>
    <n v="0"/>
    <n v="0"/>
    <n v="20.75"/>
    <n v="0"/>
    <x v="1"/>
    <x v="3"/>
    <e v="#NAME?"/>
  </r>
  <r>
    <d v="2026-04-27T14:29:41"/>
    <s v="martinsneto047@gmail.com"/>
    <x v="9"/>
    <s v="IUT1C03"/>
    <x v="81"/>
    <x v="281"/>
    <s v="https://drive.google.com/open?id=10RBe4TTji6s34X5XN8F6fxxafG7cDBkg"/>
    <x v="283"/>
    <s v="https://drive.google.com/open?id=1EcdwBXGZZgya3B89fCQDaZx2-_N5YWIi"/>
    <s v="ANGELONI ITAJAI BISTEK ITAJAI"/>
    <m/>
    <s v="Não"/>
    <m/>
    <m/>
    <m/>
    <m/>
    <m/>
    <m/>
    <m/>
    <m/>
    <x v="22"/>
    <n v="110.7"/>
    <n v="0"/>
    <n v="0"/>
    <n v="0"/>
    <n v="0"/>
    <x v="1"/>
    <x v="3"/>
    <e v="#NAME?"/>
  </r>
  <r>
    <d v="2026-04-22T17:26:42"/>
    <s v="camila.althoff@mazzini.com.br"/>
    <x v="3"/>
    <s v="Mlz4j72"/>
    <x v="82"/>
    <x v="282"/>
    <s v="https://drive.google.com/open?id=19IHPateG02gLZd1XXDUfcmhG6wxoyHhb"/>
    <x v="284"/>
    <s v="https://drive.google.com/open?id=1UuRA4Whj8ugXVvn8Y62k1P9-_OZoA3Sy"/>
    <s v="Zeus, Fort kobrasol, imperatriz coqueiros, magia Canasvieiras"/>
    <m/>
    <s v="Sim"/>
    <m/>
    <m/>
    <m/>
    <m/>
    <s v="12.00"/>
    <s v="https://drive.google.com/open?id=12zwqb-Ky19_WIgngBr8uzhKsx8AZHxtZ"/>
    <m/>
    <s v="Impressão para colaborador entrar no Angeloni capoeiras"/>
    <x v="174"/>
    <n v="107.01"/>
    <n v="0"/>
    <n v="0"/>
    <n v="12"/>
    <n v="0"/>
    <x v="1"/>
    <x v="3"/>
    <e v="#NAME?"/>
  </r>
  <r>
    <d v="2026-04-22T10:34:48"/>
    <s v="carlos.proenca@mazzini.com.br"/>
    <x v="11"/>
    <s v="tch4e45"/>
    <x v="82"/>
    <x v="283"/>
    <s v="https://drive.google.com/open?id=1yzKNMmyByV4ac0bSEUmWoARL2jEOajFY"/>
    <x v="285"/>
    <s v="https://drive.google.com/open?id=1whswN1zDOH9cMHSIDqLCPC42FTRb8QxA"/>
    <s v="brasil ipiranga, komprao 24,komprao 83,koch tijucas,komprao 53"/>
    <m/>
    <s v="Não"/>
    <m/>
    <m/>
    <m/>
    <m/>
    <m/>
    <m/>
    <m/>
    <m/>
    <x v="176"/>
    <n v="201.72"/>
    <n v="0"/>
    <n v="0"/>
    <n v="0"/>
    <n v="0"/>
    <x v="1"/>
    <x v="3"/>
    <e v="#NAME?"/>
  </r>
  <r>
    <d v="2026-04-22T10:20:35"/>
    <s v="matheus.moraes@mazzini.com.br"/>
    <x v="8"/>
    <s v="QIL7H04"/>
    <x v="82"/>
    <x v="284"/>
    <s v="https://drive.google.com/open?id=17JmJ5HVt3jqXVtVIClZs_dQAv4S_Mizp"/>
    <x v="286"/>
    <s v="https://drive.google.com/open?id=13MfrZHKfjBoSMXgnoSg0ICgGFe9D3pgR"/>
    <s v="COOPER NAÇÕES (RECOLHER MATERIAL DA LARISSA)"/>
    <m/>
    <s v="Não"/>
    <m/>
    <m/>
    <m/>
    <m/>
    <m/>
    <m/>
    <m/>
    <m/>
    <x v="122"/>
    <n v="88.56"/>
    <n v="0"/>
    <n v="0"/>
    <n v="0"/>
    <n v="0"/>
    <x v="1"/>
    <x v="3"/>
    <e v="#NAME?"/>
  </r>
  <r>
    <d v="2026-04-30T00:17:45"/>
    <s v="lombardi2025@gmail.com"/>
    <x v="4"/>
    <s v="OWA4C07"/>
    <x v="83"/>
    <x v="285"/>
    <s v="https://drive.google.com/open?id=1cDUze20ElV9Xh9DJ1EF1NtqNvEYqe7Uu"/>
    <x v="287"/>
    <s v="https://drive.google.com/open?id=1G83-RLShjFF8twKIkZqsQAOxkft_abCq"/>
    <s v="K59,BR ATAVADISTA,SAMS"/>
    <m/>
    <s v="Não"/>
    <m/>
    <m/>
    <m/>
    <m/>
    <m/>
    <m/>
    <m/>
    <m/>
    <x v="177"/>
    <n v="68.88"/>
    <n v="0"/>
    <n v="0"/>
    <n v="0"/>
    <n v="0"/>
    <x v="1"/>
    <x v="3"/>
    <e v="#NAME?"/>
  </r>
  <r>
    <d v="2026-04-29T18:30:09"/>
    <s v="aline.moreira@mazzini.com.br"/>
    <x v="10"/>
    <s v="MHV7D46"/>
    <x v="84"/>
    <x v="286"/>
    <m/>
    <x v="288"/>
    <m/>
    <s v="Angeloni 10, super A"/>
    <m/>
    <s v="Não"/>
    <m/>
    <m/>
    <m/>
    <m/>
    <m/>
    <m/>
    <m/>
    <m/>
    <x v="127"/>
    <n v="25.83"/>
    <n v="0"/>
    <n v="0"/>
    <n v="0"/>
    <n v="0"/>
    <x v="1"/>
    <x v="3"/>
    <e v="#NAME?"/>
  </r>
  <r>
    <d v="2026-04-29T18:32:18"/>
    <s v="aline.moreira@mazzini.com.br"/>
    <x v="10"/>
    <s v="MHV7D46"/>
    <x v="85"/>
    <x v="287"/>
    <m/>
    <x v="289"/>
    <m/>
    <s v="Preceiro, Angeloni SFS, komprao SFS,kock sfs"/>
    <m/>
    <s v="Não"/>
    <m/>
    <m/>
    <m/>
    <m/>
    <m/>
    <m/>
    <m/>
    <m/>
    <x v="79"/>
    <n v="196.8"/>
    <n v="0"/>
    <n v="0"/>
    <n v="0"/>
    <n v="0"/>
    <x v="1"/>
    <x v="3"/>
    <e v="#NAME?"/>
  </r>
  <r>
    <d v="2026-04-30T00:19:25"/>
    <s v="lombardi2025@gmail.com"/>
    <x v="4"/>
    <s v="OWA4C07"/>
    <x v="85"/>
    <x v="288"/>
    <s v="https://drive.google.com/open?id=1sHOr68hRf9vpK9BVg4a4jDbbvJ2P5ALs"/>
    <x v="290"/>
    <s v="https://drive.google.com/open?id=1j0iDhE0Fdk3IldEqeNMUcJXpd9-JKCbE"/>
    <s v="CONDOR COMASA,CDD AMBEV"/>
    <m/>
    <s v="Não"/>
    <m/>
    <m/>
    <m/>
    <m/>
    <m/>
    <m/>
    <m/>
    <m/>
    <x v="178"/>
    <n v="75.03"/>
    <n v="0"/>
    <n v="0"/>
    <n v="0"/>
    <n v="0"/>
    <x v="1"/>
    <x v="3"/>
    <e v="#NAME?"/>
  </r>
  <r>
    <d v="2026-04-24T20:04:13"/>
    <s v="camila.althoff@mazzini.com.br"/>
    <x v="3"/>
    <s v="Mlz4j72"/>
    <x v="86"/>
    <x v="289"/>
    <s v="https://drive.google.com/open?id=1aJRYPfrUXTPL0sslPhQ_sxQkxqSkxweX"/>
    <x v="291"/>
    <s v="https://drive.google.com/open?id=12SxOncqDqam8oXdRJgMNrVhjk8MLaVPD"/>
    <s v="Atacadão, Fort 379, Zeus, brasil atacadista"/>
    <m/>
    <s v="Não"/>
    <m/>
    <m/>
    <m/>
    <m/>
    <m/>
    <m/>
    <m/>
    <m/>
    <x v="23"/>
    <n v="111.92999999999999"/>
    <n v="0"/>
    <n v="0"/>
    <n v="0"/>
    <n v="0"/>
    <x v="1"/>
    <x v="3"/>
    <e v="#NAME?"/>
  </r>
  <r>
    <d v="2026-04-30T00:21:20"/>
    <s v="lombardi2025@gmail.com"/>
    <x v="4"/>
    <s v="OWA4C07"/>
    <x v="86"/>
    <x v="290"/>
    <s v="https://drive.google.com/open?id=1CF12Gpjv24WOZYv7OVL9K52tSwuo0wrO"/>
    <x v="292"/>
    <s v="https://drive.google.com/open?id=1kGgsFFYHeel4HK5z578TbZQePFhQ5lJQ"/>
    <s v="K59,CONDOR 51,ANGELONI"/>
    <m/>
    <s v="Não"/>
    <m/>
    <m/>
    <m/>
    <m/>
    <m/>
    <m/>
    <m/>
    <m/>
    <x v="11"/>
    <n v="57.81"/>
    <n v="0"/>
    <n v="0"/>
    <n v="0"/>
    <n v="0"/>
    <x v="1"/>
    <x v="3"/>
    <e v="#NAME?"/>
  </r>
  <r>
    <d v="2026-04-27T14:31:32"/>
    <s v="martinsneto047@gmail.com"/>
    <x v="9"/>
    <s v="IUT1C03"/>
    <x v="87"/>
    <x v="291"/>
    <s v="https://drive.google.com/open?id=1ixB_iSZ5r1GIRXpHAFvAFdlZQ0FSR9TW"/>
    <x v="293"/>
    <s v="https://drive.google.com/open?id=1ea0_YvkrgIF8bQu0ZPOlW7zvTd5RkRLu"/>
    <s v="KOCH 52 ZEUS KOMPRAO 55"/>
    <m/>
    <s v="Não"/>
    <m/>
    <m/>
    <m/>
    <m/>
    <m/>
    <m/>
    <m/>
    <m/>
    <x v="52"/>
    <n v="93.48"/>
    <n v="0"/>
    <n v="0"/>
    <n v="0"/>
    <n v="0"/>
    <x v="1"/>
    <x v="3"/>
    <e v="#NAME?"/>
  </r>
  <r>
    <d v="2026-04-27T17:13:05"/>
    <s v="carlos.proenca@mazzini.com.br"/>
    <x v="11"/>
    <s v="tch4e45"/>
    <x v="88"/>
    <x v="292"/>
    <s v="https://drive.google.com/open?id=1Df5jqd_wG6aLJJcXqxgckb_nI-OsZnqQ"/>
    <x v="294"/>
    <s v="https://drive.google.com/open?id=1bryMhiTpYiNhJ6mqxQVMsX5d3UV4YU2E"/>
    <s v="komprao garopaba, komprao laguna, komprao garopaba"/>
    <m/>
    <s v="Sim"/>
    <m/>
    <s v="https://drive.google.com/open?id=16tZ15YcfpeIV4RxEQVhuxogK5KM829S9, https://drive.google.com/open?id=1uvHfWRTbN_b48BFPwNEHBZpPEkg4Jscw, https://drive.google.com/open?id=1XkaHUriIIEwdeWl7jHK2fz4aCYO24ZZk, https://drive.google.com/open?id=18JutFsJAdrfIr5Wd3U32fLw3c5WvblI8"/>
    <m/>
    <m/>
    <m/>
    <m/>
    <m/>
    <s v="tive que passar na ida e na volta em garopaba"/>
    <x v="179"/>
    <n v="324.71999999999997"/>
    <n v="0"/>
    <n v="0"/>
    <n v="0"/>
    <n v="0"/>
    <x v="1"/>
    <x v="3"/>
    <e v="#NAME?"/>
  </r>
  <r>
    <d v="2026-04-29T18:34:57"/>
    <s v="aline.moreira@mazzini.com.br"/>
    <x v="10"/>
    <s v="MHV7D46"/>
    <x v="89"/>
    <x v="293"/>
    <m/>
    <x v="295"/>
    <m/>
    <s v="Fort 405, Fort 905, komprao 51, imperatriz 37, komprao 50"/>
    <m/>
    <s v="Não"/>
    <m/>
    <m/>
    <m/>
    <m/>
    <m/>
    <m/>
    <m/>
    <m/>
    <x v="91"/>
    <n v="184.5"/>
    <n v="0"/>
    <n v="0"/>
    <n v="0"/>
    <n v="0"/>
    <x v="1"/>
    <x v="3"/>
    <e v="#NAME?"/>
  </r>
  <r>
    <d v="2026-04-28T19:57:00"/>
    <s v="camila.althoff@mazzini.com.br"/>
    <x v="3"/>
    <s v="Mlz4j72"/>
    <x v="89"/>
    <x v="294"/>
    <s v="https://drive.google.com/open?id=1aM9X2lJ97d7Ot1B4AXdiosKPd-NvfeY0"/>
    <x v="296"/>
    <s v="https://drive.google.com/open?id=1wo6-ah5isw9qzq8fvSIMNwoefe-zFRm0"/>
    <s v="Angeloni beira mar, Carrefour, imperatriz Floripa,Fort 810, Fort 210"/>
    <m/>
    <s v="Sim"/>
    <m/>
    <m/>
    <s v="38.00"/>
    <s v="https://drive.google.com/open?id=13euQ5oHFFAUdPgA9AhKiCoVR_ARBkgNy, https://drive.google.com/open?id=1yz6LLq6FoLhLizC7ywc5lIp-Ds6oJcgV"/>
    <m/>
    <m/>
    <m/>
    <m/>
    <x v="180"/>
    <n v="92.25"/>
    <n v="0"/>
    <n v="38"/>
    <n v="0"/>
    <n v="0"/>
    <x v="1"/>
    <x v="3"/>
    <e v="#NAME?"/>
  </r>
  <r>
    <d v="2026-04-28T15:11:05"/>
    <s v="martinsneto047@gmail.com"/>
    <x v="9"/>
    <s v="IUT1C03"/>
    <x v="89"/>
    <x v="295"/>
    <s v="https://drive.google.com/open?id=13y3QdHvZFhEK_z9rXEDddUOJ5KlwnGwF"/>
    <x v="297"/>
    <s v="https://drive.google.com/open?id=1knPK5WIPw3Jh-h0wDELKe9H4J1GRnJie"/>
    <s v="Komprao 18 _x000a_Koch 52 _x000a_Koch 08 _x000a_Komprão 38"/>
    <m/>
    <s v="Não"/>
    <m/>
    <m/>
    <m/>
    <m/>
    <m/>
    <m/>
    <m/>
    <m/>
    <x v="82"/>
    <n v="119.31"/>
    <n v="0"/>
    <n v="0"/>
    <n v="0"/>
    <n v="0"/>
    <x v="1"/>
    <x v="3"/>
    <e v="#NAME?"/>
  </r>
  <r>
    <d v="2026-04-28T15:30:47"/>
    <s v="matheus.moraes@mazzini.com.br"/>
    <x v="8"/>
    <s v="QIL7H04"/>
    <x v="89"/>
    <x v="296"/>
    <s v="https://drive.google.com/open?id=1JAwOg9sHKc2ILcWP8mk1e6aVXqtPDDYI"/>
    <x v="298"/>
    <s v="https://drive.google.com/open?id=1BtTCVS8DWg-lBkXsrDDyHUQivb1ezo27"/>
    <s v="COOPER VILA NOVA, COOPER GARCIA, COOPER CAÇADORES"/>
    <m/>
    <s v="Não"/>
    <m/>
    <m/>
    <m/>
    <m/>
    <m/>
    <m/>
    <m/>
    <m/>
    <x v="23"/>
    <n v="111.92999999999999"/>
    <n v="0"/>
    <n v="0"/>
    <n v="0"/>
    <n v="0"/>
    <x v="1"/>
    <x v="3"/>
    <e v="#NAME?"/>
  </r>
  <r>
    <d v="2026-04-29T18:09:35"/>
    <s v="aline.moreira@mazzini.com.br"/>
    <x v="10"/>
    <s v="MHV7D46"/>
    <x v="90"/>
    <x v="297"/>
    <m/>
    <x v="299"/>
    <m/>
    <s v="Rancho bom amizade, rancho bom três Rios, rancho bom Schroeder, rancho bom vieiras"/>
    <m/>
    <s v="Não"/>
    <m/>
    <m/>
    <m/>
    <m/>
    <m/>
    <m/>
    <m/>
    <m/>
    <x v="119"/>
    <n v="62.73"/>
    <n v="0"/>
    <n v="0"/>
    <n v="0"/>
    <n v="0"/>
    <x v="1"/>
    <x v="3"/>
    <e v="#NAME?"/>
  </r>
  <r>
    <d v="2026-04-29T19:03:03"/>
    <s v="martinsneto047@gmail.com"/>
    <x v="9"/>
    <s v="IUT1C03"/>
    <x v="90"/>
    <x v="298"/>
    <s v="https://drive.google.com/open?id=1O40EeC4iEyevFDoVO6KM2uIS_VkvtViV"/>
    <x v="300"/>
    <s v="https://drive.google.com/open?id=1SI2uNgUceYtySNnFexE2VTX3zBI232TT"/>
    <s v="Komprao 18 _x000a_Komprão 37 _x000a_Koch 52 _x000a_Komprão 82 _x000a_Comper Itapema"/>
    <m/>
    <s v="Sim"/>
    <m/>
    <m/>
    <m/>
    <m/>
    <n v="40"/>
    <s v="https://drive.google.com/open?id=1fxhVmN76MvTNJM-HxDxYwAmMEyPI_5XQ"/>
    <m/>
    <m/>
    <x v="26"/>
    <n v="49.2"/>
    <n v="0"/>
    <n v="0"/>
    <n v="40"/>
    <n v="0"/>
    <x v="1"/>
    <x v="3"/>
    <e v="#NAME?"/>
  </r>
  <r>
    <d v="2026-04-30T20:44:08"/>
    <s v="carlos.proenca@mazzini.com.br"/>
    <x v="11"/>
    <s v="qpa6g65"/>
    <x v="91"/>
    <x v="299"/>
    <s v="https://drive.google.com/open?id=19fUekq9FlH8I_vZMbfgW5D3Sk1Eu8z0A"/>
    <x v="301"/>
    <s v="https://drive.google.com/open?id=1XsfJJQRpGFvmG93FSQ2JSYxiIelgujea"/>
    <s v="Brasil atacadista/ loja EPI MWM Palhoça"/>
    <m/>
    <s v="Não"/>
    <m/>
    <m/>
    <m/>
    <m/>
    <m/>
    <m/>
    <m/>
    <m/>
    <x v="36"/>
    <n v="33.21"/>
    <n v="0"/>
    <n v="0"/>
    <n v="0"/>
    <n v="0"/>
    <x v="1"/>
    <x v="3"/>
    <e v="#NAME?"/>
  </r>
  <r>
    <d v="2026-04-30T13:57:59"/>
    <s v="oliiveiiraa7@gmail.com"/>
    <x v="6"/>
    <s v="EUF3090"/>
    <x v="91"/>
    <x v="300"/>
    <s v="https://drive.google.com/open?id=1HZyStWGuD0-YUoY5Maki7MBZT7PvAIVx"/>
    <x v="302"/>
    <s v="https://drive.google.com/open?id=1yI7jpXOJraCAyJU3-lmq2UAHBv26VrcH"/>
    <s v="Setor de viagem (Florianópolis)"/>
    <m/>
    <s v="Não"/>
    <m/>
    <m/>
    <m/>
    <m/>
    <m/>
    <m/>
    <m/>
    <m/>
    <x v="181"/>
    <n v="383.76"/>
    <n v="0"/>
    <n v="0"/>
    <n v="0"/>
    <n v="0"/>
    <x v="1"/>
    <x v="3"/>
    <e v="#NAME?"/>
  </r>
  <r>
    <d v="2026-04-30T17:29:58"/>
    <s v="martinsneto047@gmail.com"/>
    <x v="9"/>
    <s v="IUT1C03"/>
    <x v="91"/>
    <x v="301"/>
    <s v="https://drive.google.com/open?id=1PrCmbz8rcHclEtDBNuaSCPKqk5eM1-Gz"/>
    <x v="303"/>
    <s v="https://drive.google.com/open?id=1hY3l_pkG7EKaSFGgUGle8f-7EukmVKGM"/>
    <s v="fort 310 _x000a_ccomper camboriu _x000a_komprão 38 _x000a_koch 06 _x000a_komprao 37"/>
    <m/>
    <s v="Não"/>
    <m/>
    <m/>
    <m/>
    <m/>
    <m/>
    <m/>
    <m/>
    <m/>
    <x v="37"/>
    <n v="146.37"/>
    <n v="0"/>
    <n v="0"/>
    <n v="0"/>
    <n v="0"/>
    <x v="1"/>
    <x v="3"/>
    <e v="#NAME?"/>
  </r>
  <r>
    <d v="2026-05-02T08:15:57"/>
    <s v="oliiveiiraa7@gmail.com"/>
    <x v="6"/>
    <s v="EUF3090"/>
    <x v="92"/>
    <x v="302"/>
    <s v="https://drive.google.com/open?id=1CZJe3UxjeaYiW84ihnE9tmBCKVr1MYah"/>
    <x v="304"/>
    <s v="https://drive.google.com/open?id=1qHXlUza9B4y6lrGoq4j3T3lsjiZASCj7"/>
    <s v="Setor de viagem (Florianópolis)"/>
    <m/>
    <s v="Não"/>
    <m/>
    <m/>
    <m/>
    <m/>
    <m/>
    <m/>
    <m/>
    <m/>
    <x v="182"/>
    <n v="391.14"/>
    <n v="0"/>
    <n v="0"/>
    <n v="0"/>
    <n v="0"/>
    <x v="0"/>
    <x v="4"/>
    <e v="#NAME?"/>
  </r>
  <r>
    <d v="2026-05-04T07:54:46"/>
    <s v="matheus.moraes@mazzini.com.br"/>
    <x v="8"/>
    <s v="QIL7H04"/>
    <x v="92"/>
    <x v="303"/>
    <s v="https://drive.google.com/open?id=12JQNbRhVUBc_-PNc8imfS2z1dlmduA_7"/>
    <x v="305"/>
    <s v="https://drive.google.com/open?id=1P6ve18SRRoqwZY-gzLx_VMT2AENFe_4F"/>
    <s v="Komprão 49. cooper nações, fort indaial, kompão 49, mocam 401"/>
    <m/>
    <s v="Não"/>
    <m/>
    <m/>
    <m/>
    <m/>
    <m/>
    <m/>
    <m/>
    <m/>
    <x v="105"/>
    <n v="116.85"/>
    <n v="0"/>
    <n v="0"/>
    <n v="0"/>
    <n v="0"/>
    <x v="0"/>
    <x v="4"/>
    <e v="#NAME?"/>
  </r>
  <r>
    <d v="2026-05-06T15:28:55"/>
    <s v="aline.moreira@mazzini.com.br"/>
    <x v="10"/>
    <s v="MHV7D46"/>
    <x v="93"/>
    <x v="297"/>
    <m/>
    <x v="299"/>
    <m/>
    <s v="Rancho bom Schroeder, rancho bom amizade, rancho bom vieiras, rancho bom três Rios"/>
    <m/>
    <s v="Não"/>
    <m/>
    <m/>
    <m/>
    <m/>
    <m/>
    <m/>
    <m/>
    <m/>
    <x v="119"/>
    <n v="62.73"/>
    <n v="0"/>
    <n v="0"/>
    <n v="0"/>
    <n v="0"/>
    <x v="0"/>
    <x v="4"/>
    <e v="#NAME?"/>
  </r>
  <r>
    <d v="2026-05-17T20:53:15"/>
    <s v="aline.moreira@mazzini.com.br"/>
    <x v="10"/>
    <s v="MHV7D46"/>
    <x v="93"/>
    <x v="304"/>
    <m/>
    <x v="306"/>
    <m/>
    <s v="Multiseg EPI, Fort 250, komprao 77"/>
    <m/>
    <s v="Não"/>
    <m/>
    <m/>
    <m/>
    <m/>
    <m/>
    <m/>
    <m/>
    <m/>
    <x v="159"/>
    <n v="132.84"/>
    <n v="0"/>
    <n v="0"/>
    <n v="0"/>
    <n v="0"/>
    <x v="0"/>
    <x v="4"/>
    <e v="#NAME?"/>
  </r>
  <r>
    <d v="2026-05-06T14:20:04"/>
    <s v="carlos.proenca@mazzini.com.br"/>
    <x v="11"/>
    <s v="UAB1D19"/>
    <x v="93"/>
    <x v="305"/>
    <s v="https://drive.google.com/open?id=1yETM0djnO8fiVNun7elgKGcJWCI4-VU6"/>
    <x v="307"/>
    <s v="https://drive.google.com/open?id=1JRysmcg1T7Mwo9HuHBgHRxqQxNw1ne_P"/>
    <s v="CARREFOUR FLORIPA"/>
    <m/>
    <s v="Sim"/>
    <m/>
    <m/>
    <m/>
    <m/>
    <m/>
    <m/>
    <m/>
    <s v="estou utilizando carro reserva pois o meu esta na oficina"/>
    <x v="62"/>
    <n v="72.569999999999993"/>
    <n v="0"/>
    <n v="0"/>
    <n v="0"/>
    <n v="0"/>
    <x v="0"/>
    <x v="4"/>
    <e v="#NAME?"/>
  </r>
  <r>
    <d v="2026-05-06T15:45:28"/>
    <s v="matheus.moraes@mazzini.com.br"/>
    <x v="8"/>
    <s v="QIL7H04"/>
    <x v="93"/>
    <x v="306"/>
    <s v="https://drive.google.com/open?id=1GgWObHkPj0Q7ujMlj3yCOUXUf9TsVmgI"/>
    <x v="308"/>
    <s v="https://drive.google.com/open?id=10_zNW1sgz75FB1LzfKHR9Vn1bed698uB"/>
    <s v="Komprão49 Indaial Estados"/>
    <m/>
    <s v="Não"/>
    <m/>
    <m/>
    <m/>
    <m/>
    <m/>
    <m/>
    <m/>
    <m/>
    <x v="142"/>
    <n v="82.41"/>
    <n v="0"/>
    <n v="0"/>
    <n v="0"/>
    <n v="0"/>
    <x v="0"/>
    <x v="4"/>
    <e v="#NAME?"/>
  </r>
  <r>
    <d v="2026-05-06T15:31:22"/>
    <s v="aline.moreira@mazzini.com.br"/>
    <x v="10"/>
    <s v="MHV7D46"/>
    <x v="94"/>
    <x v="307"/>
    <m/>
    <x v="309"/>
    <m/>
    <s v="Fort 905, cooper aventureiro, cooper vil nova, rancho bom Jaraguá esquerdo, rancho da barra, rancho bom vieiras"/>
    <m/>
    <s v="Não"/>
    <m/>
    <m/>
    <m/>
    <m/>
    <m/>
    <m/>
    <m/>
    <m/>
    <x v="183"/>
    <n v="177.12"/>
    <n v="0"/>
    <n v="0"/>
    <n v="0"/>
    <n v="0"/>
    <x v="0"/>
    <x v="4"/>
    <e v="#NAME?"/>
  </r>
  <r>
    <d v="2026-05-05T10:02:39"/>
    <s v="carlos.proenca@mazzini.com.br"/>
    <x v="11"/>
    <s v="tch4e15"/>
    <x v="94"/>
    <x v="308"/>
    <s v="https://drive.google.com/open?id=1TCFKHYnfXfmDOw7-pTDm6nNaNDc1pmH0"/>
    <x v="310"/>
    <s v="https://drive.google.com/open?id=1An4R39mUj-758-g1MTrf3WBKemX7lcK4"/>
    <s v="Angeloni beira mar, koch ingleses, brasil rio tavares, fort campeche, angeloni capoeiras,vila romana."/>
    <m/>
    <s v="Não"/>
    <m/>
    <m/>
    <m/>
    <m/>
    <m/>
    <m/>
    <m/>
    <m/>
    <x v="79"/>
    <n v="196.8"/>
    <n v="0"/>
    <n v="0"/>
    <n v="0"/>
    <n v="0"/>
    <x v="0"/>
    <x v="4"/>
    <e v="#NAME?"/>
  </r>
  <r>
    <d v="2026-05-05T19:16:40"/>
    <s v="martinsneto047@gmail.com"/>
    <x v="9"/>
    <s v="IUT1C03"/>
    <x v="94"/>
    <x v="309"/>
    <s v="https://drive.google.com/open?id=1_eosak6hac31j3irDpQDQn2LS8ER1iyw"/>
    <x v="311"/>
    <s v="https://drive.google.com/open?id=1OyOX8A_0OFjYDBArQq8dzoSDgOy4wjOZ"/>
    <s v="fort 310 itajai mechke fikial 01 komprao 37 koch 07 komprao 15"/>
    <n v="8"/>
    <s v="Não"/>
    <m/>
    <m/>
    <m/>
    <m/>
    <m/>
    <m/>
    <m/>
    <m/>
    <x v="184"/>
    <n v="183.27"/>
    <n v="0"/>
    <n v="0"/>
    <n v="0"/>
    <n v="0"/>
    <x v="0"/>
    <x v="4"/>
    <e v="#NAME?"/>
  </r>
  <r>
    <d v="2026-05-08T17:36:16"/>
    <s v="sabrina.pires@mazzini.com"/>
    <x v="2"/>
    <s v="AZC9E32"/>
    <x v="94"/>
    <x v="310"/>
    <m/>
    <x v="312"/>
    <m/>
    <s v="Fort 130 _x000a_Fort 462_x000a_Brasil atacadista central _x000a_Imperatriz ponte do imaruim"/>
    <m/>
    <s v="Não"/>
    <m/>
    <m/>
    <m/>
    <m/>
    <m/>
    <m/>
    <m/>
    <m/>
    <x v="26"/>
    <n v="49.2"/>
    <n v="0"/>
    <n v="0"/>
    <n v="0"/>
    <n v="0"/>
    <x v="0"/>
    <x v="4"/>
    <e v="#NAME?"/>
  </r>
  <r>
    <d v="2026-05-08T17:50:25"/>
    <s v="sabrina.pires@mazzini.com"/>
    <x v="2"/>
    <s v="AZC9E32"/>
    <x v="95"/>
    <x v="311"/>
    <m/>
    <x v="313"/>
    <m/>
    <s v="Imperatriz floripa shopping"/>
    <m/>
    <s v="Sim"/>
    <m/>
    <m/>
    <s v="18.00"/>
    <s v="https://drive.google.com/open?id=1i54LP8qkhCqk9K_7BPBUa7YjGIDMWlWd"/>
    <m/>
    <m/>
    <m/>
    <m/>
    <x v="7"/>
    <n v="73.8"/>
    <n v="0"/>
    <n v="18"/>
    <n v="0"/>
    <n v="0"/>
    <x v="0"/>
    <x v="4"/>
    <e v="#NAME?"/>
  </r>
  <r>
    <d v="2026-05-07T21:42:05"/>
    <s v="oliveiraagm7@gmail.com"/>
    <x v="6"/>
    <s v="EUF3090"/>
    <x v="96"/>
    <x v="312"/>
    <s v="https://drive.google.com/open?id=1NBEVD7JH16IDXR6bXu2pfqZXGVW3cKs6"/>
    <x v="314"/>
    <s v="https://drive.google.com/open?id=1lvvrzFbEGtoNSOO__XaKsuosXZ_FMayS"/>
    <s v="Angeloni Lages, Stok Center Lages, Bistek Lages, Fort 260 Lages, Fort 960 Lages, Brasil Atacadista Lages, Atacadão Lages"/>
    <m/>
    <s v="Não"/>
    <m/>
    <m/>
    <m/>
    <m/>
    <m/>
    <m/>
    <m/>
    <m/>
    <x v="185"/>
    <n v="276.75"/>
    <n v="0"/>
    <n v="0"/>
    <n v="0"/>
    <n v="0"/>
    <x v="0"/>
    <x v="4"/>
    <e v="#NAME?"/>
  </r>
  <r>
    <d v="2026-05-07T17:57:33"/>
    <s v="matheus.moraes@mazzini.com.br"/>
    <x v="8"/>
    <s v="QIL7H04"/>
    <x v="96"/>
    <x v="313"/>
    <s v="https://drive.google.com/open?id=1vL--vnpAYT3cr5YxKBlNQOADUoYd-VXR"/>
    <x v="315"/>
    <s v="https://drive.google.com/open?id=1V-RB9xZB_UIPNkBnVK0rT3qq0S3VDFuC"/>
    <s v="Brasil Atacadista Blumenau - Cooper Filial Blumenau Vorstadt - Zeus - Cooper Garcia Florianopolis Sc"/>
    <n v="4"/>
    <s v="Não"/>
    <m/>
    <m/>
    <m/>
    <m/>
    <m/>
    <m/>
    <m/>
    <m/>
    <x v="169"/>
    <n v="158.66999999999999"/>
    <n v="0"/>
    <n v="0"/>
    <n v="0"/>
    <n v="0"/>
    <x v="0"/>
    <x v="4"/>
    <e v="#NAME?"/>
  </r>
  <r>
    <d v="2026-05-16T12:38:37"/>
    <s v="lombardi2025@gmail.com"/>
    <x v="4"/>
    <s v="OWA4C07"/>
    <x v="96"/>
    <x v="314"/>
    <s v="https://drive.google.com/open?id=1RBwG02N52uegnQ7z2jvMe5DRvaC7m6JC"/>
    <x v="316"/>
    <s v="https://drive.google.com/open?id=1iouB6-whVlMon7qZ8qCdSZCtcA5ewizl"/>
    <s v="RIO NEGRINHO E SÃO BENTO"/>
    <m/>
    <s v="Não"/>
    <m/>
    <m/>
    <m/>
    <m/>
    <m/>
    <m/>
    <m/>
    <m/>
    <x v="60"/>
    <n v="252.15"/>
    <n v="0"/>
    <n v="0"/>
    <n v="0"/>
    <n v="0"/>
    <x v="0"/>
    <x v="4"/>
    <e v="#NAME?"/>
  </r>
  <r>
    <d v="2026-05-15T11:45:41"/>
    <s v="sabrina.pires@mazzini.com.br"/>
    <x v="2"/>
    <s v="AZC9E32"/>
    <x v="96"/>
    <x v="315"/>
    <m/>
    <x v="317"/>
    <m/>
    <s v="Fort kobrasol _x000a_Fort 306 _x000a_Fort 365"/>
    <m/>
    <s v="Não"/>
    <m/>
    <m/>
    <m/>
    <m/>
    <m/>
    <m/>
    <m/>
    <m/>
    <x v="26"/>
    <n v="49.2"/>
    <n v="0"/>
    <n v="0"/>
    <n v="0"/>
    <n v="0"/>
    <x v="0"/>
    <x v="4"/>
    <e v="#NAME?"/>
  </r>
  <r>
    <d v="2026-05-11T16:52:28"/>
    <s v="aline.moreira@mazzini.com.br"/>
    <x v="10"/>
    <s v="MHV7D46"/>
    <x v="97"/>
    <x v="316"/>
    <m/>
    <x v="318"/>
    <m/>
    <s v="Rancho bom vieiras, rancho bom amizade, rancho bom barra, rancho Jaraguá esquerdo"/>
    <m/>
    <s v="Não"/>
    <m/>
    <m/>
    <m/>
    <m/>
    <m/>
    <m/>
    <m/>
    <m/>
    <x v="90"/>
    <n v="55.35"/>
    <n v="0"/>
    <n v="0"/>
    <n v="0"/>
    <n v="0"/>
    <x v="0"/>
    <x v="4"/>
    <e v="#NAME?"/>
  </r>
  <r>
    <d v="2026-05-18T08:35:21"/>
    <s v="martinsneto047@gmail.com"/>
    <x v="9"/>
    <s v="IUT1C03"/>
    <x v="97"/>
    <x v="317"/>
    <m/>
    <x v="319"/>
    <m/>
    <s v="Comper Camboriú e Carrefour"/>
    <m/>
    <s v="Não"/>
    <m/>
    <m/>
    <m/>
    <m/>
    <m/>
    <m/>
    <m/>
    <m/>
    <x v="110"/>
    <n v="91.02"/>
    <n v="0"/>
    <n v="0"/>
    <n v="0"/>
    <n v="0"/>
    <x v="0"/>
    <x v="4"/>
    <e v="#NAME?"/>
  </r>
  <r>
    <d v="2026-05-11T08:22:38"/>
    <s v="matheus.moraes@mazzini.com.br"/>
    <x v="8"/>
    <s v="QIL7H04"/>
    <x v="97"/>
    <x v="318"/>
    <s v="https://drive.google.com/open?id=1l2w_IVv39Pj4TKBU-EPRUQpGFWNrK9P_"/>
    <x v="320"/>
    <s v="https://drive.google.com/open?id=1xw4SuTEYUZklJAR5M68Won5Bmhs4lZ0C"/>
    <s v="cooper itoupava central, bisteck park europeu, koch 89, komprão 40 e top general osorio"/>
    <m/>
    <s v="Sim"/>
    <m/>
    <m/>
    <m/>
    <m/>
    <s v="16.00"/>
    <s v="https://drive.google.com/open?id=15F16cZdLXt1gSflxmpVHgLsGpNnnTDwu, https://drive.google.com/open?id=1UF1prBeM3rBL2CA6Zrk-kdOtwviFjHLW"/>
    <m/>
    <s v="o local não fazia nota"/>
    <x v="186"/>
    <n v="121.77"/>
    <n v="0"/>
    <n v="0"/>
    <n v="16"/>
    <n v="0"/>
    <x v="0"/>
    <x v="4"/>
    <e v="#NAME?"/>
  </r>
  <r>
    <d v="2026-05-08T17:55:46"/>
    <s v="sabrina.pires@mazzini.com.br"/>
    <x v="2"/>
    <s v="Azc9232"/>
    <x v="97"/>
    <x v="319"/>
    <m/>
    <x v="321"/>
    <m/>
    <s v="Komprao forquilinhas _x000a_Komprao pedra branca _x000a_Komprao ponte do imaruim"/>
    <m/>
    <s v="Não"/>
    <m/>
    <m/>
    <m/>
    <m/>
    <m/>
    <m/>
    <m/>
    <m/>
    <x v="157"/>
    <n v="67.650000000000006"/>
    <n v="0"/>
    <n v="0"/>
    <n v="0"/>
    <n v="0"/>
    <x v="0"/>
    <x v="4"/>
    <e v="#NAME?"/>
  </r>
  <r>
    <d v="2026-05-17T20:47:18"/>
    <s v="aline.moreira@mazzini.com.br"/>
    <x v="10"/>
    <s v="MHV7D46"/>
    <x v="98"/>
    <x v="320"/>
    <m/>
    <x v="322"/>
    <m/>
    <s v="Cooper atacarejo figueira Komprao 77, Fort 905, Fort 250,"/>
    <m/>
    <s v="Não"/>
    <m/>
    <m/>
    <m/>
    <m/>
    <m/>
    <m/>
    <m/>
    <m/>
    <x v="123"/>
    <n v="142.68"/>
    <n v="0"/>
    <n v="0"/>
    <n v="0"/>
    <n v="0"/>
    <x v="0"/>
    <x v="4"/>
    <e v="#NAME?"/>
  </r>
  <r>
    <d v="2026-05-11T09:32:21"/>
    <s v="carlos.proenca@mazzini.com.br"/>
    <x v="11"/>
    <s v="UAB1D19"/>
    <x v="98"/>
    <x v="321"/>
    <s v="https://drive.google.com/open?id=19f0vwas6aYJOjM38WQJymYYBK2dZYLAu"/>
    <x v="323"/>
    <s v="https://drive.google.com/open?id=1_PYZb013Gfell21lOBCmpmNhvZfvVkHD"/>
    <s v="FORT ATACADISTA TUBARAO,COMBO IÇARA, ATACADAO CRICIUMA, SUPERMERCADO MANENTTI CRICIUMA"/>
    <m/>
    <s v="Sim"/>
    <s v="23.40"/>
    <s v="https://drive.google.com/open?id=1wvofdvHs3VFRYhy7uEgZU_dgdzG64-GC, https://drive.google.com/open?id=1_qD736nVLzSX3x9N3NmhW68bHTfK4OTn, https://drive.google.com/open?id=1yQsx-p3sJhY-8H3a8OW_x-cBf5UmyLSe, https://drive.google.com/open?id=12hzc3fBP9GnmINTTIqoQ_L0qyOzebCH4, https://drive.google.com/open?id=12WieRyOVog6pHkckN2lM6yuRuJUeymxI"/>
    <m/>
    <m/>
    <m/>
    <m/>
    <m/>
    <s v="utilizando automovel HB20 reserva"/>
    <x v="187"/>
    <n v="425.58"/>
    <n v="23.4"/>
    <n v="0"/>
    <n v="0"/>
    <n v="0"/>
    <x v="0"/>
    <x v="4"/>
    <e v="#NAME?"/>
  </r>
  <r>
    <d v="2026-05-17T20:39:57"/>
    <s v="aline.moreira@mazzini.com.br"/>
    <x v="10"/>
    <s v="MHV7D46"/>
    <x v="99"/>
    <x v="322"/>
    <m/>
    <x v="324"/>
    <m/>
    <s v="Fort Tuiuti, Bistek, cooper aventureiro"/>
    <m/>
    <s v="Não"/>
    <m/>
    <m/>
    <m/>
    <m/>
    <m/>
    <m/>
    <m/>
    <m/>
    <x v="156"/>
    <n v="148.82999999999998"/>
    <n v="0"/>
    <n v="0"/>
    <n v="0"/>
    <n v="0"/>
    <x v="0"/>
    <x v="4"/>
    <e v="#NAME?"/>
  </r>
  <r>
    <d v="2026-05-12T06:28:22"/>
    <s v="matheus.moraes@mazzini.com.br"/>
    <x v="8"/>
    <s v="QIL7H04"/>
    <x v="99"/>
    <x v="323"/>
    <s v="https://drive.google.com/open?id=1Q4Az-NxgQyJyBHa9nB4lcbDpJb3lC8ty"/>
    <x v="325"/>
    <s v="https://drive.google.com/open?id=1MVk_MsiOiFHv8I7SAOjT_aJos1QB1wVd"/>
    <s v="TOP GENERAL OSORIO"/>
    <n v="40"/>
    <s v="Não"/>
    <m/>
    <m/>
    <m/>
    <m/>
    <m/>
    <m/>
    <m/>
    <m/>
    <x v="188"/>
    <n v="78.72"/>
    <n v="0"/>
    <n v="0"/>
    <n v="0"/>
    <n v="0"/>
    <x v="0"/>
    <x v="4"/>
    <e v="#NAME?"/>
  </r>
  <r>
    <d v="2026-05-13T11:17:09"/>
    <s v="carlos.proenca@mazzini.com.br"/>
    <x v="11"/>
    <s v="tch4e45"/>
    <x v="100"/>
    <x v="324"/>
    <s v="https://drive.google.com/open?id=1e4XuTqYTrVtOjhN9Y_iI81cw_mZUbIJS"/>
    <x v="326"/>
    <s v="https://drive.google.com/open?id=1ECJBM0WWxnn2xWhAZvE2mx70jWSgAsvk"/>
    <s v="mercado schimidt sao jose/GSR supervisor Anderson Simas"/>
    <m/>
    <s v="Não"/>
    <m/>
    <m/>
    <m/>
    <m/>
    <m/>
    <m/>
    <m/>
    <m/>
    <x v="164"/>
    <n v="36.9"/>
    <n v="0"/>
    <n v="0"/>
    <n v="0"/>
    <n v="0"/>
    <x v="0"/>
    <x v="4"/>
    <e v="#NAME?"/>
  </r>
  <r>
    <d v="2026-05-12T21:24:50"/>
    <s v="oliveiraagm7@gmail.com"/>
    <x v="6"/>
    <s v="EUF3090"/>
    <x v="100"/>
    <x v="325"/>
    <s v="https://drive.google.com/open?id=1wjod4dM_T8msuU-FmgTPv0tpnmeZ3zxv"/>
    <x v="327"/>
    <s v="https://drive.google.com/open?id=1wTO17BcJO3pGJppsIWeZRMJWK_C_S-9J"/>
    <s v="Atacadao Fernando Machado Chapecó, Atacadao av senador Chapecó, Fort Chapecó"/>
    <m/>
    <s v="Não"/>
    <m/>
    <m/>
    <m/>
    <m/>
    <m/>
    <m/>
    <m/>
    <m/>
    <x v="189"/>
    <n v="306.27"/>
    <n v="0"/>
    <n v="0"/>
    <n v="0"/>
    <n v="0"/>
    <x v="0"/>
    <x v="4"/>
    <e v="#NAME?"/>
  </r>
  <r>
    <d v="2026-05-18T08:47:57"/>
    <s v="martinsneto047@gmail.com"/>
    <x v="9"/>
    <s v="IUT1C03"/>
    <x v="100"/>
    <x v="326"/>
    <m/>
    <x v="328"/>
    <m/>
    <s v="Balneário Camboriú"/>
    <m/>
    <s v="Não"/>
    <m/>
    <m/>
    <m/>
    <m/>
    <m/>
    <m/>
    <m/>
    <m/>
    <x v="11"/>
    <n v="57.81"/>
    <n v="0"/>
    <n v="0"/>
    <n v="0"/>
    <n v="0"/>
    <x v="0"/>
    <x v="4"/>
    <e v="#NAME?"/>
  </r>
  <r>
    <d v="2026-05-12T17:15:32"/>
    <s v="matheus.moraes@mazzini.com.br"/>
    <x v="8"/>
    <s v="QIL7H04"/>
    <x v="100"/>
    <x v="327"/>
    <s v="https://drive.google.com/open?id=17dxk6R4PHtGaOLE67BOxhhBV-2SrjiLK"/>
    <x v="329"/>
    <s v="https://drive.google.com/open?id=1jiXjEqQJh0WsKCI9C6Tg9R3OdDieWbdt"/>
    <s v="Top bela vista e atacadão blumenau"/>
    <n v="23"/>
    <s v="Não"/>
    <m/>
    <m/>
    <m/>
    <m/>
    <m/>
    <m/>
    <m/>
    <m/>
    <x v="146"/>
    <n v="120.53999999999999"/>
    <n v="0"/>
    <n v="0"/>
    <n v="0"/>
    <n v="0"/>
    <x v="0"/>
    <x v="4"/>
    <e v="#NAME?"/>
  </r>
  <r>
    <d v="2026-05-16T12:41:07"/>
    <s v="lombardi2025@gmail.com"/>
    <x v="4"/>
    <s v="OWA4C07"/>
    <x v="100"/>
    <x v="328"/>
    <s v="https://drive.google.com/open?id=10df8UHJk-dCDuWPGNCvi7rzRqiVF0bA7"/>
    <x v="330"/>
    <s v="https://drive.google.com/open?id=1gCRWICjO44IJO8zYEvxHsPBfiTH7p00W"/>
    <s v="ANGELONI,K59,SAMS,CONDOR 51,CONDOR 57"/>
    <m/>
    <s v="Não"/>
    <m/>
    <m/>
    <m/>
    <m/>
    <m/>
    <m/>
    <m/>
    <m/>
    <x v="85"/>
    <n v="109.47"/>
    <n v="0"/>
    <n v="0"/>
    <n v="0"/>
    <n v="0"/>
    <x v="0"/>
    <x v="4"/>
    <e v="#NAME?"/>
  </r>
  <r>
    <d v="2026-05-15T11:33:28"/>
    <s v="sabrina.pires@mazzini.com.br"/>
    <x v="2"/>
    <s v="AZC9E32"/>
    <x v="100"/>
    <x v="329"/>
    <m/>
    <x v="331"/>
    <m/>
    <s v="Fort kobrasol _x000a_Fort 306_x000a_Fort 290_x000a_Koch biguaçu _x000a_Fort 365_x000a_"/>
    <m/>
    <s v="Não"/>
    <m/>
    <m/>
    <m/>
    <m/>
    <m/>
    <m/>
    <m/>
    <m/>
    <x v="2"/>
    <n v="95.94"/>
    <n v="0"/>
    <n v="0"/>
    <n v="0"/>
    <n v="0"/>
    <x v="0"/>
    <x v="4"/>
    <e v="#NAME?"/>
  </r>
  <r>
    <d v="2026-05-14T18:06:54"/>
    <s v="aline.moreira@mazzini.com.br"/>
    <x v="10"/>
    <s v="MHV7D46"/>
    <x v="101"/>
    <x v="330"/>
    <m/>
    <x v="332"/>
    <m/>
    <s v="Fort 905, komprao 77, komprao 51, cooper Guaramirim, komprao Guaramirim, rancho bom vieiras, cooper figueira"/>
    <m/>
    <s v="Não"/>
    <m/>
    <m/>
    <m/>
    <m/>
    <m/>
    <m/>
    <m/>
    <m/>
    <x v="21"/>
    <n v="152.52000000000001"/>
    <n v="0"/>
    <n v="0"/>
    <n v="0"/>
    <n v="0"/>
    <x v="0"/>
    <x v="4"/>
    <e v="#NAME?"/>
  </r>
  <r>
    <d v="2026-05-13T12:06:46"/>
    <s v="oliveiraagm7@gmail.com"/>
    <x v="6"/>
    <s v="EUF3090"/>
    <x v="101"/>
    <x v="331"/>
    <s v="https://drive.google.com/open?id=1BsuNYqPeAOGZwNOtJL7JDcLC2-7X3pfs"/>
    <x v="333"/>
    <s v="https://drive.google.com/open?id=1nWnq1pzrS036-E1-2RkdqSY1PJ4UYKOA"/>
    <s v="Retorno setor de viagem"/>
    <m/>
    <s v="Não"/>
    <m/>
    <m/>
    <m/>
    <m/>
    <m/>
    <m/>
    <m/>
    <m/>
    <x v="189"/>
    <n v="306.27"/>
    <n v="0"/>
    <n v="0"/>
    <n v="0"/>
    <n v="0"/>
    <x v="0"/>
    <x v="4"/>
    <e v="#NAME?"/>
  </r>
  <r>
    <d v="2026-05-18T08:49:06"/>
    <s v="martinsneto047@gmail.com"/>
    <x v="9"/>
    <s v="IUT1C03"/>
    <x v="101"/>
    <x v="332"/>
    <m/>
    <x v="334"/>
    <m/>
    <s v="Rota em porto belo"/>
    <m/>
    <s v="Não"/>
    <m/>
    <m/>
    <m/>
    <m/>
    <m/>
    <m/>
    <m/>
    <m/>
    <x v="166"/>
    <n v="65.19"/>
    <n v="0"/>
    <n v="0"/>
    <n v="0"/>
    <n v="0"/>
    <x v="0"/>
    <x v="4"/>
    <e v="#NAME?"/>
  </r>
  <r>
    <d v="2026-05-14T15:56:14"/>
    <s v="matheus.moraes@mazzini.com.br"/>
    <x v="8"/>
    <s v="QIL7H04"/>
    <x v="101"/>
    <x v="333"/>
    <s v="https://drive.google.com/open?id=1-af5eBkbllolhEVrWo6P73KnL1Mag_m-"/>
    <x v="335"/>
    <s v="https://drive.google.com/open?id=12remu_h4QBqWGfNGDGh7iJjsXCOk5awN"/>
    <s v="Brasil atacadista, bisteck park europeu, cooper general, cooper ominio, cooper mafisa"/>
    <n v="52"/>
    <s v="Não"/>
    <m/>
    <m/>
    <m/>
    <m/>
    <m/>
    <m/>
    <m/>
    <m/>
    <x v="29"/>
    <n v="127.92"/>
    <n v="0"/>
    <n v="0"/>
    <n v="0"/>
    <n v="0"/>
    <x v="0"/>
    <x v="4"/>
    <e v="#NAME?"/>
  </r>
  <r>
    <d v="2026-05-15T11:38:02"/>
    <s v="sabrina.pires@mazzini.com.br"/>
    <x v="2"/>
    <s v="AZC9E32"/>
    <x v="101"/>
    <x v="334"/>
    <m/>
    <x v="336"/>
    <m/>
    <s v="Bisteck av das torres _x000a_Komprao real parque_x000a_Komprao bom viver _x000a_Brasil atacadista Ipiranga"/>
    <m/>
    <s v="Não"/>
    <m/>
    <m/>
    <m/>
    <m/>
    <m/>
    <m/>
    <m/>
    <m/>
    <x v="4"/>
    <n v="61.5"/>
    <n v="0"/>
    <n v="0"/>
    <n v="0"/>
    <n v="0"/>
    <x v="0"/>
    <x v="4"/>
    <e v="#NAME?"/>
  </r>
  <r>
    <d v="2026-05-17T20:36:56"/>
    <s v="aline.moreira@mazzini.com.br"/>
    <x v="10"/>
    <s v="MHV7D46"/>
    <x v="102"/>
    <x v="335"/>
    <m/>
    <x v="337"/>
    <m/>
    <s v="Komprao 77, Fort 905, komprao 51,"/>
    <m/>
    <s v="Não"/>
    <m/>
    <m/>
    <m/>
    <m/>
    <m/>
    <m/>
    <m/>
    <m/>
    <x v="126"/>
    <n v="161.13"/>
    <n v="0"/>
    <n v="0"/>
    <n v="0"/>
    <n v="0"/>
    <x v="0"/>
    <x v="4"/>
    <e v="#NAME?"/>
  </r>
  <r>
    <d v="2026-05-18T08:50:56"/>
    <s v="martinsneto047@gmail.com"/>
    <x v="9"/>
    <s v="IUT1C03"/>
    <x v="102"/>
    <x v="336"/>
    <m/>
    <x v="338"/>
    <m/>
    <s v="Rota Itapema"/>
    <m/>
    <s v="Não"/>
    <m/>
    <m/>
    <m/>
    <m/>
    <m/>
    <m/>
    <m/>
    <m/>
    <x v="111"/>
    <n v="34.44"/>
    <n v="0"/>
    <n v="0"/>
    <n v="0"/>
    <n v="0"/>
    <x v="0"/>
    <x v="4"/>
    <e v="#NAME?"/>
  </r>
  <r>
    <d v="2026-05-16T08:13:43"/>
    <s v="matheus.moraes@mazzini.com.br"/>
    <x v="8"/>
    <s v="QIL7H04"/>
    <x v="102"/>
    <x v="337"/>
    <s v="https://drive.google.com/open?id=16yOBUSARHQ8npgMP1uy1AFBxw5fe-ksx"/>
    <x v="339"/>
    <s v="https://drive.google.com/open?id=1Ksn3K9OOsmFsAKwNMDHRJjyjYCNNF-2M"/>
    <s v="Super A, Zeus e top gustavo"/>
    <n v="100"/>
    <s v="Não"/>
    <m/>
    <m/>
    <m/>
    <m/>
    <m/>
    <m/>
    <m/>
    <m/>
    <x v="146"/>
    <n v="120.53999999999999"/>
    <n v="0"/>
    <n v="0"/>
    <n v="0"/>
    <n v="0"/>
    <x v="0"/>
    <x v="4"/>
    <e v="#NAME?"/>
  </r>
  <r>
    <d v="2026-05-15T11:41:46"/>
    <s v="sabrina.pires@mazzini.com.br"/>
    <x v="2"/>
    <s v="AZC9E32"/>
    <x v="102"/>
    <x v="338"/>
    <m/>
    <x v="340"/>
    <m/>
    <s v="Komprao pedra branca _x000a_Komprao ponte do imaruim _x000a_Imperatriz ponte do imaruim _x000a_Fort 462_x000a_Fort 130"/>
    <m/>
    <s v="Não"/>
    <m/>
    <m/>
    <m/>
    <m/>
    <m/>
    <m/>
    <m/>
    <m/>
    <x v="111"/>
    <n v="34.44"/>
    <n v="0"/>
    <n v="0"/>
    <n v="0"/>
    <n v="0"/>
    <x v="0"/>
    <x v="4"/>
    <e v="#NAME?"/>
  </r>
  <r>
    <d v="2026-05-17T20:22:26"/>
    <s v="aline.moreira@mazzini.com.br"/>
    <x v="10"/>
    <s v="MHV7D46"/>
    <x v="103"/>
    <x v="339"/>
    <m/>
    <x v="341"/>
    <m/>
    <s v="Komprao SFS, preceiro SFS, Angeloni SFS,kock SFS, Brasil atacadista 40"/>
    <m/>
    <s v="Não"/>
    <m/>
    <m/>
    <m/>
    <m/>
    <m/>
    <m/>
    <m/>
    <m/>
    <x v="190"/>
    <n v="207.87"/>
    <n v="0"/>
    <n v="0"/>
    <n v="0"/>
    <n v="0"/>
    <x v="0"/>
    <x v="4"/>
    <e v="#NAME?"/>
  </r>
  <r>
    <d v="2026-05-18T08:52:24"/>
    <s v="martinsneto047@gmail.com"/>
    <x v="9"/>
    <s v="IUT1C03"/>
    <x v="103"/>
    <x v="340"/>
    <m/>
    <x v="342"/>
    <m/>
    <s v="Roteiro em bombinhas"/>
    <m/>
    <s v="Não"/>
    <m/>
    <m/>
    <m/>
    <m/>
    <m/>
    <m/>
    <m/>
    <m/>
    <x v="157"/>
    <n v="67.650000000000006"/>
    <n v="0"/>
    <n v="0"/>
    <n v="0"/>
    <n v="0"/>
    <x v="0"/>
    <x v="4"/>
    <e v="#NAME?"/>
  </r>
  <r>
    <d v="2026-05-16T12:43:36"/>
    <s v="lombardi2025@gmail.com"/>
    <x v="4"/>
    <s v="OWA4C07"/>
    <x v="103"/>
    <x v="341"/>
    <s v="https://drive.google.com/open?id=1kJQ4wPfnvUvKud2QcDyPla_TiLc3Mo0U"/>
    <x v="343"/>
    <s v="https://drive.google.com/open?id=1uvXGlOu3vpj9ww0adM7W31S_AIoffwxO"/>
    <s v="MAFRA E RIO NEGRINHO"/>
    <m/>
    <s v="Não"/>
    <m/>
    <m/>
    <m/>
    <m/>
    <m/>
    <m/>
    <m/>
    <m/>
    <x v="125"/>
    <n v="423.12"/>
    <n v="0"/>
    <n v="0"/>
    <n v="0"/>
    <n v="0"/>
    <x v="0"/>
    <x v="4"/>
    <e v="#NAME?"/>
  </r>
  <r>
    <d v="2026-05-18T08:53:26"/>
    <s v="martinsneto047@gmail.com"/>
    <x v="9"/>
    <s v="IUT1C03"/>
    <x v="104"/>
    <x v="342"/>
    <m/>
    <x v="344"/>
    <m/>
    <s v="Balneario Camboriú rede Meschke, rota com bruno"/>
    <m/>
    <s v="Não"/>
    <m/>
    <m/>
    <m/>
    <m/>
    <m/>
    <m/>
    <m/>
    <m/>
    <x v="162"/>
    <n v="99.63"/>
    <n v="0"/>
    <n v="0"/>
    <n v="0"/>
    <n v="0"/>
    <x v="1"/>
    <x v="4"/>
    <e v="#NAME?"/>
  </r>
  <r>
    <d v="2026-05-25T11:26:08"/>
    <s v="contato.martinsneto@gmail.com"/>
    <x v="9"/>
    <s v="IUT1C03"/>
    <x v="105"/>
    <x v="343"/>
    <s v="https://drive.google.com/open?id=1RSbDv4ivy-zwUCVFPpAsTvCHQwTWs1Jf"/>
    <x v="345"/>
    <s v="https://drive.google.com/open?id=1eK56X_BPPKWqyRvYrOT2yXl1KA9ZmScH"/>
    <s v="porto belo e itapema"/>
    <m/>
    <s v="Não"/>
    <m/>
    <m/>
    <m/>
    <m/>
    <m/>
    <m/>
    <m/>
    <m/>
    <x v="186"/>
    <n v="121.77"/>
    <n v="0"/>
    <n v="0"/>
    <n v="0"/>
    <n v="0"/>
    <x v="1"/>
    <x v="4"/>
    <e v="#NAME?"/>
  </r>
  <r>
    <d v="2026-05-19T22:31:51"/>
    <s v="camila.althoff@mazzini.com.br"/>
    <x v="3"/>
    <s v="Mlz4j72"/>
    <x v="106"/>
    <x v="344"/>
    <s v="https://drive.google.com/open?id=1TYtmn7k3VTwRJ5hTp00y6klpXG0sQqch"/>
    <x v="346"/>
    <s v="https://drive.google.com/open?id=1gN0kblhVK2_q_-wKz18OD9awKZ4rGD-M"/>
    <s v="Angeloni capoeiras, Zeus brasil, wmw palhoça, imperatriz coqueiros recolher epi elchin"/>
    <m/>
    <s v="Não"/>
    <m/>
    <m/>
    <m/>
    <m/>
    <m/>
    <m/>
    <m/>
    <m/>
    <x v="145"/>
    <n v="63.96"/>
    <n v="0"/>
    <n v="0"/>
    <n v="0"/>
    <n v="0"/>
    <x v="1"/>
    <x v="4"/>
    <e v="#NAME?"/>
  </r>
  <r>
    <d v="2026-05-25T11:27:40"/>
    <s v="contato.martinsneto@gmail.com"/>
    <x v="9"/>
    <s v="IUT1C03"/>
    <x v="106"/>
    <x v="345"/>
    <s v="https://drive.google.com/open?id=11WMxBMuz8fRsXMeD1GQuTVdNEnlJd6N8"/>
    <x v="347"/>
    <s v="https://drive.google.com/open?id=1G03WTeiTwJuHPNBAi7gwvkSmXVu32VBu"/>
    <s v="BALNEARIO"/>
    <m/>
    <s v="Não"/>
    <m/>
    <m/>
    <m/>
    <m/>
    <m/>
    <m/>
    <m/>
    <m/>
    <x v="157"/>
    <n v="67.650000000000006"/>
    <n v="0"/>
    <n v="0"/>
    <n v="0"/>
    <n v="0"/>
    <x v="1"/>
    <x v="4"/>
    <e v="#NAME?"/>
  </r>
  <r>
    <d v="2026-05-19T17:37:12"/>
    <s v="matheus.moraes@mazzini.com.br"/>
    <x v="8"/>
    <s v="QIL7H04"/>
    <x v="106"/>
    <x v="346"/>
    <s v="https://drive.google.com/open?id=1tVtH7Enef6QakuRtwOoYY9TXWxSNIoKV"/>
    <x v="348"/>
    <s v="https://drive.google.com/open?id=1wIREohPAPRZbXeJskccaLca_MT1Y0Cm2"/>
    <s v="COOPER ITOUPAVA, CENTRAL 102, SUPER A E COOPER GEN OSORIO"/>
    <m/>
    <s v="Sim"/>
    <m/>
    <m/>
    <m/>
    <m/>
    <s v="5.70"/>
    <s v="https://drive.google.com/open?id=1w0bXeWyIYCLIHvgE3J29LN4Qhyc3haWQ"/>
    <m/>
    <m/>
    <x v="23"/>
    <n v="111.92999999999999"/>
    <n v="0"/>
    <n v="0"/>
    <n v="5.7"/>
    <n v="0"/>
    <x v="1"/>
    <x v="4"/>
    <e v="#NAME?"/>
  </r>
  <r>
    <d v="2026-05-30T00:32:16"/>
    <s v="lombardi2025@gmail.com"/>
    <x v="4"/>
    <s v="OWA4C07"/>
    <x v="106"/>
    <x v="347"/>
    <s v="https://drive.google.com/open?id=19cXBsD0o_A0JoBaU6aUZ2UtrG7hMB8tq"/>
    <x v="349"/>
    <s v="https://drive.google.com/open?id=15LVLe31BzvSSMyx4c832s85npWHy2XMt"/>
    <s v="K59,SAMS,CONDOR COMASA,CONDOR 51,CDD"/>
    <m/>
    <s v="Não"/>
    <m/>
    <m/>
    <m/>
    <m/>
    <m/>
    <m/>
    <m/>
    <m/>
    <x v="22"/>
    <n v="110.7"/>
    <n v="0"/>
    <n v="0"/>
    <n v="0"/>
    <n v="0"/>
    <x v="1"/>
    <x v="4"/>
    <e v="#NAME?"/>
  </r>
  <r>
    <d v="2026-05-31T19:13:15"/>
    <s v="sabrina.pires@mazzini.com.br"/>
    <x v="2"/>
    <s v="AZC9E32"/>
    <x v="106"/>
    <x v="348"/>
    <m/>
    <x v="350"/>
    <m/>
    <s v="Komprao real parque _x000a_Komprao bom viver _x000a_Komprao forquilinhas"/>
    <m/>
    <s v="Não"/>
    <m/>
    <m/>
    <m/>
    <m/>
    <m/>
    <m/>
    <m/>
    <m/>
    <x v="32"/>
    <n v="84.87"/>
    <n v="0"/>
    <n v="0"/>
    <n v="0"/>
    <n v="0"/>
    <x v="1"/>
    <x v="4"/>
    <e v="#NAME?"/>
  </r>
  <r>
    <d v="2026-05-20T21:01:59"/>
    <s v="camila.althoff@mazzini.com.br"/>
    <x v="3"/>
    <s v="Mlz4j72"/>
    <x v="107"/>
    <x v="349"/>
    <s v="https://drive.google.com/open?id=1lhglYaW8tjvcGC8ujrp86byuaRckV9kJ"/>
    <x v="351"/>
    <s v="https://drive.google.com/open?id=11vqFH88JWI4PZhi6meOewLKGlh0Dmex_"/>
    <s v="Carrefour, Fort campeche, imperatriz lagoa"/>
    <m/>
    <s v="Sim"/>
    <m/>
    <m/>
    <s v="20.00"/>
    <s v="https://drive.google.com/open?id=1oz5yLX3Ojm7yuY4W5H9fseBeMl0l_LQi"/>
    <m/>
    <m/>
    <m/>
    <m/>
    <x v="77"/>
    <n v="47.97"/>
    <n v="0"/>
    <n v="20"/>
    <n v="0"/>
    <n v="0"/>
    <x v="1"/>
    <x v="4"/>
    <e v="#NAME?"/>
  </r>
  <r>
    <d v="2026-05-30T00:34:39"/>
    <s v="lombardi2025@gmail.com"/>
    <x v="4"/>
    <s v="OWA4C07"/>
    <x v="107"/>
    <x v="350"/>
    <s v="https://drive.google.com/open?id=1CxSlNWWZhW2ZzgOGRlNY9oFH_EqdXpBh"/>
    <x v="352"/>
    <s v="https://drive.google.com/open?id=1S874AKmsPGPgO5U7Y-qje8velopfbEWe"/>
    <s v="BR ATACADISTA ,CONDOR 51,KOMPRAO"/>
    <m/>
    <s v="Não"/>
    <m/>
    <m/>
    <m/>
    <m/>
    <m/>
    <m/>
    <m/>
    <m/>
    <x v="4"/>
    <n v="61.5"/>
    <n v="0"/>
    <n v="0"/>
    <n v="0"/>
    <n v="0"/>
    <x v="1"/>
    <x v="4"/>
    <e v="#NAME?"/>
  </r>
  <r>
    <d v="2026-05-25T11:29:35"/>
    <s v="contato.martinsneto@gmail.com"/>
    <x v="9"/>
    <s v="IUT1C03"/>
    <x v="108"/>
    <x v="351"/>
    <s v="https://drive.google.com/open?id=1I7QqW4I4GhY8kctY3J6P62OjBuLaLrS9"/>
    <x v="353"/>
    <s v="https://drive.google.com/open?id=1Ccx_ohoTntBb526H8jcua3kMLQw2EuRw"/>
    <s v="ITAJAI"/>
    <m/>
    <s v="Não"/>
    <m/>
    <m/>
    <m/>
    <m/>
    <m/>
    <m/>
    <m/>
    <m/>
    <x v="6"/>
    <n v="100.86"/>
    <n v="0"/>
    <n v="0"/>
    <n v="0"/>
    <n v="0"/>
    <x v="1"/>
    <x v="4"/>
    <e v="#NAME?"/>
  </r>
  <r>
    <d v="2026-05-21T18:54:33"/>
    <s v="matheus.moraes@mazzini.com.br"/>
    <x v="8"/>
    <s v="QIL7H04"/>
    <x v="108"/>
    <x v="352"/>
    <s v="https://drive.google.com/open?id=14a4G8yQYZk8gvQafKFXWwym7pcuTR7vv"/>
    <x v="354"/>
    <s v="https://drive.google.com/open?id=1S-0H8g1uER93jTNRzUSuCoVXdvkE0l83"/>
    <s v="rede top lontras e preceiro rodeio"/>
    <m/>
    <s v="Não"/>
    <m/>
    <m/>
    <m/>
    <m/>
    <m/>
    <m/>
    <m/>
    <m/>
    <x v="191"/>
    <n v="239.85"/>
    <n v="0"/>
    <n v="0"/>
    <n v="0"/>
    <n v="0"/>
    <x v="1"/>
    <x v="4"/>
    <e v="#NAME?"/>
  </r>
  <r>
    <d v="2026-05-31T19:17:47"/>
    <s v="sabrina.pires@mazzini.com.br"/>
    <x v="2"/>
    <s v="AZC9E32"/>
    <x v="108"/>
    <x v="353"/>
    <m/>
    <x v="355"/>
    <m/>
    <s v="Super A _x000a_Brasil sertão do imaruim _x000a_Fort 130"/>
    <m/>
    <s v="Não"/>
    <m/>
    <m/>
    <m/>
    <m/>
    <m/>
    <m/>
    <m/>
    <m/>
    <x v="145"/>
    <n v="63.96"/>
    <n v="0"/>
    <n v="0"/>
    <n v="0"/>
    <n v="0"/>
    <x v="1"/>
    <x v="4"/>
    <e v="#NAME?"/>
  </r>
  <r>
    <d v="2026-05-22T17:49:41"/>
    <s v="camila.althoff@mazzini.com.br"/>
    <x v="3"/>
    <s v="Mlz4j72"/>
    <x v="109"/>
    <x v="354"/>
    <s v="https://drive.google.com/open?id=1STo_2JuhUI5foIjI3zIIX-6AAbK7W-PD"/>
    <x v="356"/>
    <s v="https://drive.google.com/open?id=1UDpleaRGMtac9sr3vPac--sm0nIlkaY2"/>
    <s v="Carrefour, gsr com coordenadora, Komprao tijucas"/>
    <m/>
    <s v="Sim"/>
    <m/>
    <m/>
    <s v="20.00"/>
    <s v="https://drive.google.com/open?id=18ntHlRrCMfyHGCF-U471Yn3v6k4gHi8Q"/>
    <m/>
    <m/>
    <m/>
    <m/>
    <x v="79"/>
    <n v="196.8"/>
    <n v="0"/>
    <n v="20"/>
    <n v="0"/>
    <n v="0"/>
    <x v="1"/>
    <x v="4"/>
    <e v="#NAME?"/>
  </r>
  <r>
    <d v="2026-05-25T11:32:13"/>
    <s v="contato.martinsneto@gmail.com"/>
    <x v="9"/>
    <s v="IUT1C03"/>
    <x v="109"/>
    <x v="355"/>
    <s v="https://drive.google.com/open?id=1SdLUtb4rp9p0QmtRV1ja9maxT-wXz07q"/>
    <x v="357"/>
    <s v="https://drive.google.com/open?id=1Sb5ODLcXp5FHxbcPxILsfMgAj0ohXRLc"/>
    <s v="GSR SAIDDA, PORO BELO E TIJUCAS"/>
    <m/>
    <s v="Não"/>
    <m/>
    <m/>
    <m/>
    <m/>
    <m/>
    <m/>
    <m/>
    <m/>
    <x v="142"/>
    <n v="82.41"/>
    <n v="0"/>
    <n v="0"/>
    <n v="0"/>
    <n v="0"/>
    <x v="1"/>
    <x v="4"/>
    <e v="#NAME?"/>
  </r>
  <r>
    <d v="2026-05-30T00:36:39"/>
    <s v="lombardi2025@gmail.com"/>
    <x v="4"/>
    <s v="OWA4C07"/>
    <x v="109"/>
    <x v="356"/>
    <s v="https://drive.google.com/open?id=1hnelPQtXwjFxxg3wmi55q6Zrcan3Tvt-"/>
    <x v="358"/>
    <s v="https://drive.google.com/open?id=1ZZiz5gX5O0moqa4KunYd7Fi00Td4k3R_"/>
    <s v="CDD ,BR ATACADISTA,HIPER 740,HIPER MARECHAL"/>
    <m/>
    <s v="Não"/>
    <m/>
    <m/>
    <m/>
    <m/>
    <m/>
    <m/>
    <m/>
    <m/>
    <x v="180"/>
    <n v="92.25"/>
    <n v="0"/>
    <n v="0"/>
    <n v="0"/>
    <n v="0"/>
    <x v="1"/>
    <x v="4"/>
    <e v="#NAME?"/>
  </r>
  <r>
    <d v="2026-05-23T12:35:44"/>
    <s v="camila.althoff@mazzini.com.br"/>
    <x v="3"/>
    <s v="Mlz4j72"/>
    <x v="110"/>
    <x v="357"/>
    <s v="https://drive.google.com/open?id=1YkEEpN4fo7X4hPipsdTHeKV4rCtWdXUr"/>
    <x v="359"/>
    <s v="https://drive.google.com/open?id=1ANZJfr732iHqRkystk63VmBdTvPERjnX"/>
    <s v="Carrefour, Angeloni Trindade e Angeloni agronômica"/>
    <m/>
    <s v="Não"/>
    <m/>
    <m/>
    <m/>
    <m/>
    <m/>
    <m/>
    <m/>
    <m/>
    <x v="192"/>
    <n v="17.22"/>
    <n v="0"/>
    <n v="0"/>
    <n v="0"/>
    <n v="0"/>
    <x v="1"/>
    <x v="4"/>
    <e v="#NAME?"/>
  </r>
  <r>
    <d v="2026-05-26T17:54:29"/>
    <s v="camila.althoff@mazzini.com.br"/>
    <x v="3"/>
    <s v="Mlz4j72"/>
    <x v="111"/>
    <x v="358"/>
    <s v="https://drive.google.com/open?id=16XYyIsCnv1DJtPA9NLf7W1cNWpj0OZ0l"/>
    <x v="360"/>
    <s v="https://drive.google.com/open?id=1vnyJqD6E-UTRqOENta9lq7vrirsDvoN-"/>
    <s v="Fort 810, Fort vargem, kock"/>
    <m/>
    <s v="Não"/>
    <m/>
    <m/>
    <m/>
    <m/>
    <m/>
    <m/>
    <m/>
    <m/>
    <x v="148"/>
    <n v="77.489999999999995"/>
    <n v="0"/>
    <n v="0"/>
    <n v="0"/>
    <n v="0"/>
    <x v="1"/>
    <x v="4"/>
    <e v="#NAME?"/>
  </r>
  <r>
    <d v="2026-05-28T17:13:19"/>
    <s v="contato.martinsneto@gmail.com"/>
    <x v="9"/>
    <s v="IUT1C03"/>
    <x v="111"/>
    <x v="359"/>
    <s v="https://drive.google.com/open?id=1xTd-12IylLv0u-cC4JqEXJdMb3rsyDXt"/>
    <x v="361"/>
    <s v="https://drive.google.com/open?id=1Pkd2PfCSYZfiYzJPTsKXunPtaueOaClD"/>
    <s v="Komprão 55_x000a_Komprão 74 _x000a_Fort 225 _x000a_Fort 310 _x000a_Angeloni itajai _x000a_Bistek itajai _x000a_Fort lj 32 _x000a_Komprao 37 PB"/>
    <m/>
    <s v="Não"/>
    <m/>
    <m/>
    <m/>
    <m/>
    <m/>
    <m/>
    <m/>
    <m/>
    <x v="126"/>
    <n v="161.13"/>
    <n v="0"/>
    <n v="0"/>
    <n v="0"/>
    <n v="0"/>
    <x v="1"/>
    <x v="4"/>
    <e v="#NAME?"/>
  </r>
  <r>
    <d v="2026-05-27T09:26:46"/>
    <s v="matheus.moraes@mazzini.com.br"/>
    <x v="8"/>
    <s v="QIL7H04"/>
    <x v="111"/>
    <x v="360"/>
    <s v="https://drive.google.com/open?id=1z_YsftOU2WyyiEEH3DHEzxfGF5sQvRSj"/>
    <x v="362"/>
    <s v="https://drive.google.com/open?id=1MgVi72dNV2KsDJbQrOz5lct9robnQwGA"/>
    <s v="Cooper Gen. Osorio e Supermercados Central 103"/>
    <m/>
    <s v="Não"/>
    <m/>
    <m/>
    <m/>
    <m/>
    <m/>
    <m/>
    <m/>
    <m/>
    <x v="29"/>
    <n v="127.92"/>
    <n v="0"/>
    <n v="0"/>
    <n v="0"/>
    <n v="0"/>
    <x v="1"/>
    <x v="4"/>
    <e v="#NAME?"/>
  </r>
  <r>
    <d v="2026-05-30T00:39:26"/>
    <s v="lombardi2025@gmail.com"/>
    <x v="4"/>
    <s v="OWA4C07"/>
    <x v="111"/>
    <x v="361"/>
    <s v="https://drive.google.com/open?id=1-EKaR7tHZQ2PyfO2uMwQ2uG16OyNE7ld"/>
    <x v="363"/>
    <s v="https://drive.google.com/open?id=1tR8eW8cH1bYt3WZFyvW8nI7k8j8_zoC_"/>
    <s v="CDD,HIPER,CONDOR 51"/>
    <m/>
    <s v="Não"/>
    <m/>
    <m/>
    <m/>
    <m/>
    <m/>
    <m/>
    <m/>
    <m/>
    <x v="162"/>
    <n v="99.63"/>
    <n v="0"/>
    <n v="0"/>
    <n v="0"/>
    <n v="0"/>
    <x v="1"/>
    <x v="4"/>
    <e v="#NAME?"/>
  </r>
  <r>
    <d v="2026-05-31T19:23:09"/>
    <s v="sabrina.pires@mazzini.com.br"/>
    <x v="2"/>
    <s v="Azc9232"/>
    <x v="111"/>
    <x v="362"/>
    <m/>
    <x v="364"/>
    <m/>
    <s v="Komprao 24_x000a_Koch 01_x000a_Koch02_x000a_Komprao 53 _x000a_Koch 20"/>
    <m/>
    <s v="Não"/>
    <m/>
    <m/>
    <m/>
    <m/>
    <m/>
    <m/>
    <m/>
    <m/>
    <x v="175"/>
    <n v="182.04"/>
    <n v="0"/>
    <n v="0"/>
    <n v="0"/>
    <n v="0"/>
    <x v="1"/>
    <x v="4"/>
    <e v="#NAME?"/>
  </r>
  <r>
    <d v="2026-05-28T04:57:48"/>
    <s v="camila.althoff@mazzini.com.br"/>
    <x v="3"/>
    <s v="Mlz4j72"/>
    <x v="112"/>
    <x v="363"/>
    <s v="https://drive.google.com/open?id=17knNYXH3P3725eSa5-5EpjmgWFsN1hRo"/>
    <x v="365"/>
    <s v="https://drive.google.com/open?id=1TLs9FYYyPruiSxY8oU7yFrBFcnakChoS"/>
    <s v="Hiperselect, brasil atacadista, Fort campeche"/>
    <m/>
    <s v="Não"/>
    <m/>
    <m/>
    <m/>
    <m/>
    <m/>
    <m/>
    <m/>
    <m/>
    <x v="193"/>
    <n v="40.589999999999996"/>
    <n v="0"/>
    <n v="0"/>
    <n v="0"/>
    <n v="0"/>
    <x v="1"/>
    <x v="4"/>
    <e v="#NAME?"/>
  </r>
  <r>
    <d v="2026-05-28T09:52:26"/>
    <s v="oliveiraagm7@gmail.com"/>
    <x v="6"/>
    <s v="QUV8F59"/>
    <x v="112"/>
    <x v="364"/>
    <s v="https://drive.google.com/open?id=1kNNdNjrUPmhZ4ukfvkHUkblxBTSiO2x2"/>
    <x v="366"/>
    <s v="https://drive.google.com/open?id=1x34nFFN3ptmzoJFEDfSEeKRUv9oAP2mo"/>
    <s v="Deslocamento envios de Epi's"/>
    <m/>
    <s v="Não"/>
    <m/>
    <m/>
    <m/>
    <m/>
    <m/>
    <m/>
    <m/>
    <m/>
    <x v="27"/>
    <n v="76.260000000000005"/>
    <n v="0"/>
    <n v="0"/>
    <n v="0"/>
    <n v="0"/>
    <x v="1"/>
    <x v="4"/>
    <e v="#NAME?"/>
  </r>
  <r>
    <d v="2026-05-31T19:27:30"/>
    <s v="sabrina.pires@mazzini.com.br"/>
    <x v="2"/>
    <s v="AZC9E32"/>
    <x v="112"/>
    <x v="365"/>
    <m/>
    <x v="367"/>
    <m/>
    <s v="Fort 462_x000a_Fort 365_x000a_Fort 130"/>
    <m/>
    <s v="Não"/>
    <m/>
    <m/>
    <m/>
    <m/>
    <m/>
    <m/>
    <m/>
    <m/>
    <x v="59"/>
    <n v="28.29"/>
    <n v="0"/>
    <n v="0"/>
    <n v="0"/>
    <n v="0"/>
    <x v="1"/>
    <x v="4"/>
    <e v="#NAME?"/>
  </r>
  <r>
    <d v="2026-05-28T19:42:59"/>
    <s v="camila.althoff@mazzini.com.br"/>
    <x v="3"/>
    <s v="Mlz4j72"/>
    <x v="113"/>
    <x v="366"/>
    <s v="https://drive.google.com/open?id=159eNz5vbBAv-QDNUqvmzocUpLI3c27V9"/>
    <x v="368"/>
    <s v="https://drive.google.com/open?id=1IBJ823PfzING6dTVRhz1tidYyHNWEkp6"/>
    <s v="Imperatriz Coqueiros, Angeloni capoeiras, atacadão, sams , Fort 379"/>
    <m/>
    <s v="Não"/>
    <m/>
    <m/>
    <m/>
    <m/>
    <m/>
    <m/>
    <m/>
    <m/>
    <x v="1"/>
    <n v="44.28"/>
    <n v="0"/>
    <n v="0"/>
    <n v="0"/>
    <n v="0"/>
    <x v="1"/>
    <x v="4"/>
    <e v="#NAME?"/>
  </r>
  <r>
    <d v="2026-05-30T00:41:27"/>
    <s v="lombardi2025@gmail.com"/>
    <x v="4"/>
    <s v="OWA4C07"/>
    <x v="113"/>
    <x v="367"/>
    <s v="https://drive.google.com/open?id=1DuBwxJOii_ExN1RGDFTJormpqycm6Sr7"/>
    <x v="369"/>
    <s v="https://drive.google.com/open?id=1Df_UWPblz4cZ4BANEQO0C-voLDKIYhn8"/>
    <s v="KOMPRAO BARRA DO SUL,BARRA VELHA ,BR ATACADISTA"/>
    <m/>
    <s v="Não"/>
    <m/>
    <m/>
    <m/>
    <m/>
    <m/>
    <m/>
    <m/>
    <m/>
    <x v="176"/>
    <n v="201.72"/>
    <n v="0"/>
    <n v="0"/>
    <n v="0"/>
    <n v="0"/>
    <x v="1"/>
    <x v="4"/>
    <e v="#NAME?"/>
  </r>
  <r>
    <d v="2026-05-30T09:27:43"/>
    <s v="camila.althoff@mazzini.com.br"/>
    <x v="3"/>
    <s v="Mlz4j72"/>
    <x v="114"/>
    <x v="368"/>
    <s v="https://drive.google.com/open?id=1GCkGuZbt7dqqjIOiav-xK9UQ0mL5Tvlr"/>
    <x v="370"/>
    <s v="https://drive.google.com/open?id=1Exwa7fEfN_HCxdnitZzDeNI9pUXnLSml"/>
    <s v="Imperatriz estreito, Fort kobrasol, Angeloni beira mar"/>
    <m/>
    <s v="Não"/>
    <m/>
    <m/>
    <m/>
    <m/>
    <m/>
    <m/>
    <m/>
    <m/>
    <x v="15"/>
    <n v="54.12"/>
    <n v="0"/>
    <n v="0"/>
    <n v="0"/>
    <n v="0"/>
    <x v="1"/>
    <x v="4"/>
    <e v="#NAME?"/>
  </r>
  <r>
    <d v="2026-05-29T16:24:37"/>
    <s v="contato.martinsneto@gmail.com"/>
    <x v="9"/>
    <s v="IUT1C03"/>
    <x v="114"/>
    <x v="369"/>
    <s v="https://drive.google.com/open?id=1rY6k_EIEBXode-lB0HbLo38Vu6M_aTU8"/>
    <x v="371"/>
    <s v="https://drive.google.com/open?id=1kErK_ULPgEbfWZgo3LxhAZ-tiCZlN1Bn"/>
    <s v="for 190 komprao 69 comper itapema komprao 37"/>
    <m/>
    <s v="Não"/>
    <m/>
    <m/>
    <m/>
    <m/>
    <m/>
    <m/>
    <m/>
    <m/>
    <x v="131"/>
    <n v="94.71"/>
    <n v="0"/>
    <n v="0"/>
    <n v="0"/>
    <n v="0"/>
    <x v="1"/>
    <x v="4"/>
    <e v="#NAME?"/>
  </r>
  <r>
    <d v="2026-05-30T11:47:41"/>
    <s v="camila.althoff@mazzini.com.br"/>
    <x v="3"/>
    <s v="Mlz4j72"/>
    <x v="115"/>
    <x v="370"/>
    <m/>
    <x v="372"/>
    <m/>
    <s v="Parador da ilha, atacadão via expressa, santos forquilhinhas, mwm, imperatriz estreito"/>
    <m/>
    <s v="Não"/>
    <m/>
    <m/>
    <m/>
    <m/>
    <m/>
    <m/>
    <m/>
    <m/>
    <x v="194"/>
    <n v="150.06"/>
    <n v="0"/>
    <n v="0"/>
    <n v="0"/>
    <n v="0"/>
    <x v="1"/>
    <x v="4"/>
    <e v="#NAME?"/>
  </r>
  <r>
    <d v="2026-06-05T10:35:11"/>
    <s v="aline.moreira@mazzini.com.br"/>
    <x v="10"/>
    <s v="MHV7D46"/>
    <x v="116"/>
    <x v="371"/>
    <m/>
    <x v="373"/>
    <m/>
    <s v="Zeus, komprao 45, komprao 51, Bistek , Fort Tuiuti"/>
    <m/>
    <s v="Não"/>
    <m/>
    <m/>
    <m/>
    <m/>
    <m/>
    <m/>
    <m/>
    <m/>
    <x v="132"/>
    <n v="178.35"/>
    <n v="0"/>
    <n v="0"/>
    <n v="0"/>
    <n v="0"/>
    <x v="0"/>
    <x v="5"/>
    <e v="#NAME?"/>
  </r>
  <r>
    <d v="2026-06-01T17:51:37"/>
    <s v="camila.althoff@mazzini.com.br"/>
    <x v="3"/>
    <s v="Mlz4j72"/>
    <x v="116"/>
    <x v="372"/>
    <m/>
    <x v="374"/>
    <m/>
    <s v="Komprao Laguna, Fort tubarão, atacadão içara."/>
    <m/>
    <s v="Sim"/>
    <s v="23.40"/>
    <m/>
    <m/>
    <m/>
    <m/>
    <m/>
    <m/>
    <m/>
    <x v="195"/>
    <n v="499.38"/>
    <n v="23.4"/>
    <n v="0"/>
    <n v="0"/>
    <n v="0"/>
    <x v="0"/>
    <x v="5"/>
    <e v="#NAME?"/>
  </r>
  <r>
    <d v="2026-06-08T15:02:29"/>
    <s v="matheus.moraes@mazzini.com.br"/>
    <x v="8"/>
    <s v="QIL7H04"/>
    <x v="116"/>
    <x v="373"/>
    <s v="https://drive.google.com/open?id=18Rk4d3BcdXsrdg5GMCkLKiAVPP5sBUJr"/>
    <x v="375"/>
    <s v="https://drive.google.com/open?id=1XTg27yicXLj7EaZGQ_CO2eCFnzKAhRl8"/>
    <s v="Cooper Itoupava Norte, Cooper Filial vila nova, Cooper Itoupava, Komprão Timbo Lj34 e Supermercados Mocam 401"/>
    <m/>
    <s v="Não"/>
    <m/>
    <m/>
    <m/>
    <m/>
    <m/>
    <m/>
    <m/>
    <m/>
    <x v="196"/>
    <n v="154.97999999999999"/>
    <n v="0"/>
    <n v="0"/>
    <n v="0"/>
    <n v="0"/>
    <x v="0"/>
    <x v="5"/>
    <e v="#NAME?"/>
  </r>
  <r>
    <d v="2026-06-05T10:39:04"/>
    <s v="aline.moreira@mazzini.com.br"/>
    <x v="10"/>
    <s v="MHV7D46"/>
    <x v="117"/>
    <x v="374"/>
    <m/>
    <x v="376"/>
    <m/>
    <s v="Preceiro SFS, Comper 395, Koch SFS, Brasil atacadista boa vista"/>
    <m/>
    <s v="Não"/>
    <m/>
    <m/>
    <m/>
    <m/>
    <m/>
    <m/>
    <m/>
    <m/>
    <x v="197"/>
    <n v="243.54"/>
    <n v="0"/>
    <n v="0"/>
    <n v="0"/>
    <n v="0"/>
    <x v="0"/>
    <x v="5"/>
    <e v="#NAME?"/>
  </r>
  <r>
    <d v="2026-06-03T08:00:24"/>
    <s v="camila.althoff@mazzini.com.br"/>
    <x v="3"/>
    <s v="Mlz4j72"/>
    <x v="117"/>
    <x v="375"/>
    <s v="https://drive.google.com/open?id=1vDQDvxTgZRTXiUzvY78pCAK3Dlx_Lqkn"/>
    <x v="377"/>
    <s v="https://drive.google.com/open?id=1M8D1-n_B3tE9zFHRGSx4oh50jk44EZED"/>
    <s v="Carrefour, Angeloni Trindade, imperatriz lagoa"/>
    <m/>
    <s v="Não"/>
    <m/>
    <m/>
    <m/>
    <m/>
    <m/>
    <m/>
    <m/>
    <m/>
    <x v="150"/>
    <n v="24.6"/>
    <n v="0"/>
    <n v="0"/>
    <n v="0"/>
    <n v="0"/>
    <x v="0"/>
    <x v="5"/>
    <e v="#NAME?"/>
  </r>
  <r>
    <d v="2026-06-02T21:43:03"/>
    <s v="oliveiraagm7@gmail.com"/>
    <x v="6"/>
    <s v="EUF3090"/>
    <x v="117"/>
    <x v="376"/>
    <s v="https://drive.google.com/open?id=1j7v15ZXitoRrpjUkum_LCGWu8BvPMLGE"/>
    <x v="378"/>
    <s v="https://drive.google.com/open?id=1Kyh3L5G8NTW7MU2LWNgKb9KtqN232vO5"/>
    <s v="Brasil atacadista Rio do Sul, Fort Rio do sul"/>
    <m/>
    <s v="Não"/>
    <m/>
    <m/>
    <m/>
    <m/>
    <m/>
    <m/>
    <m/>
    <m/>
    <x v="198"/>
    <n v="469.86"/>
    <n v="0"/>
    <n v="0"/>
    <n v="0"/>
    <n v="0"/>
    <x v="0"/>
    <x v="5"/>
    <e v="#NAME?"/>
  </r>
  <r>
    <d v="2026-06-08T16:00:41"/>
    <s v="contato.martinsneto@gmail.com"/>
    <x v="9"/>
    <s v="IUT1C03"/>
    <x v="117"/>
    <x v="377"/>
    <s v="https://drive.google.com/open?id=1DXeYgmiJYL0_ETDw-MUUnNBaJhLFouCE"/>
    <x v="379"/>
    <s v="https://drive.google.com/open?id=1RPXNrwDG7qoYIYXwXIcJhVpYOkwOxsGe"/>
    <s v="Angeloni itajai _x000a_Fort 825 _x000a_Comper itapema _x000a_Komprão 37"/>
    <m/>
    <s v="Não"/>
    <m/>
    <m/>
    <m/>
    <m/>
    <m/>
    <m/>
    <m/>
    <m/>
    <x v="153"/>
    <n v="114.39"/>
    <n v="0"/>
    <n v="0"/>
    <n v="0"/>
    <n v="0"/>
    <x v="0"/>
    <x v="5"/>
    <e v="#NAME?"/>
  </r>
  <r>
    <d v="2026-06-15T22:20:47"/>
    <s v="lombardi2025@gmail.com"/>
    <x v="4"/>
    <s v="OWA4C07"/>
    <x v="117"/>
    <x v="378"/>
    <s v="https://drive.google.com/open?id=1i9KPTcr6XuOpl5kiX9xdXjzV5okAcHUH"/>
    <x v="380"/>
    <s v="https://drive.google.com/open?id=1F29mC4QKLTtVJpORTUo-ZQ7DgBLg0bOr"/>
    <s v="RIO NEGRINHO E JOINVILLE"/>
    <m/>
    <s v="Não"/>
    <m/>
    <m/>
    <m/>
    <m/>
    <m/>
    <m/>
    <m/>
    <m/>
    <x v="199"/>
    <n v="300.12"/>
    <n v="0"/>
    <n v="0"/>
    <n v="0"/>
    <n v="0"/>
    <x v="0"/>
    <x v="5"/>
    <e v="#NAME?"/>
  </r>
  <r>
    <d v="2026-06-15T21:22:03"/>
    <s v="sabrina.pires@mazzini.com.br"/>
    <x v="2"/>
    <s v="Azc9232"/>
    <x v="117"/>
    <x v="379"/>
    <m/>
    <x v="381"/>
    <m/>
    <s v="Fort 306_x000a_Fort 160 _x000a_Fort 290_x000a_Koch biguaçu"/>
    <m/>
    <s v="Não"/>
    <m/>
    <m/>
    <m/>
    <m/>
    <m/>
    <m/>
    <m/>
    <m/>
    <x v="22"/>
    <n v="110.7"/>
    <n v="0"/>
    <n v="0"/>
    <n v="0"/>
    <n v="0"/>
    <x v="0"/>
    <x v="5"/>
    <e v="#NAME?"/>
  </r>
  <r>
    <d v="2026-06-05T10:41:49"/>
    <s v="aline.moreira@mazzini.com.br"/>
    <x v="10"/>
    <s v="MHV7D46"/>
    <x v="118"/>
    <x v="380"/>
    <m/>
    <x v="382"/>
    <m/>
    <s v="Cooper Guaramirim, rancho bom Corupá"/>
    <m/>
    <s v="Não"/>
    <m/>
    <m/>
    <m/>
    <m/>
    <m/>
    <m/>
    <m/>
    <m/>
    <x v="27"/>
    <n v="76.260000000000005"/>
    <n v="0"/>
    <n v="0"/>
    <n v="0"/>
    <n v="0"/>
    <x v="0"/>
    <x v="5"/>
    <e v="#NAME?"/>
  </r>
  <r>
    <d v="2026-06-04T12:12:56"/>
    <s v="camila.althoff@mazzini.com.br"/>
    <x v="3"/>
    <s v="Mlz4j72"/>
    <x v="118"/>
    <x v="381"/>
    <s v="https://drive.google.com/open?id=1cEwI89ewEpMNRE0gJ9Zq6dzWpxpOvrSm"/>
    <x v="383"/>
    <s v="https://drive.google.com/open?id=1lUEy4GyozX3QIcmxl-kriMWZ2gSGCWYu"/>
    <s v="Manentti içara, atacadão içara"/>
    <m/>
    <s v="Sim"/>
    <s v="23.40"/>
    <s v="https://drive.google.com/open?id=1JJh2Mkmal7KWhNtJY-YMsS7Qu9bRCHRo"/>
    <m/>
    <m/>
    <m/>
    <m/>
    <m/>
    <m/>
    <x v="200"/>
    <n v="544.89"/>
    <n v="23.4"/>
    <n v="0"/>
    <n v="0"/>
    <n v="0"/>
    <x v="0"/>
    <x v="5"/>
    <e v="#NAME?"/>
  </r>
  <r>
    <d v="2026-06-08T15:08:50"/>
    <s v="matheus.moraes@mazzini.com.br"/>
    <x v="8"/>
    <s v="QIL7H04"/>
    <x v="118"/>
    <x v="382"/>
    <s v="https://drive.google.com/open?id=15L-jrNEKXO3RGjYLppq42SSR9TU1-7lH"/>
    <x v="384"/>
    <s v="https://drive.google.com/open?id=17IWFYtwVql54-svRxysRwDPx0o64odxU"/>
    <s v="Cooper Atacarejo, Fort Brusque, Arcker Lj7, Komprão Lj36, Arcker Gaspar"/>
    <m/>
    <s v="Não"/>
    <m/>
    <m/>
    <m/>
    <m/>
    <m/>
    <m/>
    <m/>
    <m/>
    <x v="201"/>
    <n v="246"/>
    <n v="0"/>
    <n v="0"/>
    <n v="0"/>
    <n v="0"/>
    <x v="0"/>
    <x v="5"/>
    <e v="#NAME?"/>
  </r>
  <r>
    <d v="2026-06-15T22:23:16"/>
    <s v="lombardi2025@gmail.com"/>
    <x v="4"/>
    <s v="OWA4C07"/>
    <x v="118"/>
    <x v="383"/>
    <s v="https://drive.google.com/open?id=1uZXKErd8GapmyHbOYxqE79IJPzKb8oq3"/>
    <x v="385"/>
    <s v="https://drive.google.com/open?id=1FSXi9m3wZNgh2bvkc9YFfd8e3kNSefEW"/>
    <s v="KOMPRAO BARRA DO SUL,KOMPRAO 92"/>
    <m/>
    <s v="Não"/>
    <m/>
    <m/>
    <m/>
    <m/>
    <m/>
    <m/>
    <m/>
    <m/>
    <x v="41"/>
    <n v="137.76"/>
    <n v="0"/>
    <n v="0"/>
    <n v="0"/>
    <n v="0"/>
    <x v="0"/>
    <x v="5"/>
    <e v="#NAME?"/>
  </r>
  <r>
    <d v="2026-06-15T21:28:47"/>
    <s v="sabrina.pires@mazzini.com.br"/>
    <x v="2"/>
    <s v="AZC9E32"/>
    <x v="118"/>
    <x v="384"/>
    <m/>
    <x v="386"/>
    <m/>
    <s v="Komprao bom viver_x000a_Komprao avenida das torres _x000a_Bisteck avenida das torres"/>
    <m/>
    <s v="Não"/>
    <m/>
    <m/>
    <m/>
    <m/>
    <m/>
    <m/>
    <m/>
    <m/>
    <x v="73"/>
    <n v="104.55"/>
    <n v="0"/>
    <n v="0"/>
    <n v="0"/>
    <n v="0"/>
    <x v="0"/>
    <x v="5"/>
    <e v="#NAME?"/>
  </r>
  <r>
    <d v="2026-06-15T21:41:53"/>
    <s v="sabrina.pires@mazzini.com.br"/>
    <x v="2"/>
    <s v="AZC9E32"/>
    <x v="119"/>
    <x v="385"/>
    <m/>
    <x v="387"/>
    <m/>
    <s v="Komprao 53 Tijucas _x000a_Komprao 20 Tijucas _x000a_Koch 2 Tijucas _x000a_Komprao 24 Tijucas _x000a_Fort barreiros"/>
    <m/>
    <s v="Não"/>
    <m/>
    <m/>
    <m/>
    <m/>
    <m/>
    <m/>
    <m/>
    <m/>
    <x v="202"/>
    <n v="135.30000000000001"/>
    <n v="0"/>
    <n v="0"/>
    <n v="0"/>
    <n v="0"/>
    <x v="0"/>
    <x v="5"/>
    <e v="#NAME?"/>
  </r>
  <r>
    <d v="2026-06-05T21:54:28"/>
    <s v="oliveiraagm7@gmail.com"/>
    <x v="6"/>
    <s v="EUF3090"/>
    <x v="120"/>
    <x v="386"/>
    <s v="https://drive.google.com/open?id=15hQGiB3xcy2jyHhcuaeP3G9YhSSI52Lw"/>
    <x v="388"/>
    <s v="https://drive.google.com/open?id=1dFlh56_1s3eTj_QqBfwXfnICzVy8OT2B"/>
    <s v="Fort 960 Lages, Stok Center Lages, Bistek Lages, Atacadao Lages, Brasil atacadista Lages"/>
    <m/>
    <s v="Não"/>
    <m/>
    <m/>
    <m/>
    <m/>
    <m/>
    <m/>
    <m/>
    <m/>
    <x v="57"/>
    <n v="266.90999999999997"/>
    <n v="0"/>
    <n v="0"/>
    <n v="0"/>
    <n v="0"/>
    <x v="0"/>
    <x v="5"/>
    <e v="#NAME?"/>
  </r>
  <r>
    <d v="2026-06-08T15:15:16"/>
    <s v="matheus.moraes@mazzini.com.br"/>
    <x v="8"/>
    <s v="QIL7H04"/>
    <x v="120"/>
    <x v="387"/>
    <s v="https://drive.google.com/open?id=1-30eNKx5c_uLvn6t-xKzUw1NH-5qBhA2"/>
    <x v="389"/>
    <s v="https://drive.google.com/open?id=1jug9FENALIgN5iQ8zINAAGbfBrZJ6aGX"/>
    <s v="Supermercados Nardelão 201, Fort Indaial Lj270, Komprão 49 Indaial Estados, Supermercados Mocam 402 e Komprao Timbo Lj34"/>
    <m/>
    <s v="Não"/>
    <m/>
    <m/>
    <m/>
    <m/>
    <m/>
    <m/>
    <m/>
    <m/>
    <x v="203"/>
    <n v="228.78"/>
    <n v="0"/>
    <n v="0"/>
    <n v="0"/>
    <n v="0"/>
    <x v="0"/>
    <x v="5"/>
    <e v="#NAME?"/>
  </r>
  <r>
    <d v="2026-06-15T21:45:36"/>
    <s v="sabrina.pires@mazzini.com.br"/>
    <x v="2"/>
    <s v="AZC9E32"/>
    <x v="120"/>
    <x v="388"/>
    <m/>
    <x v="390"/>
    <m/>
    <s v="Brasil atacadista central _x000a_Fort 462_x000a_Fort 130_x000a_Brasil atacadista Ipiranga"/>
    <m/>
    <s v="Não"/>
    <m/>
    <m/>
    <m/>
    <m/>
    <m/>
    <m/>
    <m/>
    <m/>
    <x v="25"/>
    <n v="86.1"/>
    <n v="0"/>
    <n v="0"/>
    <n v="0"/>
    <n v="0"/>
    <x v="0"/>
    <x v="5"/>
    <e v="#NAME?"/>
  </r>
  <r>
    <d v="2026-06-09T15:37:50"/>
    <s v="carlos.proenca@mazzini.com.br"/>
    <x v="11"/>
    <s v="tch4e45"/>
    <x v="121"/>
    <x v="389"/>
    <s v="https://drive.google.com/open?id=1F60UQWGNZiFSlakKpCjvYICmpcSbe88W"/>
    <x v="391"/>
    <s v="https://drive.google.com/open?id=1eYqNzT7MSYe-C8DCkzKavgWOSenD6TRW"/>
    <s v="brasil atacadista porto belo, Fort 190. koch 04,kock 06, koch 07,komprao 18,"/>
    <m/>
    <s v="Sim"/>
    <s v="10.40"/>
    <s v="https://drive.google.com/open?id=1zBrvGYp9DJEDdcWajrhOxzXQ-6NVGQr2, https://drive.google.com/open?id=18DDQt1VHBRWMkcHZaYpYQTKVIN_GsstX"/>
    <m/>
    <m/>
    <m/>
    <m/>
    <m/>
    <m/>
    <x v="78"/>
    <n v="223.85999999999999"/>
    <n v="10.4"/>
    <n v="0"/>
    <n v="0"/>
    <n v="0"/>
    <x v="0"/>
    <x v="5"/>
    <e v="#NAME?"/>
  </r>
  <r>
    <d v="2026-06-08T16:31:07"/>
    <s v="contato.martinsneto@gmail.com"/>
    <x v="9"/>
    <s v="IUT1C03"/>
    <x v="121"/>
    <x v="390"/>
    <s v="https://drive.google.com/open?id=1G-0P8SZhvuFpBR02IBXZT8qHaB4owwbI"/>
    <x v="392"/>
    <s v="https://drive.google.com/open?id=1CV8Xtl-4wpSlmGhd1erSX1dAijJ6LdtH"/>
    <s v="Fort 190 _x000a_Komprão 37 _x000a_Brasil Atacadista _x000a_koch 14 _x000a_koch 09"/>
    <m/>
    <s v="Não"/>
    <m/>
    <m/>
    <m/>
    <m/>
    <m/>
    <m/>
    <m/>
    <m/>
    <x v="204"/>
    <n v="13.53"/>
    <n v="0"/>
    <n v="0"/>
    <n v="0"/>
    <n v="0"/>
    <x v="0"/>
    <x v="5"/>
    <e v="#NAME?"/>
  </r>
  <r>
    <d v="2026-06-15T21:49:54"/>
    <s v="sabrina.pires@mazzini.com.br"/>
    <x v="2"/>
    <s v="AZC9E32"/>
    <x v="122"/>
    <x v="391"/>
    <m/>
    <x v="393"/>
    <m/>
    <s v="Komprao forquilhas _x000a_Brasil atacadista sertão do imaruim _x000a_Imperatriz ponte do imaruim _x000a_"/>
    <m/>
    <s v="Não"/>
    <m/>
    <m/>
    <m/>
    <m/>
    <m/>
    <m/>
    <m/>
    <m/>
    <x v="120"/>
    <n v="79.95"/>
    <n v="0"/>
    <n v="0"/>
    <n v="0"/>
    <n v="0"/>
    <x v="0"/>
    <x v="5"/>
    <e v="#NAME?"/>
  </r>
  <r>
    <d v="2026-06-15T22:07:10"/>
    <s v="sabrina.pires@mazzini.com.br"/>
    <x v="2"/>
    <s v="AZC9E32"/>
    <x v="122"/>
    <x v="392"/>
    <m/>
    <x v="394"/>
    <m/>
    <s v="Komprao pedra branca _x000a_Komprao ponte do imaruim _x000a_Imperatriz ponte do imaruim _x000a_Fort 306"/>
    <m/>
    <s v="Não"/>
    <m/>
    <m/>
    <m/>
    <m/>
    <m/>
    <m/>
    <m/>
    <m/>
    <x v="157"/>
    <n v="67.650000000000006"/>
    <n v="0"/>
    <n v="0"/>
    <n v="0"/>
    <n v="0"/>
    <x v="0"/>
    <x v="5"/>
    <e v="#NAME?"/>
  </r>
  <r>
    <d v="2026-06-10T21:00:04"/>
    <s v="camila.althoff@mazzini.com.br"/>
    <x v="3"/>
    <s v="Mlz4j72"/>
    <x v="123"/>
    <x v="393"/>
    <s v="https://drive.google.com/open?id=1epgCaIJ_WTO9C2j55RMIeQUV3dTT8XRY"/>
    <x v="395"/>
    <s v="https://drive.google.com/open?id=13roGGvhZy9yCPckgPF7FVHoMVdhbgWqA"/>
    <s v="Atacadão via expressa, super A, Carrefour"/>
    <m/>
    <s v="Não"/>
    <m/>
    <m/>
    <m/>
    <m/>
    <m/>
    <m/>
    <m/>
    <m/>
    <x v="205"/>
    <n v="59.04"/>
    <n v="0"/>
    <n v="0"/>
    <n v="0"/>
    <n v="0"/>
    <x v="0"/>
    <x v="5"/>
    <e v="#NAME?"/>
  </r>
  <r>
    <d v="2026-06-12T15:21:55"/>
    <s v="contato.martinsneto@gmail.com"/>
    <x v="9"/>
    <s v="iu1c03"/>
    <x v="123"/>
    <x v="394"/>
    <s v="https://drive.google.com/open?id=1bMwpZ-txX_uo5W7HQcjsSW80ZBZfaV3Y"/>
    <x v="396"/>
    <s v="https://drive.google.com/open?id=1wKejA32UK3DCcerCLFQ-jTckNtnTbL8Z"/>
    <s v="Carrefour Camboriu _x000a_Koch 09_x000a_Komprao 82_x000a_Komprão 18 _x000a_Komprão 37 _x000a_Komprão 69"/>
    <m/>
    <s v="Não"/>
    <m/>
    <m/>
    <m/>
    <m/>
    <m/>
    <m/>
    <m/>
    <m/>
    <x v="168"/>
    <n v="108.24"/>
    <n v="0"/>
    <n v="0"/>
    <n v="0"/>
    <n v="0"/>
    <x v="0"/>
    <x v="5"/>
    <e v="#NAME?"/>
  </r>
  <r>
    <d v="2026-06-12T15:51:00"/>
    <s v="matheus.moraes@mazzini.com.br"/>
    <x v="8"/>
    <s v="QIL7H04"/>
    <x v="123"/>
    <x v="395"/>
    <s v="https://drive.google.com/open?id=1cOhiyJAWyZC2zWsy5x6KREQGK4WPtOUJ"/>
    <x v="397"/>
    <s v="https://drive.google.com/open?id=1cvikV5s6vpBLsm9mpMM51AV56PNrkVjw"/>
    <s v="GIASSI, SUPER A, COOPER GARCIA, COOPER VILA NOVA, KOMPRÃO 40, ATACADÃO BNU"/>
    <m/>
    <s v="Sim"/>
    <m/>
    <m/>
    <n v="15"/>
    <s v="https://drive.google.com/open?id=1lgnlsE-QM0IIeWtZvGrtCH-xYYotaDp8"/>
    <m/>
    <m/>
    <m/>
    <m/>
    <x v="152"/>
    <n v="143.91"/>
    <n v="0"/>
    <n v="15"/>
    <n v="0"/>
    <n v="0"/>
    <x v="0"/>
    <x v="5"/>
    <e v="#NAME?"/>
  </r>
  <r>
    <d v="2026-06-15T22:25:29"/>
    <s v="lombardi2025@gmail.com"/>
    <x v="4"/>
    <s v="OWA4C07"/>
    <x v="123"/>
    <x v="396"/>
    <s v="https://drive.google.com/open?id=12V_c3XIVsFt__xVIBY2_kjvXRtt1CY52"/>
    <x v="398"/>
    <s v="https://drive.google.com/open?id=1pr14aFEi2Y5JuDw2xw296GUTDWRPMzBY"/>
    <s v="KOMPRAO 59,HIPERMAIS,BR ATACADISTA,CONDOR ,KOMPRAO 92,COOPER"/>
    <m/>
    <s v="Não"/>
    <m/>
    <m/>
    <m/>
    <m/>
    <m/>
    <m/>
    <m/>
    <m/>
    <x v="82"/>
    <n v="119.31"/>
    <n v="0"/>
    <n v="0"/>
    <n v="0"/>
    <n v="0"/>
    <x v="0"/>
    <x v="5"/>
    <e v="#NAME?"/>
  </r>
  <r>
    <d v="2026-06-15T22:09:41"/>
    <s v="sabrina.pires@mazzini.com.br"/>
    <x v="2"/>
    <s v="AZC9E32"/>
    <x v="123"/>
    <x v="397"/>
    <m/>
    <x v="399"/>
    <m/>
    <s v="Fort 306_x000a_Fort 160_x000a_Atacadao biguaçu _x000a_Super A"/>
    <m/>
    <s v="Não"/>
    <m/>
    <m/>
    <m/>
    <m/>
    <m/>
    <m/>
    <m/>
    <m/>
    <x v="7"/>
    <n v="73.8"/>
    <n v="0"/>
    <n v="0"/>
    <n v="0"/>
    <n v="0"/>
    <x v="0"/>
    <x v="5"/>
    <e v="#NAME?"/>
  </r>
  <r>
    <d v="2026-06-13T12:43:30"/>
    <s v="brenon_lks@hotmail.com"/>
    <x v="12"/>
    <s v="FTF5H43"/>
    <x v="124"/>
    <x v="398"/>
    <s v="https://drive.google.com/open?id=1PRZFwP0os7N_yE_AyMwppv-psr073CrQ"/>
    <x v="400"/>
    <s v="https://drive.google.com/open?id=1s2CXUxjRucytwIuwJRvBWB227V46yrtv"/>
    <s v="CDD FLORIPA"/>
    <m/>
    <s v="Não"/>
    <m/>
    <m/>
    <m/>
    <m/>
    <m/>
    <m/>
    <m/>
    <m/>
    <x v="206"/>
    <n v="448.95"/>
    <n v="0"/>
    <n v="0"/>
    <n v="0"/>
    <n v="0"/>
    <x v="0"/>
    <x v="5"/>
    <e v="#NAME?"/>
  </r>
  <r>
    <d v="2026-06-11T21:51:13"/>
    <s v="camila.althoff@mazzini.com.br"/>
    <x v="3"/>
    <s v="Mlz4j72"/>
    <x v="124"/>
    <x v="399"/>
    <s v="https://drive.google.com/open?id=12p_EM8p320QZRS6_HKwgAVM7Zw6z0pty"/>
    <x v="401"/>
    <s v="https://drive.google.com/open?id=1f-RxHh8u8Fqcceb6acvy6cWmUBZ40I-7"/>
    <s v="Angeloni beira mar, AmBev, gsr"/>
    <m/>
    <s v="Não"/>
    <m/>
    <m/>
    <m/>
    <m/>
    <m/>
    <m/>
    <m/>
    <m/>
    <x v="62"/>
    <n v="72.569999999999993"/>
    <n v="0"/>
    <n v="0"/>
    <n v="0"/>
    <n v="0"/>
    <x v="0"/>
    <x v="5"/>
    <e v="#NAME?"/>
  </r>
  <r>
    <d v="2026-06-11T15:40:27"/>
    <s v="carlos.proenca@mazzini.com.br"/>
    <x v="11"/>
    <s v="tch4e45"/>
    <x v="124"/>
    <x v="400"/>
    <s v="https://drive.google.com/open?id=1TzCT1eanvF6o2DUWUBfIu2buWqnYF7Pa"/>
    <x v="402"/>
    <s v="https://drive.google.com/open?id=14EFKT90zQs2GSkQqgCnLAjamu1Hbj5nY"/>
    <s v="angeloni beira mar floripa, gsr supervisor ricardo, gsr supervisora camila, gsr coodenadora saidda e gsr tst carlos"/>
    <m/>
    <s v="Não"/>
    <m/>
    <m/>
    <m/>
    <m/>
    <m/>
    <m/>
    <m/>
    <m/>
    <x v="149"/>
    <n v="83.64"/>
    <n v="0"/>
    <n v="0"/>
    <n v="0"/>
    <n v="0"/>
    <x v="0"/>
    <x v="5"/>
    <e v="#NAME?"/>
  </r>
  <r>
    <d v="2026-06-12T15:23:28"/>
    <s v="contato.martinsneto@gmail.com"/>
    <x v="9"/>
    <s v="IUT1C03"/>
    <x v="124"/>
    <x v="401"/>
    <s v="https://drive.google.com/open?id=1bXLHY3pcLOEG0AaxmR1RaP5HIeO4zCsC"/>
    <x v="403"/>
    <s v="https://drive.google.com/open?id=165_4GZKk7s92MQMIfe-C7wMOuyFcuayZ"/>
    <s v="Carrefour _x000a_Scarlett _x000a_Komprão 55 _x000a_Meschke Atacadista"/>
    <m/>
    <s v="Não"/>
    <m/>
    <m/>
    <m/>
    <m/>
    <m/>
    <m/>
    <m/>
    <m/>
    <x v="62"/>
    <n v="72.569999999999993"/>
    <n v="0"/>
    <n v="0"/>
    <n v="0"/>
    <n v="0"/>
    <x v="0"/>
    <x v="5"/>
    <e v="#NAME?"/>
  </r>
  <r>
    <d v="2026-06-12T15:55:19"/>
    <s v="matheus.moraes@mazzini.com.br"/>
    <x v="8"/>
    <s v="QIL7H04"/>
    <x v="124"/>
    <x v="402"/>
    <s v="https://drive.google.com/open?id=1cfa4sZtNLuRC9Yt2dqywt4oga507rkH3"/>
    <x v="404"/>
    <s v="https://drive.google.com/open?id=1opO84TpLRL4zap050AF5DikwuS64YEZj"/>
    <s v="ARCHER 7"/>
    <n v="18"/>
    <s v="Não"/>
    <m/>
    <m/>
    <m/>
    <m/>
    <m/>
    <m/>
    <m/>
    <m/>
    <x v="28"/>
    <n v="134.07"/>
    <n v="0"/>
    <n v="0"/>
    <n v="0"/>
    <n v="0"/>
    <x v="0"/>
    <x v="5"/>
    <e v="#NAME?"/>
  </r>
  <r>
    <d v="2026-06-15T22:12:39"/>
    <s v="sabrina.pires@mazzini.com.br"/>
    <x v="2"/>
    <s v="AZC9E32"/>
    <x v="124"/>
    <x v="403"/>
    <m/>
    <x v="405"/>
    <m/>
    <s v="Fort 462_x000a_Komprao forquilhas_x000a_Brasil atacadista _x000a_Bisteck _x000a__x000a_"/>
    <m/>
    <s v="Não"/>
    <m/>
    <m/>
    <m/>
    <m/>
    <m/>
    <m/>
    <m/>
    <m/>
    <x v="180"/>
    <n v="92.25"/>
    <n v="0"/>
    <n v="0"/>
    <n v="0"/>
    <n v="0"/>
    <x v="0"/>
    <x v="5"/>
    <e v="#NAME?"/>
  </r>
  <r>
    <d v="2026-06-12T16:47:38"/>
    <s v="camila.althoff@mazzini.com.br"/>
    <x v="3"/>
    <s v="Mlz4j72"/>
    <x v="125"/>
    <x v="404"/>
    <s v="https://drive.google.com/open?id=1M9n80mFku8-dTBmKy1UKiseGmQJsAQxG"/>
    <x v="406"/>
    <s v="https://drive.google.com/open?id=1OVGvNbJMbXQP3_GenZtB1tcQOG0vTvEf"/>
    <s v="Fort campeche, atacadão , Angeloni capoeiras"/>
    <m/>
    <s v="Sim"/>
    <m/>
    <m/>
    <m/>
    <m/>
    <s v="55.66"/>
    <s v="https://drive.google.com/open?id=1LtbBXILJvclTHNUEYy8D-J3Z2VUCQ_S_"/>
    <m/>
    <s v="Devido a virada de loja pra visita foi gasto com os promotores esse valor"/>
    <x v="157"/>
    <n v="67.650000000000006"/>
    <n v="0"/>
    <n v="0"/>
    <n v="55.66"/>
    <n v="0"/>
    <x v="0"/>
    <x v="5"/>
    <e v="#NAME?"/>
  </r>
  <r>
    <d v="2026-06-12T15:25:22"/>
    <s v="contato.martinsneto@gmail.com"/>
    <x v="9"/>
    <s v="IUT1C03"/>
    <x v="125"/>
    <x v="405"/>
    <s v="https://drive.google.com/open?id=1g39m7k4oIAZkdJ2YohdiXI_2DlDSR2RW"/>
    <x v="407"/>
    <s v="https://drive.google.com/open?id=1YWvOOa5EDGBt9jVJ7lf12eFmUVZJEnAc"/>
    <s v="Brasil tijucas_x000a_Komprão 82_x000a_Komprão 18_x000a_Komprão 37 _x000a_Komprão 69 _x000a_Anderson Góis encontro"/>
    <m/>
    <s v="Não"/>
    <m/>
    <m/>
    <m/>
    <m/>
    <m/>
    <m/>
    <m/>
    <m/>
    <x v="8"/>
    <n v="131.60999999999999"/>
    <n v="0"/>
    <n v="0"/>
    <n v="0"/>
    <n v="0"/>
    <x v="0"/>
    <x v="5"/>
    <e v="#NAME?"/>
  </r>
  <r>
    <d v="2026-06-12T16:09:21"/>
    <s v="matheus.moraes@mazzini.com.br"/>
    <x v="8"/>
    <s v="QIL7H04"/>
    <x v="125"/>
    <x v="406"/>
    <s v="https://drive.google.com/open?id=1Nk8hPDKloUMkFNynxkxGE5yWcCqW9wCi"/>
    <x v="408"/>
    <s v="https://drive.google.com/open?id=13MBDEBQ0hXGZIUawDW_c9L3Ipkzohce_"/>
    <s v="SAMS, GTOP FPRTALEZA 19, BISTECK PARK EUROPEU, SUPER A, COOPER ITOUPAVA E KOMPRÃO POMERODE"/>
    <m/>
    <s v="Não"/>
    <m/>
    <m/>
    <m/>
    <m/>
    <m/>
    <m/>
    <m/>
    <m/>
    <x v="153"/>
    <n v="114.39"/>
    <n v="0"/>
    <n v="0"/>
    <n v="0"/>
    <n v="0"/>
    <x v="0"/>
    <x v="5"/>
    <e v="#NAME?"/>
  </r>
  <r>
    <d v="2026-06-15T22:28:51"/>
    <s v="lombardi2025@gmail.com"/>
    <x v="4"/>
    <s v="OWA4C07"/>
    <x v="125"/>
    <x v="407"/>
    <s v="https://drive.google.com/open?id=1eoPIa-h7a9BrrgBXfxUDVuUjZiXiIjyc"/>
    <x v="409"/>
    <s v="https://drive.google.com/open?id=1h7GDFXf5jphdwGgaEm6htWi13oweSk-M"/>
    <s v="CONDOR 51,FORT TUIUTI,KOMPRAO ARAQUARI"/>
    <m/>
    <s v="Não"/>
    <m/>
    <m/>
    <m/>
    <m/>
    <m/>
    <m/>
    <m/>
    <m/>
    <x v="122"/>
    <n v="88.56"/>
    <n v="0"/>
    <n v="0"/>
    <n v="0"/>
    <n v="0"/>
    <x v="0"/>
    <x v="5"/>
    <e v="#NAME?"/>
  </r>
  <r>
    <d v="2026-06-15T22:14:13"/>
    <s v="sabrina.pires@mazzini.com.br"/>
    <x v="2"/>
    <s v="Azc9232"/>
    <x v="125"/>
    <x v="408"/>
    <m/>
    <x v="410"/>
    <m/>
    <s v="Fort 130 _x000a_Komprao pedra branca _x000a_Komprao imperatriz"/>
    <m/>
    <s v="Não"/>
    <m/>
    <m/>
    <m/>
    <m/>
    <m/>
    <m/>
    <m/>
    <m/>
    <x v="90"/>
    <n v="55.35"/>
    <n v="0"/>
    <n v="0"/>
    <n v="0"/>
    <n v="0"/>
    <x v="0"/>
    <x v="5"/>
    <e v="#NAME?"/>
  </r>
  <r>
    <d v="2026-06-15T19:03:07"/>
    <s v="camila.althoff@mazzini.com.br"/>
    <x v="3"/>
    <s v="Mlz4j72"/>
    <x v="126"/>
    <x v="409"/>
    <s v="https://drive.google.com/open?id=164pcn0ecVbHNScdlJMflvvzYy6Yv0x8Q"/>
    <x v="411"/>
    <s v="https://drive.google.com/open?id=1iYxPhg8cqhEWj-Q3ZF-jTS2FXv8e95Fe"/>
    <s v="Casa coordenadora"/>
    <m/>
    <s v="Não"/>
    <m/>
    <m/>
    <m/>
    <m/>
    <m/>
    <m/>
    <m/>
    <m/>
    <x v="166"/>
    <n v="65.19"/>
    <n v="0"/>
    <n v="0"/>
    <n v="0"/>
    <n v="0"/>
    <x v="0"/>
    <x v="5"/>
    <e v="#NAME?"/>
  </r>
  <r>
    <d v="2026-06-15T22:31:21"/>
    <s v="lombardi2025@gmail.com"/>
    <x v="4"/>
    <s v="OWA4C07"/>
    <x v="126"/>
    <x v="410"/>
    <s v="https://drive.google.com/open?id=1dskQr5jYbjBUG6IjZYWkmsucRJ-LvP7A"/>
    <x v="412"/>
    <s v="https://drive.google.com/open?id=1HuqUjIh8PMEvDatzf-FL79axgkzbtOWc"/>
    <s v="ANGELONI,KOMPRAO 59,SAMS CLUB"/>
    <m/>
    <s v="Não"/>
    <m/>
    <m/>
    <m/>
    <m/>
    <m/>
    <m/>
    <m/>
    <m/>
    <x v="120"/>
    <n v="79.95"/>
    <n v="0"/>
    <n v="0"/>
    <n v="0"/>
    <n v="0"/>
    <x v="0"/>
    <x v="5"/>
    <e v="#NAME?"/>
  </r>
  <r>
    <d v="2026-06-17T08:18:36"/>
    <s v="camila.althoff@mazzini.com.br"/>
    <x v="3"/>
    <s v="Mlz4j72"/>
    <x v="127"/>
    <x v="411"/>
    <s v="https://drive.google.com/open?id=1aRZa-9sfQTUbZntjfZtWkH8L6UDqt7Bo"/>
    <x v="413"/>
    <s v="https://drive.google.com/open?id=1OrSu4zR7VD3paJu-GhzSCWLyBp3nrJvx"/>
    <s v="Angeloni capoeiras"/>
    <m/>
    <s v="Não"/>
    <m/>
    <m/>
    <m/>
    <m/>
    <m/>
    <m/>
    <m/>
    <m/>
    <x v="44"/>
    <n v="38.130000000000003"/>
    <n v="0"/>
    <n v="0"/>
    <n v="0"/>
    <n v="0"/>
    <x v="1"/>
    <x v="5"/>
    <e v="#NAME?"/>
  </r>
  <r>
    <d v="2026-06-16T16:02:32"/>
    <s v="carlos.proenca@mazzini.com.br"/>
    <x v="11"/>
    <s v="TXO5F06"/>
    <x v="127"/>
    <x v="412"/>
    <s v="https://drive.google.com/open?id=1Ra6sMcahFExr1yTSYpNS2pgidYyvEE_6"/>
    <x v="414"/>
    <s v="https://drive.google.com/open?id=1rXQ2ZzDjMs_Bdul_mduKDBfoz-GaFmxi"/>
    <s v="KOMPRAO GAROPABA"/>
    <m/>
    <s v="Sim"/>
    <s v="10.40"/>
    <s v="https://drive.google.com/open?id=1l43D-YX51NuoowBUvSD2UGw4zLEb-35H, https://drive.google.com/open?id=1PlFSeOXQXhzuOYSDdv43Dj_79yIp8rbK"/>
    <m/>
    <m/>
    <m/>
    <m/>
    <m/>
    <s v="Ida no pdv komprao com carro reserva para verificar situaçao de principio de incendio e condiçoes da loja ."/>
    <x v="58"/>
    <n v="204.18"/>
    <n v="10.4"/>
    <n v="0"/>
    <n v="0"/>
    <n v="0"/>
    <x v="1"/>
    <x v="5"/>
    <e v="#NAME?"/>
  </r>
  <r>
    <d v="2026-06-16T16:11:15"/>
    <s v="oliveiraagm7@gmail.com"/>
    <x v="6"/>
    <s v="EUF3090"/>
    <x v="127"/>
    <x v="413"/>
    <s v="https://drive.google.com/open?id=1kL4bv37Txym_SuK823gDlka2Y2z6SB68"/>
    <x v="415"/>
    <s v="https://drive.google.com/open?id=1SoML9WLgukMwmD1oCjWKXMSGzqTugBsT"/>
    <s v="Setor de viagem Florianópolis"/>
    <m/>
    <s v="Não"/>
    <m/>
    <m/>
    <m/>
    <m/>
    <m/>
    <m/>
    <m/>
    <m/>
    <x v="207"/>
    <n v="389.90999999999997"/>
    <n v="0"/>
    <n v="0"/>
    <n v="0"/>
    <n v="0"/>
    <x v="1"/>
    <x v="5"/>
    <e v="#NAME?"/>
  </r>
  <r>
    <d v="2026-06-22T18:14:41"/>
    <s v="contato.martinsneto@gmail.com"/>
    <x v="9"/>
    <s v="IUT1C03"/>
    <x v="127"/>
    <x v="414"/>
    <s v="https://drive.google.com/open?id=14YDWjFAbPTDfw92YUe5j_MZkVSwHVA5P"/>
    <x v="416"/>
    <s v="https://drive.google.com/open?id=1Z3BNXsWmZ1M04Z3CrxheYOldx8CWiLEQ"/>
    <s v="reversao"/>
    <m/>
    <s v="Não"/>
    <m/>
    <m/>
    <m/>
    <m/>
    <m/>
    <m/>
    <m/>
    <m/>
    <x v="26"/>
    <n v="49.2"/>
    <n v="0"/>
    <n v="0"/>
    <n v="0"/>
    <n v="0"/>
    <x v="1"/>
    <x v="5"/>
    <e v="#NAME?"/>
  </r>
  <r>
    <d v="2026-06-19T10:34:59"/>
    <s v="matheus.moraes@mazzini.com.br"/>
    <x v="8"/>
    <s v="QIL7H04"/>
    <x v="127"/>
    <x v="415"/>
    <s v="https://drive.google.com/open?id=1t-UCHvDJdeRbiUTRkOUhJTpzigURsEsI"/>
    <x v="417"/>
    <s v="https://drive.google.com/open?id=1aM9t5Itcq0IC9nJS9_bJj2H0OrfN1ngv"/>
    <s v="cooper itoupava, cooper gloria"/>
    <m/>
    <s v="Sim"/>
    <m/>
    <m/>
    <m/>
    <m/>
    <s v="1.5"/>
    <s v="https://drive.google.com/open?id=1SYDcyMjRrhH6hlnHVFF0iKd8ERDDmHeW"/>
    <m/>
    <m/>
    <x v="208"/>
    <n v="147.6"/>
    <n v="0"/>
    <n v="0"/>
    <n v="1.5"/>
    <n v="0"/>
    <x v="1"/>
    <x v="5"/>
    <e v="#NAME?"/>
  </r>
  <r>
    <d v="2026-06-17T22:53:35"/>
    <s v="camila.althoff@mazzini.com.br"/>
    <x v="3"/>
    <s v="Mlz4j72"/>
    <x v="128"/>
    <x v="416"/>
    <s v="https://drive.google.com/open?id=1XTws3KDSyCdVh-Tl7uFvIuDsdR1tfhxJ"/>
    <x v="418"/>
    <s v="https://drive.google.com/open?id=1loJ6NslCNcAI4sQBZKg9ISXrQT6ZUDMh"/>
    <s v="Pegar Geovana, Saidda reunião, brasil atacadista tijucas kock tijucas, Komprao tijucas"/>
    <m/>
    <s v="Não"/>
    <m/>
    <m/>
    <m/>
    <m/>
    <m/>
    <m/>
    <m/>
    <m/>
    <x v="109"/>
    <n v="206.64"/>
    <n v="0"/>
    <n v="0"/>
    <n v="0"/>
    <n v="0"/>
    <x v="1"/>
    <x v="5"/>
    <e v="#NAME?"/>
  </r>
  <r>
    <d v="2026-06-17T20:59:25"/>
    <s v="oliveiraagm7@gmail.com"/>
    <x v="6"/>
    <s v="EUF3090"/>
    <x v="128"/>
    <x v="417"/>
    <s v="https://drive.google.com/open?id=1xg6YpFjKnx_Dt2JDXXLyJlnEQrZTrLC9"/>
    <x v="419"/>
    <s v="https://drive.google.com/open?id=1p3XxFKpWq--517ZfqnX6xP4qAeTu9HYn"/>
    <s v="Roteiro de viagem Florianópolis"/>
    <m/>
    <s v="Não"/>
    <m/>
    <m/>
    <m/>
    <m/>
    <m/>
    <m/>
    <m/>
    <m/>
    <x v="209"/>
    <n v="388.68"/>
    <n v="0"/>
    <n v="0"/>
    <n v="0"/>
    <n v="0"/>
    <x v="1"/>
    <x v="5"/>
    <e v="#NAME?"/>
  </r>
  <r>
    <d v="2026-06-22T18:16:40"/>
    <s v="contato.martinsneto@gmail.com"/>
    <x v="9"/>
    <s v="IUT1C03"/>
    <x v="128"/>
    <x v="418"/>
    <s v="https://drive.google.com/open?id=1bgfOnETahJtB9PqnVXUdu7y3KD_VR6-F"/>
    <x v="420"/>
    <s v="https://drive.google.com/open?id=1AOTz_R8fgCG9GiUDwG5JTEI8qBdXy_93"/>
    <s v="revrsao"/>
    <m/>
    <s v="Não"/>
    <m/>
    <m/>
    <m/>
    <m/>
    <m/>
    <m/>
    <m/>
    <m/>
    <x v="96"/>
    <n v="70.11"/>
    <n v="0"/>
    <n v="0"/>
    <n v="0"/>
    <n v="0"/>
    <x v="1"/>
    <x v="5"/>
    <e v="#NAME?"/>
  </r>
  <r>
    <d v="2026-06-22T18:18:20"/>
    <s v="contato.martinsneto@gmail.com"/>
    <x v="9"/>
    <s v="IUT1C03"/>
    <x v="129"/>
    <x v="419"/>
    <s v="https://drive.google.com/open?id=1MbKgQ5C6Hvw9CzO87jPvgxCnFH4wAUHE"/>
    <x v="421"/>
    <s v="https://drive.google.com/open?id=1Wt9ZuSXVa4g18EFJ34x_vVzANoQ8Ie1K"/>
    <s v="revrsao"/>
    <m/>
    <s v="Não"/>
    <m/>
    <m/>
    <m/>
    <m/>
    <m/>
    <m/>
    <m/>
    <m/>
    <x v="178"/>
    <n v="75.03"/>
    <n v="0"/>
    <n v="0"/>
    <n v="0"/>
    <n v="0"/>
    <x v="1"/>
    <x v="5"/>
    <e v="#NAME?"/>
  </r>
  <r>
    <d v="2026-06-22T18:20:11"/>
    <s v="contato.martinsneto@gmail.com"/>
    <x v="9"/>
    <s v="IUT1C03"/>
    <x v="130"/>
    <x v="420"/>
    <s v="https://drive.google.com/open?id=1Ki4e7xDulHnQQ3x5VBI8uga62kqSbfFo"/>
    <x v="422"/>
    <s v="https://drive.google.com/open?id=1S0ZATASU43fUfURew1j1MZYbRsoyjrmR"/>
    <s v="rervrsao"/>
    <m/>
    <s v="Não"/>
    <m/>
    <m/>
    <m/>
    <m/>
    <m/>
    <m/>
    <m/>
    <m/>
    <x v="4"/>
    <n v="61.5"/>
    <n v="0"/>
    <n v="0"/>
    <n v="0"/>
    <n v="0"/>
    <x v="1"/>
    <x v="5"/>
    <e v="#NAME?"/>
  </r>
  <r>
    <d v="2026-07-01T09:18:28"/>
    <s v="lombardi2015@gmail.com"/>
    <x v="4"/>
    <s v="OWA4C07"/>
    <x v="130"/>
    <x v="421"/>
    <s v="https://drive.google.com/open?id=1M4zUNVAUkS2aJhh3zOPX61muW7qk5srN"/>
    <x v="423"/>
    <s v="https://drive.google.com/open?id=15NGbwEpigLT1eMvX4bzZA1dmdiYS3ecp"/>
    <s v="CONDOR MAFRA ,HIPER MAFRA"/>
    <m/>
    <s v="Não"/>
    <m/>
    <m/>
    <m/>
    <m/>
    <m/>
    <m/>
    <m/>
    <m/>
    <x v="61"/>
    <n v="398.52"/>
    <n v="0"/>
    <n v="0"/>
    <n v="0"/>
    <n v="0"/>
    <x v="1"/>
    <x v="5"/>
    <e v="#NAME?"/>
  </r>
  <r>
    <d v="2026-06-22T18:22:12"/>
    <s v="contato.martinsneto@gmail.com"/>
    <x v="9"/>
    <s v="IUT1C03"/>
    <x v="131"/>
    <x v="422"/>
    <s v="https://drive.google.com/open?id=1youyEJhRWxbmuHgmr1_j6zEpdpXXMC0I"/>
    <x v="424"/>
    <s v="https://drive.google.com/open?id=1Sb7NzBIu1iD6_-YrDMIkR8Uk-L-_M9QS"/>
    <s v="komprao 18_x000a_komprO 82_x000a_KOMPRAO 37"/>
    <m/>
    <s v="Não"/>
    <m/>
    <m/>
    <m/>
    <m/>
    <m/>
    <m/>
    <m/>
    <m/>
    <x v="3"/>
    <n v="66.42"/>
    <n v="0"/>
    <n v="0"/>
    <n v="0"/>
    <n v="0"/>
    <x v="1"/>
    <x v="5"/>
    <e v="#NAME?"/>
  </r>
  <r>
    <d v="2026-06-24T17:40:23"/>
    <s v="camila.althoff@mazzini.com.br"/>
    <x v="3"/>
    <s v="Mlz4j72"/>
    <x v="132"/>
    <x v="423"/>
    <s v="https://drive.google.com/open?id=1w0jQaF4uOtWOV2eUYWqv9B1Df6g3swUd"/>
    <x v="425"/>
    <s v="https://drive.google.com/open?id=1idgLUJF9_4WGza0vjVtPV6CJ4V06KyRr"/>
    <s v="Fort kobrasol"/>
    <m/>
    <s v="Não"/>
    <m/>
    <m/>
    <m/>
    <m/>
    <m/>
    <m/>
    <m/>
    <m/>
    <x v="77"/>
    <n v="47.97"/>
    <n v="0"/>
    <n v="0"/>
    <n v="0"/>
    <n v="0"/>
    <x v="1"/>
    <x v="5"/>
    <e v="#NAME?"/>
  </r>
  <r>
    <d v="2026-06-29T07:17:31"/>
    <s v="contato.martinsneto@gmail.com"/>
    <x v="9"/>
    <s v="IUT1C03"/>
    <x v="132"/>
    <x v="424"/>
    <s v="https://drive.google.com/open?id=138I8gUfdUHdS7Eb6Ecd7A7UdC9IAVdHd"/>
    <x v="426"/>
    <s v="https://drive.google.com/open?id=1CAdOSFm_9TMReMN_C16Aju7w-Yaeaxz4"/>
    <s v="rota viista"/>
    <m/>
    <s v="Não"/>
    <m/>
    <m/>
    <m/>
    <m/>
    <m/>
    <m/>
    <m/>
    <m/>
    <x v="56"/>
    <n v="46.74"/>
    <n v="0"/>
    <n v="0"/>
    <n v="0"/>
    <n v="0"/>
    <x v="1"/>
    <x v="5"/>
    <e v="#NAME?"/>
  </r>
  <r>
    <d v="2026-07-01T09:24:24"/>
    <s v="lombardi2015@gmail.com"/>
    <x v="4"/>
    <s v="OWA4C07"/>
    <x v="132"/>
    <x v="425"/>
    <s v="https://drive.google.com/open?id=19PN2_aaS-CbCsyLtXyIR0kDC1bEse2DF"/>
    <x v="427"/>
    <s v="https://drive.google.com/open?id=1nFAXWxWfRkuupZzXI8-3WVdam06CIBGF"/>
    <s v="K59,ANGELONI 23,CONDOR 57"/>
    <m/>
    <s v="Não"/>
    <m/>
    <m/>
    <m/>
    <m/>
    <m/>
    <m/>
    <m/>
    <m/>
    <x v="205"/>
    <n v="59.04"/>
    <n v="0"/>
    <n v="0"/>
    <n v="0"/>
    <n v="0"/>
    <x v="1"/>
    <x v="5"/>
    <e v="#NAME?"/>
  </r>
  <r>
    <d v="2026-06-24T17:44:00"/>
    <s v="camila.althoff@mazzini.com.br"/>
    <x v="3"/>
    <s v="Mlz4j72"/>
    <x v="133"/>
    <x v="426"/>
    <s v="https://drive.google.com/open?id=1A9IOrHWRwaT8BGGUHacFqgSO1AWcRGnz"/>
    <x v="428"/>
    <s v="https://drive.google.com/open?id=1nE1dqD-0t029BprnuooU1Fts7n8ZDquq"/>
    <s v="Carrefour, fort campeche, hiperselect,brasil atacadista"/>
    <m/>
    <s v="Não"/>
    <m/>
    <m/>
    <m/>
    <m/>
    <m/>
    <m/>
    <m/>
    <m/>
    <x v="15"/>
    <n v="54.12"/>
    <n v="0"/>
    <n v="0"/>
    <n v="0"/>
    <n v="0"/>
    <x v="1"/>
    <x v="5"/>
    <e v="#NAME?"/>
  </r>
  <r>
    <d v="2026-06-29T07:19:49"/>
    <s v="contato.martinsneto@gmail.com"/>
    <x v="9"/>
    <s v="IUT1C03"/>
    <x v="133"/>
    <x v="427"/>
    <s v="https://drive.google.com/open?id=13LC1uMjGbwV1mMYNYGdp1DLPnlHvGCvK"/>
    <x v="429"/>
    <s v="https://drive.google.com/open?id=1pPdFZTyCk6Jza0hIffvPIhQvT2hY6Bey"/>
    <s v="lojaS ITAJAI"/>
    <m/>
    <s v="Não"/>
    <m/>
    <m/>
    <m/>
    <m/>
    <m/>
    <m/>
    <m/>
    <m/>
    <x v="159"/>
    <n v="132.84"/>
    <n v="0"/>
    <n v="0"/>
    <n v="0"/>
    <n v="0"/>
    <x v="1"/>
    <x v="5"/>
    <e v="#NAME?"/>
  </r>
  <r>
    <d v="2026-06-25T19:17:35"/>
    <s v="camila.althoff@mazzini.com.br"/>
    <x v="3"/>
    <s v="Mlz4j72"/>
    <x v="134"/>
    <x v="428"/>
    <s v="https://drive.google.com/open?id=1A3QqspV8eTzS80t4IdhBOLjx8g4bfoAx"/>
    <x v="430"/>
    <s v="https://drive.google.com/open?id=1Xc43CXHmEUzm4t4ePHO-RvGZo4u3BLDm"/>
    <s v="Imperatriz Coqueiros, super a, Zeus , mwm"/>
    <m/>
    <s v="Sim"/>
    <m/>
    <m/>
    <m/>
    <m/>
    <s v="34.00"/>
    <s v="https://drive.google.com/open?id=1-pVhki_fH-FATKX-Ty02ZE8euYM1MF3a, https://drive.google.com/open?id=1WaKytdnhWOR25K17cwuRjDcHlkP0U5_N"/>
    <m/>
    <m/>
    <x v="177"/>
    <n v="68.88"/>
    <n v="0"/>
    <n v="0"/>
    <n v="34"/>
    <n v="0"/>
    <x v="1"/>
    <x v="5"/>
    <e v="#NAME?"/>
  </r>
  <r>
    <d v="2026-06-29T07:24:47"/>
    <s v="contato.martinsneto@gmail.com"/>
    <x v="9"/>
    <s v="IUT1C03"/>
    <x v="134"/>
    <x v="429"/>
    <s v="https://drive.google.com/open?id=1wn_6-8wnAb1ivmgVjfiRj0BggbbBnvQj"/>
    <x v="431"/>
    <s v="https://drive.google.com/open?id=1Mxkul-sw85zCZ0YImWpQZpXayAAQ22wz"/>
    <s v="BRASIL PORTO BELO KOMPRAO 18"/>
    <m/>
    <s v="Não"/>
    <m/>
    <m/>
    <m/>
    <m/>
    <m/>
    <m/>
    <m/>
    <m/>
    <x v="210"/>
    <n v="29.52"/>
    <n v="0"/>
    <n v="0"/>
    <n v="0"/>
    <n v="0"/>
    <x v="1"/>
    <x v="5"/>
    <e v="#NAME?"/>
  </r>
  <r>
    <d v="2026-06-26T20:19:10"/>
    <s v="camila.althoff@mazzini.com.br"/>
    <x v="3"/>
    <s v="Mlz4j72"/>
    <x v="135"/>
    <x v="430"/>
    <s v="https://drive.google.com/open?id=1QHB9ZQowG_YsjWb8Vx1KcrQWcJOnY5Hy"/>
    <x v="432"/>
    <s v="https://drive.google.com/open?id=1rldpq92AT0V1kt8-QGoXmkZDnOTEgqyK"/>
    <s v="Atacadão via expressa"/>
    <m/>
    <s v="Não"/>
    <m/>
    <m/>
    <m/>
    <m/>
    <m/>
    <m/>
    <m/>
    <m/>
    <x v="121"/>
    <n v="41.82"/>
    <n v="0"/>
    <n v="0"/>
    <n v="0"/>
    <n v="0"/>
    <x v="1"/>
    <x v="5"/>
    <e v="#NAME?"/>
  </r>
  <r>
    <d v="2026-06-29T07:27:00"/>
    <s v="contato.martinsneto@gmail.com"/>
    <x v="9"/>
    <s v="IUT1C03"/>
    <x v="135"/>
    <x v="431"/>
    <s v="https://drive.google.com/open?id=1v5vfMnEJAVIkdx7tJIeitJSn_NXH_9Xp"/>
    <x v="433"/>
    <s v="https://drive.google.com/open?id=1aaCoiBd9QQJLFMmn9-FgRGeBCntAGsSP"/>
    <s v="ROTA ITAPEMA E BALNEARIO"/>
    <m/>
    <s v="Não"/>
    <m/>
    <m/>
    <m/>
    <m/>
    <m/>
    <m/>
    <m/>
    <m/>
    <x v="82"/>
    <n v="119.31"/>
    <n v="0"/>
    <n v="0"/>
    <n v="0"/>
    <n v="0"/>
    <x v="1"/>
    <x v="5"/>
    <e v="#NAME?"/>
  </r>
  <r>
    <d v="2026-06-29T07:30:04"/>
    <s v="contato.martinsneto@gmail.com"/>
    <x v="9"/>
    <s v="IUT1C03"/>
    <x v="136"/>
    <x v="432"/>
    <m/>
    <x v="434"/>
    <m/>
    <s v="KOMPRAO 37 E KOMPRAO 82"/>
    <m/>
    <s v="Não"/>
    <m/>
    <m/>
    <m/>
    <m/>
    <m/>
    <m/>
    <m/>
    <m/>
    <x v="204"/>
    <n v="13.53"/>
    <n v="0"/>
    <n v="0"/>
    <n v="0"/>
    <n v="0"/>
    <x v="1"/>
    <x v="5"/>
    <e v="#NAME?"/>
  </r>
  <r>
    <d v="2026-06-30T17:13:35"/>
    <s v="camila.althoff@mazzini.com.br"/>
    <x v="3"/>
    <s v="Mlz4j72"/>
    <x v="137"/>
    <x v="433"/>
    <s v="https://drive.google.com/open?id=1Fi1-0e1eRBKMSOLwbY9hmPsRR7XG01RW"/>
    <x v="435"/>
    <s v="https://drive.google.com/open?id=1yAQKE0fObklSI9RMqX9NnIlRcIieox9X"/>
    <s v="Fort 810, Fort 210, kock 47"/>
    <m/>
    <s v="Não"/>
    <m/>
    <m/>
    <m/>
    <m/>
    <m/>
    <m/>
    <m/>
    <m/>
    <x v="96"/>
    <n v="70.11"/>
    <n v="0"/>
    <n v="0"/>
    <n v="0"/>
    <n v="0"/>
    <x v="1"/>
    <x v="5"/>
    <e v="#NAME?"/>
  </r>
  <r>
    <d v="2026-06-30T12:55:15"/>
    <s v="contato.martinsneto@gmail.com"/>
    <x v="9"/>
    <s v="IUT1C03"/>
    <x v="137"/>
    <x v="434"/>
    <s v="https://drive.google.com/open?id=1FEovxm8mpMUrghvjzNshFaHhVoyQa-J1"/>
    <x v="436"/>
    <s v="https://drive.google.com/open?id=1kzeR8aTwPVQK_oHdSvILmXbPxZnaiZuK"/>
    <s v="KOMPRAO 38 BC KOMPRAO 37"/>
    <m/>
    <s v="Não"/>
    <m/>
    <m/>
    <m/>
    <m/>
    <m/>
    <m/>
    <m/>
    <m/>
    <x v="161"/>
    <n v="60.269999999999996"/>
    <n v="0"/>
    <n v="0"/>
    <n v="0"/>
    <n v="0"/>
    <x v="1"/>
    <x v="5"/>
    <e v="#NAME?"/>
  </r>
  <r>
    <d v="2026-07-01T09:21:47"/>
    <s v="lombardi2015@gmail.com"/>
    <x v="4"/>
    <s v="OWA4C07"/>
    <x v="137"/>
    <x v="435"/>
    <s v="https://drive.google.com/open?id=1tLR5qc1ocrsZxOeMTn-dYW88mPyrUK9b"/>
    <x v="437"/>
    <s v="https://drive.google.com/open?id=1Yk8xRJmbKzRQNl6JQwxt6rp0VGYsJT2g"/>
    <s v="CONDOR RIO NEFRINHO,KOMPRAO RIO NEGRUINHO,FORT SÃO BENTO"/>
    <m/>
    <s v="Não"/>
    <m/>
    <m/>
    <m/>
    <m/>
    <m/>
    <m/>
    <m/>
    <m/>
    <x v="199"/>
    <n v="300.12"/>
    <n v="0"/>
    <n v="0"/>
    <n v="0"/>
    <n v="0"/>
    <x v="1"/>
    <x v="5"/>
    <e v="#NAME?"/>
  </r>
  <r>
    <d v="2026-07-02T20:34:11"/>
    <s v="brenon_lks@hotmail.com"/>
    <x v="12"/>
    <s v="FTF5H43"/>
    <x v="138"/>
    <x v="436"/>
    <s v="https://drive.google.com/open?id=1boaS9YX0qG3juhjSkBWO_r4xOLabAnP-"/>
    <x v="438"/>
    <s v="https://drive.google.com/open?id=1uuEPJT_02iRzPsFKw_0dJ9Iss0lvcPYL"/>
    <s v="SUPER A JARAGUA"/>
    <m/>
    <s v="Não"/>
    <m/>
    <m/>
    <m/>
    <m/>
    <m/>
    <m/>
    <m/>
    <m/>
    <x v="211"/>
    <n v="226.32"/>
    <n v="0"/>
    <n v="0"/>
    <n v="0"/>
    <n v="0"/>
    <x v="0"/>
    <x v="6"/>
    <e v="#NAME?"/>
  </r>
  <r>
    <d v="2026-07-01T17:51:23"/>
    <s v="camila.althoff@mazzini.com.br"/>
    <x v="3"/>
    <s v="Mlz4j72"/>
    <x v="138"/>
    <x v="437"/>
    <s v="https://drive.google.com/open?id=1Idg7T-pA4T050VZ0dauiL9oPPTAUk7EH"/>
    <x v="439"/>
    <s v="https://drive.google.com/open?id=1kD7f9NWZSVPJM08MO5PEEKqbhj-yLDTZ"/>
    <s v="Wmw EPI, super A são José, Angeloni beira mar"/>
    <m/>
    <s v="Sim"/>
    <m/>
    <m/>
    <m/>
    <m/>
    <s v="6.00"/>
    <s v="https://drive.google.com/open?id=1Yo1aaTx8DW7bIzs_KvOh4H_t_j2FJ7h9"/>
    <m/>
    <m/>
    <x v="7"/>
    <n v="73.8"/>
    <n v="0"/>
    <n v="0"/>
    <n v="6"/>
    <n v="0"/>
    <x v="0"/>
    <x v="6"/>
    <e v="#NAME?"/>
  </r>
  <r>
    <d v="2026-07-01T12:36:44"/>
    <s v="oliveiraagm7@gmail.com"/>
    <x v="6"/>
    <s v="EUF3090"/>
    <x v="138"/>
    <x v="438"/>
    <s v="https://drive.google.com/open?id=1wXgLIia7scNjRneUDXGEj8glBzbiQXc3"/>
    <x v="440"/>
    <s v="https://drive.google.com/open?id=1U0KyyOrE3SkwDBfgO8UrBtm9-x-UOOuI"/>
    <s v="Deslocamento Chapecó, Atacadao av Atílio Fontana, Atacadao av Fernando Machado e Fort Chapecó"/>
    <m/>
    <s v="Não"/>
    <m/>
    <m/>
    <m/>
    <m/>
    <m/>
    <m/>
    <m/>
    <m/>
    <x v="212"/>
    <n v="308.73"/>
    <n v="0"/>
    <n v="0"/>
    <n v="0"/>
    <n v="0"/>
    <x v="0"/>
    <x v="6"/>
    <e v="#NAME?"/>
  </r>
  <r>
    <d v="2026-07-11T11:55:38"/>
    <s v="contato.martinsneto@gmail.com"/>
    <x v="9"/>
    <s v="IUT1C03"/>
    <x v="138"/>
    <x v="439"/>
    <s v="https://drive.google.com/open?id=1mvgz7Pfup-_Ay69jivb0A7cb-6R7I3uj"/>
    <x v="441"/>
    <s v="https://drive.google.com/open?id=1TOa5algMTBXj6gjmq4hUbbWXAZ8M_QHp"/>
    <s v="brasil pb komprao 37komprao 82 koch 41"/>
    <m/>
    <s v="Não"/>
    <m/>
    <m/>
    <m/>
    <m/>
    <m/>
    <m/>
    <m/>
    <m/>
    <x v="4"/>
    <n v="61.5"/>
    <n v="0"/>
    <n v="0"/>
    <n v="0"/>
    <n v="0"/>
    <x v="0"/>
    <x v="6"/>
    <e v="#NAME?"/>
  </r>
  <r>
    <d v="2026-07-16T08:23:16"/>
    <s v="lombardi2015@gmail.com"/>
    <x v="4"/>
    <s v="OWA4C07"/>
    <x v="138"/>
    <x v="440"/>
    <s v="https://drive.google.com/open?id=156ATPjlktc3YUC9BgYewB6DEcN_kPtK8"/>
    <x v="442"/>
    <s v="https://drive.google.com/open?id=1tUWRkV6Lb_p28WMpKwh5E7AoJlmrEqNb"/>
    <s v="CONDOR MAFRA E HIPER MAIS"/>
    <m/>
    <s v="Não"/>
    <m/>
    <m/>
    <m/>
    <m/>
    <m/>
    <m/>
    <m/>
    <m/>
    <x v="61"/>
    <n v="398.52"/>
    <n v="0"/>
    <n v="0"/>
    <n v="0"/>
    <n v="0"/>
    <x v="0"/>
    <x v="6"/>
    <e v="#NAME?"/>
  </r>
  <r>
    <d v="2026-07-02T18:02:30"/>
    <s v="camila.althoff@mazzini.com.br"/>
    <x v="3"/>
    <s v="Mlz4j72"/>
    <x v="139"/>
    <x v="441"/>
    <s v="https://drive.google.com/open?id=1hj773yyBZgfD5lUN1EFQkGmdxC8ZPngS"/>
    <x v="443"/>
    <s v="https://drive.google.com/open?id=1yIYbpOJE19GDOL76BLUmnPPkKvxCHawR"/>
    <s v="Imperatriz lagoa"/>
    <m/>
    <s v="Não"/>
    <m/>
    <m/>
    <m/>
    <m/>
    <m/>
    <m/>
    <m/>
    <m/>
    <x v="213"/>
    <n v="20.91"/>
    <n v="0"/>
    <n v="0"/>
    <n v="0"/>
    <n v="0"/>
    <x v="0"/>
    <x v="6"/>
    <e v="#NAME?"/>
  </r>
  <r>
    <d v="2026-07-02T09:44:08"/>
    <s v="oliveiraagm7@gmail.com"/>
    <x v="6"/>
    <s v="EUF3090"/>
    <x v="139"/>
    <x v="442"/>
    <s v="https://drive.google.com/open?id=1NFVGWXw19r0N_kb_IQmIWU6DisRhs4Uu"/>
    <x v="444"/>
    <s v="https://drive.google.com/open?id=1Uprz4T2wPQb2P1bWmok5v9kSJf511TdS"/>
    <s v="Atacadao av Atílio Fontana Atacadao av Fernando Machado Fort Chapecó retorno setor de viagem"/>
    <m/>
    <s v="Não"/>
    <m/>
    <m/>
    <m/>
    <m/>
    <m/>
    <m/>
    <m/>
    <m/>
    <x v="214"/>
    <n v="301.35000000000002"/>
    <n v="0"/>
    <n v="0"/>
    <n v="0"/>
    <n v="0"/>
    <x v="0"/>
    <x v="6"/>
    <e v="#NAME?"/>
  </r>
  <r>
    <d v="2026-07-11T12:00:52"/>
    <s v="contato.martinsneto@gmail.com"/>
    <x v="9"/>
    <s v="IUT1C03"/>
    <x v="139"/>
    <x v="443"/>
    <s v="https://drive.google.com/open?id=1Z9o9mEhE2522bIZ1pFUxz3BAH67c7wnz"/>
    <x v="445"/>
    <s v="https://drive.google.com/open?id=1MjwPkBn0zm3aA1BqLsOtbQ5-qvnWn9gr"/>
    <s v="palhoça fort 190 komprao 37"/>
    <m/>
    <s v="Sim"/>
    <s v="11.40"/>
    <s v="https://drive.google.com/open?id=1W-2vKXNyK_FECzHlWTSEixx9kS-HQSSE, https://drive.google.com/open?id=1oPsMbYrLN4o3IRU_2eHs-sU6LI111dvf"/>
    <m/>
    <m/>
    <m/>
    <m/>
    <m/>
    <m/>
    <x v="80"/>
    <n v="190.65"/>
    <n v="11.4"/>
    <n v="0"/>
    <n v="0"/>
    <n v="0"/>
    <x v="0"/>
    <x v="6"/>
    <e v="#NAME?"/>
  </r>
  <r>
    <d v="2026-07-03T10:37:56"/>
    <s v="matheus.moraes@mazzini.com.br"/>
    <x v="8"/>
    <s v="QIL7H04"/>
    <x v="139"/>
    <x v="444"/>
    <s v="https://drive.google.com/open?id=1-KCbasyj0brCdF_Lw1VomNwmYSpmnuIm"/>
    <x v="446"/>
    <s v="https://drive.google.com/open?id=1Ga7XFWtsKv97LltAAQHXUtAcpG5lkkUv"/>
    <s v="galegão escola agric., koch 89, copper vorstadt, cooper garcia florianopolis, cooper vila nova, gtop general 9, cooper general osorio, cooper nações, komprão 24 e mocam 401"/>
    <m/>
    <s v="Não"/>
    <m/>
    <m/>
    <m/>
    <m/>
    <m/>
    <m/>
    <m/>
    <m/>
    <x v="0"/>
    <n v="179.57999999999998"/>
    <n v="0"/>
    <n v="0"/>
    <n v="0"/>
    <n v="0"/>
    <x v="0"/>
    <x v="6"/>
    <e v="#NAME?"/>
  </r>
  <r>
    <d v="2026-07-03T18:49:48"/>
    <s v="camila.althoff@mazzini.com.br"/>
    <x v="3"/>
    <s v="Mlz4j72"/>
    <x v="140"/>
    <x v="445"/>
    <s v="https://drive.google.com/open?id=1h3zSml1oQ0BEHnTs1_3kI9uynRlrsT0X"/>
    <x v="447"/>
    <s v="https://drive.google.com/open?id=1Ynfkncfd1tqmUdtEQSqzPzi9sFh36LxI"/>
    <s v="Combo içara,atacadão, fort tubarão"/>
    <m/>
    <s v="Sim"/>
    <s v="23.40"/>
    <s v="https://drive.google.com/open?id=1E2-6lSjZt8gq9y_yD_nBc-Pvd6LsYbvo"/>
    <m/>
    <m/>
    <m/>
    <m/>
    <m/>
    <m/>
    <x v="215"/>
    <n v="501.84"/>
    <n v="23.4"/>
    <n v="0"/>
    <n v="0"/>
    <n v="0"/>
    <x v="0"/>
    <x v="6"/>
    <e v="#NAME?"/>
  </r>
  <r>
    <d v="2026-07-06T15:13:39"/>
    <s v="carlos.proenca@mazzini.com.br"/>
    <x v="11"/>
    <s v="tch4e45"/>
    <x v="140"/>
    <x v="446"/>
    <s v="https://drive.google.com/open?id=19_mzkFa1_x4l70nhcQtabtyluuF-tyEA"/>
    <x v="448"/>
    <s v="https://drive.google.com/open?id=1AVh8jJnUxa6zQ9ags7oGviioa4OYRv-r"/>
    <s v="LOJA EPI MWM"/>
    <m/>
    <s v="Não"/>
    <m/>
    <m/>
    <m/>
    <m/>
    <m/>
    <m/>
    <m/>
    <m/>
    <x v="216"/>
    <n v="27.06"/>
    <n v="0"/>
    <n v="0"/>
    <n v="0"/>
    <n v="0"/>
    <x v="0"/>
    <x v="6"/>
    <e v="#NAME?"/>
  </r>
  <r>
    <d v="2026-07-17T19:39:31"/>
    <s v="geovanna.fdg@gmail.com"/>
    <x v="13"/>
    <s v="QIJ6F98"/>
    <x v="140"/>
    <x v="447"/>
    <s v="https://drive.google.com/open?id=12z8g1H4fX-jLZEasZodqA6AS3t21tmkF"/>
    <x v="449"/>
    <s v="https://drive.google.com/open?id=1PEHtexjDBFPFw36kxSoSSqxJWV9N6YVd"/>
    <s v="Fort 130, Fort 306, Atacadão Biguaçu, Fort Biguaçu, Koch Hiper flor, Prado lj5,"/>
    <m/>
    <s v="Não"/>
    <m/>
    <m/>
    <m/>
    <m/>
    <m/>
    <m/>
    <m/>
    <m/>
    <x v="72"/>
    <n v="215.25"/>
    <n v="0"/>
    <n v="0"/>
    <n v="0"/>
    <n v="0"/>
    <x v="0"/>
    <x v="6"/>
    <e v="#NAME?"/>
  </r>
  <r>
    <d v="2026-07-03T16:36:35"/>
    <s v="oliveiraagm7@gmail.com"/>
    <x v="6"/>
    <s v="EUF3090"/>
    <x v="140"/>
    <x v="448"/>
    <s v="https://drive.google.com/open?id=1SId867HH02RUXlnmmJVOhKF40ddqxOl-"/>
    <x v="450"/>
    <m/>
    <s v="Fort 260, Lages Fort 960 Lages, Bistek Lages, Brasil atacadista Lages, Stok Center Lages"/>
    <m/>
    <s v="Não"/>
    <m/>
    <m/>
    <m/>
    <m/>
    <m/>
    <m/>
    <m/>
    <m/>
    <x v="201"/>
    <n v="246"/>
    <n v="0"/>
    <n v="0"/>
    <n v="0"/>
    <n v="0"/>
    <x v="0"/>
    <x v="6"/>
    <e v="#NAME?"/>
  </r>
  <r>
    <d v="2026-07-11T12:05:12"/>
    <s v="contato.martinsneto@gmail.com"/>
    <x v="9"/>
    <s v="IUT1C03"/>
    <x v="140"/>
    <x v="449"/>
    <s v="https://drive.google.com/open?id=1xZgVxMWxxMxV4f35CZ_w0hMKj7y1ouYI"/>
    <x v="451"/>
    <s v="https://drive.google.com/open?id=1gLpMmOaYaHjCj2EVLW7MrJKJ-gFFDUFW"/>
    <s v="Carrefour _x000a_Meschke Atacadista _x000a_Meschke 2848_x000a_Meschke avenida dos estados_x000a_Koch Floripa _x000a_Koch monte Agulhas Negras_x000a_Komprão 23 _x000a_Koch 08 _x000a_Komprão 55 _x000a_Komprão 38"/>
    <m/>
    <s v="Não"/>
    <m/>
    <m/>
    <m/>
    <m/>
    <m/>
    <m/>
    <m/>
    <m/>
    <x v="2"/>
    <n v="95.94"/>
    <n v="0"/>
    <n v="0"/>
    <n v="0"/>
    <n v="0"/>
    <x v="0"/>
    <x v="6"/>
    <e v="#NAME?"/>
  </r>
  <r>
    <d v="2026-07-11T09:40:46"/>
    <s v="matheus.moraes@mazzini.com.br"/>
    <x v="8"/>
    <s v="QIL7H04"/>
    <x v="140"/>
    <x v="450"/>
    <s v="https://drive.google.com/open?id=1hvIcLVGHHeYGDHPGAc2cnaWbx3o1RrDy"/>
    <x v="452"/>
    <s v="https://drive.google.com/open?id=13bA_oOG9QVNyY9J0HEuRe2dpeZ6ye6WI"/>
    <s v="Fort Indaial Lj 270, Supermercados Central 104, Brasil Atacadista Blumenau e Bistek Blumenau Park Europeu"/>
    <m/>
    <s v="Não"/>
    <m/>
    <m/>
    <m/>
    <m/>
    <m/>
    <m/>
    <m/>
    <m/>
    <x v="217"/>
    <n v="156.21"/>
    <n v="0"/>
    <n v="0"/>
    <n v="0"/>
    <n v="0"/>
    <x v="0"/>
    <x v="6"/>
    <e v="#NAME?"/>
  </r>
  <r>
    <d v="2026-07-16T08:25:23"/>
    <s v="lombardi2015@gmail.com"/>
    <x v="4"/>
    <s v="OWA4C07"/>
    <x v="140"/>
    <x v="451"/>
    <s v="https://drive.google.com/open?id=1KJ0FzJHy04fqO6y1Lz5wAb9REgbs7hmC"/>
    <x v="453"/>
    <s v="https://drive.google.com/open?id=1gv7ODfZk4ge0GE2stIY0xJiyXhXtma6t"/>
    <s v="KOMPRAO BARRA DO SUL,ANGELONI ,CONDOR 57"/>
    <m/>
    <s v="Não"/>
    <m/>
    <m/>
    <m/>
    <m/>
    <m/>
    <m/>
    <m/>
    <m/>
    <x v="146"/>
    <n v="120.53999999999999"/>
    <n v="0"/>
    <n v="0"/>
    <n v="0"/>
    <n v="0"/>
    <x v="0"/>
    <x v="6"/>
    <e v="#NAME?"/>
  </r>
  <r>
    <d v="2026-07-05T11:33:19"/>
    <s v="camila.althoff@mazzini.com.br"/>
    <x v="3"/>
    <s v="Mlz4j72"/>
    <x v="141"/>
    <x v="452"/>
    <s v="https://drive.google.com/open?id=1falz0V6zejZoU2ZcU_JYxnV6eez7lFts"/>
    <x v="454"/>
    <s v="https://drive.google.com/open?id=13M5xHEONhq0QTm0pMAkOMWZuPjiyuTPl"/>
    <s v="Fort 390, super A, Coordenadora"/>
    <m/>
    <s v="Não"/>
    <m/>
    <m/>
    <m/>
    <m/>
    <m/>
    <m/>
    <m/>
    <m/>
    <x v="3"/>
    <n v="66.42"/>
    <n v="0"/>
    <n v="0"/>
    <n v="0"/>
    <n v="0"/>
    <x v="0"/>
    <x v="6"/>
    <e v="#NAME?"/>
  </r>
  <r>
    <d v="2026-07-06T16:53:06"/>
    <s v="camila.althoff@mazzini.com.br"/>
    <x v="3"/>
    <s v="Mlz4j72"/>
    <x v="142"/>
    <x v="453"/>
    <s v="https://drive.google.com/open?id=1Ic2Vj8A-Ak3P2y_ojJ7dBmI0VQ40riVA"/>
    <x v="455"/>
    <s v="https://drive.google.com/open?id=1F2nwpnr8s6tzqaA8ZTALPkyifVa-1bI0"/>
    <s v="Correio centro."/>
    <m/>
    <s v="Sim"/>
    <m/>
    <m/>
    <m/>
    <m/>
    <s v="56.10"/>
    <s v="https://drive.google.com/open?id=1YsDm1zPagLRN5CPkJiAxo6fojTn6rZvC"/>
    <m/>
    <m/>
    <x v="210"/>
    <n v="29.52"/>
    <n v="0"/>
    <n v="0"/>
    <n v="56.1"/>
    <n v="0"/>
    <x v="0"/>
    <x v="6"/>
    <e v="#NAME?"/>
  </r>
  <r>
    <d v="2026-07-07T09:18:20"/>
    <s v="carlos.proenca@mazzini.com.br"/>
    <x v="11"/>
    <s v="tch4e45"/>
    <x v="142"/>
    <x v="454"/>
    <s v="https://drive.google.com/open?id=12YMZmvcxh5qeJ3i7mC2NvA-MZfzXrquP"/>
    <x v="456"/>
    <s v="https://drive.google.com/open?id=1CHvA6b35PjrDD8yp35I3bHzKdA606sqK"/>
    <s v="komprao tijucas, atacadao meu vizinho joinville, fort acadista joinville"/>
    <m/>
    <s v="Sim"/>
    <s v="20.80"/>
    <s v="https://drive.google.com/open?id=1bmcZkUAWSreOAn42_nynU6RRKFklMlNL, https://drive.google.com/open?id=1yowsXmSoZH1LJLy3GFMaAlh5fi7n1Z9a, https://drive.google.com/open?id=1WZbeKLEjcVQ4sveCOFap3nsCvdpZIyWF, https://drive.google.com/open?id=1vXyEgvX4GAo0VZ40Rbx336-5rYaTXbEB"/>
    <m/>
    <m/>
    <m/>
    <m/>
    <m/>
    <s v="rota para realizaçao de GSR inicial de supervisora Thays e supervisor Ricardo"/>
    <x v="218"/>
    <n v="510.45"/>
    <n v="20.8"/>
    <n v="0"/>
    <n v="0"/>
    <n v="0"/>
    <x v="0"/>
    <x v="6"/>
    <e v="#NAME?"/>
  </r>
  <r>
    <d v="2026-07-11T12:07:11"/>
    <s v="contato.martinsneto@gmail.com"/>
    <x v="9"/>
    <s v="IUT1C03"/>
    <x v="142"/>
    <x v="455"/>
    <s v="https://drive.google.com/open?id=1kZpOryV16OZElYcmUe3A6Ja7KxtXlGga"/>
    <x v="457"/>
    <s v="https://drive.google.com/open?id=1fOhGxnHSjE_la3w7r0vklBB7eM58R8DR"/>
    <s v="ko9ch 07 brasil pb koch 14"/>
    <m/>
    <s v="Não"/>
    <m/>
    <m/>
    <m/>
    <m/>
    <m/>
    <m/>
    <m/>
    <m/>
    <x v="4"/>
    <n v="61.5"/>
    <n v="0"/>
    <n v="0"/>
    <n v="0"/>
    <n v="0"/>
    <x v="0"/>
    <x v="6"/>
    <e v="#NAME?"/>
  </r>
  <r>
    <d v="2026-07-15T18:51:55"/>
    <s v="thayscarvalho.sfs2026@gmail.com"/>
    <x v="14"/>
    <s v="BAQ1E86"/>
    <x v="142"/>
    <x v="456"/>
    <s v="https://drive.google.com/open?id=1xQJm6-xqiq5hB1LFfJEmSnXayn5J4IDh"/>
    <x v="458"/>
    <s v="https://drive.google.com/open?id=1C7oo7vumH6q9OmGErLs8VsG18Y7Z40Lq"/>
    <s v="Fort 250_x000a_Komprão 51_x000a_Fui fazer o GSR com Carlos"/>
    <m/>
    <s v="Não"/>
    <m/>
    <m/>
    <m/>
    <m/>
    <m/>
    <m/>
    <m/>
    <m/>
    <x v="168"/>
    <n v="108.24"/>
    <n v="0"/>
    <n v="0"/>
    <n v="0"/>
    <n v="0"/>
    <x v="0"/>
    <x v="6"/>
    <e v="#NAME?"/>
  </r>
  <r>
    <d v="2026-07-09T09:11:59"/>
    <s v="camila.althoff@mazzini.com.br"/>
    <x v="3"/>
    <s v="Mlz4j72"/>
    <x v="143"/>
    <x v="457"/>
    <s v="https://drive.google.com/open?id=1BYi_lu98aoXxnXfemQJMjRrcK8TtWfU6"/>
    <x v="459"/>
    <s v="https://drive.google.com/open?id=1P6YcajTzTesLZeW0Jmr6OfMAyKfIheLt"/>
    <s v="Brasil rio Tavares, Fort campeche"/>
    <m/>
    <s v="Não"/>
    <m/>
    <m/>
    <m/>
    <m/>
    <m/>
    <m/>
    <m/>
    <m/>
    <x v="56"/>
    <n v="46.74"/>
    <n v="0"/>
    <n v="0"/>
    <n v="0"/>
    <n v="0"/>
    <x v="0"/>
    <x v="6"/>
    <e v="#NAME?"/>
  </r>
  <r>
    <d v="2026-07-13T16:45:13"/>
    <s v="carlos.proenca@mazzini.com.br"/>
    <x v="11"/>
    <s v="tch4e45"/>
    <x v="143"/>
    <x v="458"/>
    <s v="https://drive.google.com/open?id=1b7P2Si_KrOu5Rw_ikv1F3aSveWxxEsoZ"/>
    <x v="460"/>
    <s v="https://drive.google.com/open?id=1DBcy-1KUnOyGJwSA6NYyY8nKwWb6J3oZ"/>
    <s v="brasil atadista sertao maruim sao jose, fort kobrasol sao jose, fort atacadista jardim atlantico florianopolis"/>
    <m/>
    <s v="Não"/>
    <m/>
    <m/>
    <m/>
    <m/>
    <m/>
    <m/>
    <m/>
    <m/>
    <x v="108"/>
    <n v="56.58"/>
    <n v="0"/>
    <n v="0"/>
    <n v="0"/>
    <n v="0"/>
    <x v="0"/>
    <x v="6"/>
    <e v="#NAME?"/>
  </r>
  <r>
    <d v="2026-07-11T12:09:32"/>
    <s v="contato.martinsneto@gmail.com"/>
    <x v="9"/>
    <s v="IUT1C03"/>
    <x v="143"/>
    <x v="459"/>
    <s v="https://drive.google.com/open?id=1V5A2uD7YtKF_ccxKZ0B-9EKA189JYtPo"/>
    <x v="461"/>
    <s v="https://drive.google.com/open?id=1UtetwO4232dutdChRlDUFDArvrIA3_XT"/>
    <s v="Komprão 69 bombinhas _x000a_Komprão 15 PB_x000a_Komprão 37_x000a_Fort190_x000a_Brasil Atacadista 69_x000a_Koch 52_x000a_Komprão 18 _x000a_Komprão 82 _x000a_Comper itapema _x000a_Koch 09_x000a_Koch 14 _x000a_Koch 06 _x000a_Koch 04 _x000a_Joch41"/>
    <m/>
    <s v="Não"/>
    <m/>
    <m/>
    <m/>
    <m/>
    <m/>
    <m/>
    <m/>
    <m/>
    <x v="188"/>
    <n v="78.72"/>
    <n v="0"/>
    <n v="0"/>
    <n v="0"/>
    <n v="0"/>
    <x v="0"/>
    <x v="6"/>
    <e v="#NAME?"/>
  </r>
  <r>
    <d v="2026-07-10T09:17:42"/>
    <s v="camila.althoff@mazzini.com.br"/>
    <x v="3"/>
    <s v="Mlz4j72"/>
    <x v="144"/>
    <x v="460"/>
    <s v="https://drive.google.com/open?id=1gZ37z0L--mUyMYoXIF0ByCHNBklQmHv2"/>
    <x v="462"/>
    <s v="https://drive.google.com/open?id=1vbyugEsTFkyRBATh_hyPJUtsPrcbjF-8"/>
    <s v="Atacadão, sams, mwm, correio"/>
    <m/>
    <s v="Não"/>
    <m/>
    <m/>
    <m/>
    <m/>
    <m/>
    <m/>
    <m/>
    <m/>
    <x v="157"/>
    <n v="67.650000000000006"/>
    <n v="0"/>
    <n v="0"/>
    <n v="0"/>
    <n v="0"/>
    <x v="0"/>
    <x v="6"/>
    <e v="#NAME?"/>
  </r>
  <r>
    <d v="2026-07-09T15:54:54"/>
    <s v="carlos.proenca@mazzini.com.br"/>
    <x v="11"/>
    <s v="TXX2G41"/>
    <x v="144"/>
    <x v="461"/>
    <s v="https://drive.google.com/open?id=1sfBJcbW-cn6k5-dqVyXbgE0pOpkE-gw6"/>
    <x v="463"/>
    <s v="https://drive.google.com/open?id=128F4hozWHhR1d8m5a6UVXDhswPhDJeHn"/>
    <s v="FORT ATACADISTA PORTO BELO,BRASIL ATACADISTA PORTO BELO, KOMPRAO 37, KOMPRAO 15, KOCH 06,BRASIL ATACADISTA SAO JOSE SERTAO MARUIM."/>
    <m/>
    <s v="Sim"/>
    <s v="10.40"/>
    <s v="https://drive.google.com/open?id=1yC-rbPUw43BjLYUvmLBlkWzt8rz-HbgY, https://drive.google.com/open?id=1RT5KZV_QHBbx_EwepcenMIJnYv2iJfAY"/>
    <m/>
    <m/>
    <m/>
    <m/>
    <m/>
    <m/>
    <x v="219"/>
    <n v="237.39"/>
    <n v="10.4"/>
    <n v="0"/>
    <n v="0"/>
    <n v="0"/>
    <x v="0"/>
    <x v="6"/>
    <e v="#NAME?"/>
  </r>
  <r>
    <d v="2026-07-11T12:11:53"/>
    <s v="contato.martinsneto@gmail.com"/>
    <x v="9"/>
    <s v="IUT1C03"/>
    <x v="144"/>
    <x v="462"/>
    <s v="https://drive.google.com/open?id=13-8n7ScNSjero7jLgqfMT_DGf_C5K3Un"/>
    <x v="464"/>
    <s v="https://drive.google.com/open?id=1jnI8SSYeir4BOfnGO9KWbhoxQ3yzvxoZ"/>
    <s v="Komprão 74 _x000a_Fort 424 _x000a_Fort 310 _x000a_Comper itajai _x000a_Komprão 18"/>
    <m/>
    <s v="Não"/>
    <m/>
    <m/>
    <m/>
    <m/>
    <m/>
    <m/>
    <m/>
    <m/>
    <x v="97"/>
    <n v="130.38"/>
    <n v="0"/>
    <n v="0"/>
    <n v="0"/>
    <n v="0"/>
    <x v="0"/>
    <x v="6"/>
    <e v="#NAME?"/>
  </r>
  <r>
    <d v="2026-07-16T08:27:24"/>
    <s v="lombardi2015@gmail.com"/>
    <x v="4"/>
    <s v="OWA4C07"/>
    <x v="144"/>
    <x v="463"/>
    <s v="https://drive.google.com/open?id=1SWMuRi79bXEyE4pkm-wCIyGuqlNa_Iy6"/>
    <x v="465"/>
    <s v="https://drive.google.com/open?id=1nNTHxGOxDtcOb-e_LGo7GE-PEwkR1LwB"/>
    <s v="HIPER 740,KOMPRAO 59,HIPER MAIS"/>
    <m/>
    <s v="Não"/>
    <m/>
    <m/>
    <m/>
    <m/>
    <m/>
    <m/>
    <m/>
    <m/>
    <x v="67"/>
    <n v="39.36"/>
    <n v="0"/>
    <n v="0"/>
    <n v="0"/>
    <n v="0"/>
    <x v="0"/>
    <x v="6"/>
    <e v="#NAME?"/>
  </r>
  <r>
    <d v="2026-07-11T08:08:11"/>
    <s v="camila.althoff@mazzini.com.br"/>
    <x v="3"/>
    <s v="Mlz4j72"/>
    <x v="145"/>
    <x v="464"/>
    <s v="https://drive.google.com/open?id=1m_ctTZZI1hGCy7vQUvF8LSVmZmnt8UMN"/>
    <x v="466"/>
    <s v="https://drive.google.com/open?id=1WO9rnF4Q5bUWryEu4fRVD6hRlh9fu70D"/>
    <s v="Angeloni capoeiras, coordenadora reunião"/>
    <m/>
    <s v="Sim"/>
    <m/>
    <m/>
    <m/>
    <m/>
    <s v="34.00"/>
    <s v="https://drive.google.com/open?id=1_jeAgSZi4WhtprjGmyYR9cm3Oha9u1lh"/>
    <m/>
    <m/>
    <x v="96"/>
    <n v="70.11"/>
    <n v="0"/>
    <n v="0"/>
    <n v="34"/>
    <n v="0"/>
    <x v="0"/>
    <x v="6"/>
    <e v="#NAME?"/>
  </r>
  <r>
    <d v="2026-07-11T09:52:52"/>
    <s v="matheus.moraes@mazzini.com.br"/>
    <x v="8"/>
    <s v="QIL7H04"/>
    <x v="145"/>
    <x v="465"/>
    <s v="https://drive.google.com/open?id=1CeLBt9xyOgTG0AR9qdRJCBpXI5cpwrw4"/>
    <x v="467"/>
    <s v="https://drive.google.com/open?id=1swMjwS1LIKCncD0o4M08lfs25Ee_p1lx"/>
    <s v="Cooper Rodeio, Komprao49 Indaial Estados, Supermercados Mocam 402, Komprao Timbo Lj34 e Supermercados Mocam 401"/>
    <m/>
    <s v="Não"/>
    <m/>
    <m/>
    <m/>
    <m/>
    <m/>
    <m/>
    <m/>
    <m/>
    <x v="194"/>
    <n v="150.06"/>
    <n v="0"/>
    <n v="0"/>
    <n v="0"/>
    <n v="0"/>
    <x v="0"/>
    <x v="6"/>
    <e v="#NAME?"/>
  </r>
  <r>
    <d v="2026-07-15T19:05:20"/>
    <s v="thayscarvalho.sfs2026@gmail.com"/>
    <x v="14"/>
    <s v="BAQ1E86"/>
    <x v="145"/>
    <x v="466"/>
    <s v="https://drive.google.com/open?id=1E6przQ66mIjxJjCNaFimDpfpxffX4ztf"/>
    <x v="468"/>
    <s v="https://drive.google.com/open?id=1q2uHS4oRbicrLugtO3xpaSSu8ECy0KqF"/>
    <s v="Fort 405_x000a_Komprão guaramirim _x000a_Cooper Jaraguá _x000a_Condor Jaraguá _x000a_Komprão araquari 51"/>
    <m/>
    <s v="Não"/>
    <m/>
    <m/>
    <m/>
    <m/>
    <m/>
    <m/>
    <m/>
    <m/>
    <x v="220"/>
    <n v="220.17"/>
    <n v="0"/>
    <n v="0"/>
    <n v="0"/>
    <n v="0"/>
    <x v="0"/>
    <x v="6"/>
    <e v="#NAME?"/>
  </r>
  <r>
    <d v="2026-07-13T19:19:11"/>
    <s v="camila.althoff@mazzini.com.br"/>
    <x v="3"/>
    <s v="Mlz4j72"/>
    <x v="146"/>
    <x v="467"/>
    <s v="https://drive.google.com/open?id=1Uy3R5FPenSGkaYOnOgC_-XpzJt2cEs8U"/>
    <x v="469"/>
    <s v="https://drive.google.com/open?id=19YIuNoEH1bFKuqadAgCtrBuRm3COyUtN"/>
    <s v="Home office coordenadora"/>
    <m/>
    <s v="Não"/>
    <m/>
    <m/>
    <m/>
    <m/>
    <m/>
    <m/>
    <m/>
    <m/>
    <x v="107"/>
    <n v="81.179999999999993"/>
    <n v="0"/>
    <n v="0"/>
    <n v="0"/>
    <n v="0"/>
    <x v="0"/>
    <x v="6"/>
    <e v="#NAME?"/>
  </r>
  <r>
    <d v="2026-07-15T19:22:30"/>
    <s v="thayscarvalho.sfs2026@gmail.com"/>
    <x v="14"/>
    <s v="BAQ1E86"/>
    <x v="146"/>
    <x v="468"/>
    <s v="https://drive.google.com/open?id=1rBnF-I4HrxA1K5CLX7SZwsroLo32kPXx"/>
    <x v="470"/>
    <s v="https://drive.google.com/open?id=1YdP3pGsIOC2sSq7bVHZqZPPJgXc7fvWu"/>
    <s v="Fort são francisco _x000a_Koch São Francisco _x000a_Angeloni são francisco"/>
    <m/>
    <s v="Não"/>
    <m/>
    <m/>
    <m/>
    <m/>
    <m/>
    <m/>
    <m/>
    <m/>
    <x v="111"/>
    <n v="34.44"/>
    <n v="0"/>
    <n v="0"/>
    <n v="0"/>
    <n v="0"/>
    <x v="0"/>
    <x v="6"/>
    <e v="#NAME?"/>
  </r>
  <r>
    <d v="2026-07-14T18:28:00"/>
    <s v="camila.althoff@mazzini.com.br"/>
    <x v="3"/>
    <s v="Mlz4j72"/>
    <x v="147"/>
    <x v="469"/>
    <s v="https://drive.google.com/open?id=1T4JQT1ilFOcgGalAyBY9Qzv8DZ84GiAm"/>
    <x v="471"/>
    <s v="https://drive.google.com/open?id=1NiU8D-ijyUB1GPLdPyWvhI_ofK-iG_W3"/>
    <s v="Angeloni beira mar, Carrefour recolher EPI"/>
    <m/>
    <s v="Não"/>
    <m/>
    <m/>
    <m/>
    <m/>
    <m/>
    <m/>
    <m/>
    <m/>
    <x v="213"/>
    <n v="20.91"/>
    <n v="0"/>
    <n v="0"/>
    <n v="0"/>
    <n v="0"/>
    <x v="0"/>
    <x v="6"/>
    <e v="#NAME?"/>
  </r>
  <r>
    <d v="2026-07-17T19:45:00"/>
    <s v="geovanna.fdg@gmail.com"/>
    <x v="13"/>
    <s v="QIJ6F98"/>
    <x v="147"/>
    <x v="470"/>
    <s v="https://drive.google.com/open?id=1d2Vv0dTs14ImzIjbmPpg4Vu17Ll902e8"/>
    <x v="472"/>
    <s v="https://drive.google.com/open?id=1M0qbBQcHWzBQOit0TlUWSzVBH2EHCwq1"/>
    <s v="Koch lj 01 Tijucas, Koch lj 20 Tijucas, Komprão 24 Tijucas, Brasil Atac Tijucas, Komprão 53 Tijucas"/>
    <m/>
    <s v="Não"/>
    <m/>
    <m/>
    <m/>
    <m/>
    <m/>
    <m/>
    <m/>
    <m/>
    <x v="221"/>
    <n v="193.10999999999999"/>
    <n v="0"/>
    <n v="0"/>
    <n v="0"/>
    <n v="0"/>
    <x v="0"/>
    <x v="6"/>
    <e v="#NAME?"/>
  </r>
  <r>
    <d v="2026-07-15T16:41:44"/>
    <s v="contato.martinsneto@gmail.com"/>
    <x v="9"/>
    <s v="IUT1C03"/>
    <x v="147"/>
    <x v="471"/>
    <s v="https://drive.google.com/open?id=1jHOq0iScSTE938wkVYYUdo9myyihSUml"/>
    <x v="473"/>
    <s v="https://drive.google.com/open?id=1eNeZqQ_qI-kuIQAnUmK9RfaJzH-TKi1_"/>
    <s v="komprão 18 komnprão 37 brasil atacdista pb"/>
    <m/>
    <s v="Não"/>
    <m/>
    <m/>
    <m/>
    <m/>
    <m/>
    <m/>
    <m/>
    <m/>
    <x v="108"/>
    <n v="56.58"/>
    <n v="0"/>
    <n v="0"/>
    <n v="0"/>
    <n v="0"/>
    <x v="0"/>
    <x v="6"/>
    <e v="#NAME?"/>
  </r>
  <r>
    <d v="2026-07-15T16:36:56"/>
    <s v="matheus.moraes@mazzini.com.br"/>
    <x v="8"/>
    <s v="QIL7H04"/>
    <x v="147"/>
    <x v="472"/>
    <s v="https://drive.google.com/open?id=1fmZRCcJpOA7h5iCOHGR4yVspHn-K573X"/>
    <x v="474"/>
    <s v="https://drive.google.com/open?id=1mb5LmXrHWCGZbKuqX5Xz_agN5DHLgsVx"/>
    <s v="Fort Lj 270 Indaial, Cooper General Osorio e Mocam 401"/>
    <m/>
    <s v="Sim"/>
    <m/>
    <m/>
    <m/>
    <m/>
    <s v="66.20"/>
    <s v="https://drive.google.com/open?id=1VM5GWq5lFUksQdkgEJT8bmb38-ZRN0pW, https://drive.google.com/open?id=1gYM-V99xG0tPNxcaImN0WYL5UL8R1bSX"/>
    <m/>
    <m/>
    <x v="97"/>
    <n v="130.38"/>
    <n v="0"/>
    <n v="0"/>
    <n v="66.2"/>
    <n v="0"/>
    <x v="0"/>
    <x v="6"/>
    <e v="#NAME?"/>
  </r>
  <r>
    <d v="2026-07-16T08:29:24"/>
    <s v="lombardi2015@gmail.com"/>
    <x v="4"/>
    <s v="OWA4C07"/>
    <x v="147"/>
    <x v="473"/>
    <s v="https://drive.google.com/open?id=1-KpjtpDGsmM2Gd605O831C_YezD78nhl"/>
    <x v="475"/>
    <s v="https://drive.google.com/open?id=1ey5wmj6Xd3NmcmEnAM6uhOsorBFkwWg-"/>
    <s v="CONDOR RIO NEGRINHO,KOMPRAO 65,KOMPRAO 71"/>
    <m/>
    <s v="Não"/>
    <m/>
    <m/>
    <m/>
    <m/>
    <m/>
    <m/>
    <m/>
    <m/>
    <x v="199"/>
    <n v="300.12"/>
    <n v="0"/>
    <n v="0"/>
    <n v="0"/>
    <n v="0"/>
    <x v="0"/>
    <x v="6"/>
    <e v="#NAME?"/>
  </r>
  <r>
    <d v="2026-07-15T19:25:09"/>
    <s v="camila.althoff@mazzini.com.br"/>
    <x v="3"/>
    <s v="Mlz4j72"/>
    <x v="148"/>
    <x v="474"/>
    <s v="https://drive.google.com/open?id=1_eH-LEtjfI4Qqz3yYTfI6sEfAjJGgayw"/>
    <x v="476"/>
    <s v="https://drive.google.com/open?id=111qzx9jVhHEawZs4QSnCgDr9vEjXMYMj"/>
    <s v="Imperatriz Coqueiros"/>
    <m/>
    <s v="Não"/>
    <m/>
    <m/>
    <m/>
    <m/>
    <m/>
    <m/>
    <m/>
    <m/>
    <x v="222"/>
    <n v="31.98"/>
    <n v="0"/>
    <n v="0"/>
    <n v="0"/>
    <n v="0"/>
    <x v="0"/>
    <x v="6"/>
    <e v="#NAME?"/>
  </r>
  <r>
    <d v="2026-07-15T16:44:51"/>
    <s v="contato.martinsneto@gmail.com"/>
    <x v="9"/>
    <s v="IUT1C03"/>
    <x v="148"/>
    <x v="475"/>
    <s v="https://drive.google.com/open?id=1UAIYcpYrTRXyPtGsfGPlL7SRWr3OewLO"/>
    <x v="477"/>
    <s v="https://drive.google.com/open?id=19Qa--Kbd4GjSj3rFh5UCHfB8Y7z9iC6R"/>
    <s v="FORT 310 FORT 825 FORT 425"/>
    <m/>
    <s v="Sim"/>
    <m/>
    <m/>
    <s v="18.00"/>
    <s v="https://drive.google.com/open?id=12t51mNz9EUID0kTFIsh-kxiqTAQ_NV3q"/>
    <m/>
    <m/>
    <m/>
    <m/>
    <x v="89"/>
    <n v="123"/>
    <n v="0"/>
    <n v="18"/>
    <n v="0"/>
    <n v="0"/>
    <x v="0"/>
    <x v="6"/>
    <e v="#NAME?"/>
  </r>
  <r>
    <d v="2026-07-15T19:29:05"/>
    <s v="thayscarvalho.sfs2026@gmail.com"/>
    <x v="14"/>
    <s v="BAQ1E86"/>
    <x v="148"/>
    <x v="476"/>
    <s v="https://drive.google.com/open?id=1As1tEyQqj98FtGhK4wbQQtxJ5fuX1b1b"/>
    <x v="478"/>
    <s v="https://drive.google.com/open?id=1LwvPMPK_waJFsx5FsNq2CVs7iqCyZH2N"/>
    <s v="_x000a_Preceiro sao francisco _x000a_Retirar epis zeus_x000a_Fort 905_x000a_Komprão boa vista_x000a_"/>
    <m/>
    <s v="Não"/>
    <m/>
    <m/>
    <m/>
    <m/>
    <m/>
    <m/>
    <m/>
    <m/>
    <x v="21"/>
    <n v="152.52000000000001"/>
    <n v="0"/>
    <n v="0"/>
    <n v="0"/>
    <n v="0"/>
    <x v="0"/>
    <x v="6"/>
    <e v="#NAME?"/>
  </r>
  <r>
    <d v="2026-07-17T10:19:57"/>
    <s v="camila.althoff@mazzini.com.br"/>
    <x v="3"/>
    <s v="Mlz4j72"/>
    <x v="149"/>
    <x v="477"/>
    <s v="https://drive.google.com/open?id=1-uhoxthpVnat3rm9fdxQyqSLua2hCZm8"/>
    <x v="479"/>
    <s v="https://drive.google.com/open?id=1YlIUioV9tQD135CUl6Vp6V2iG1Ai9xN2"/>
    <s v="Cdd AmBev Blumenau"/>
    <m/>
    <s v="Sim"/>
    <s v="5.70"/>
    <s v="https://drive.google.com/open?id=18Z9WYlzo4IZOYG6nXMJUV6YpXCHpUDLT"/>
    <s v="35.00"/>
    <s v="https://drive.google.com/open?id=18_8ptSJAToFC-OoI_j2Rh3c1UkRqi1Sw"/>
    <s v="57.80"/>
    <s v="https://drive.google.com/open?id=1RJdO0cRWCmTMoniD1xBK8xzRPeUQ8BGP, https://drive.google.com/open?id=1nBX3jJsrpQHTUA2N1DRZeZiYx1D-W9q4, https://drive.google.com/open?id=16_VV1PwE2c6b0y_gtGM6PlyfV7uqI3ym"/>
    <m/>
    <m/>
    <x v="223"/>
    <n v="233.7"/>
    <n v="5.7"/>
    <n v="35"/>
    <n v="57.8"/>
    <n v="0"/>
    <x v="1"/>
    <x v="6"/>
    <e v="#NAME?"/>
  </r>
  <r>
    <d v="2026-07-30T12:56:06"/>
    <s v="contato.martinsneto@gmail.com"/>
    <x v="9"/>
    <s v="IUT1C03"/>
    <x v="149"/>
    <x v="475"/>
    <s v="https://drive.google.com/open?id=1dSfKYrBsGOXVKfeObeBQZvaIpMa6ip7v"/>
    <x v="477"/>
    <s v="https://drive.google.com/open?id=1LNaeS6ogLOFGLIU7Sm9lPS99t2H504TF"/>
    <s v="XXXX"/>
    <m/>
    <s v="Não"/>
    <m/>
    <m/>
    <m/>
    <m/>
    <m/>
    <m/>
    <m/>
    <m/>
    <x v="89"/>
    <n v="123"/>
    <n v="0"/>
    <n v="0"/>
    <n v="0"/>
    <n v="0"/>
    <x v="1"/>
    <x v="6"/>
    <e v="#NAME?"/>
  </r>
  <r>
    <d v="2026-07-16T20:53:58"/>
    <s v="thayscarvalho.sfs2026@gmail.com"/>
    <x v="14"/>
    <s v="BAQ1E86"/>
    <x v="149"/>
    <x v="478"/>
    <s v="https://drive.google.com/open?id=1tWP99SR5YLk4m4Yk_cshU-zJx9Iteezf"/>
    <x v="480"/>
    <s v="https://drive.google.com/open?id=123cr-RM6zHE8MVrYJQB5EhV1lnXK7C0k"/>
    <s v="Cooper guaramirim _x000a_Cooper centro_x000a_Angeloni e cia jaragua _x000a_Super A Jaraguá _x000a_Rancho bom esquerda"/>
    <m/>
    <s v="Não"/>
    <m/>
    <m/>
    <m/>
    <m/>
    <m/>
    <m/>
    <m/>
    <m/>
    <x v="175"/>
    <n v="182.04"/>
    <n v="0"/>
    <n v="0"/>
    <n v="0"/>
    <n v="0"/>
    <x v="1"/>
    <x v="6"/>
    <e v="#NAME?"/>
  </r>
  <r>
    <d v="2026-07-17T23:20:35"/>
    <s v="camila.althoff@mazzini.com.br"/>
    <x v="3"/>
    <s v="Mlz4j72"/>
    <x v="150"/>
    <x v="479"/>
    <s v="https://drive.google.com/open?id=1CQqp_l8cnUHKQ78rhPdIsKtfbuhg0dMc"/>
    <x v="481"/>
    <s v="https://drive.google.com/open?id=1T5LDJRletG5BSEVVvk3zIvpdRfBDOO8E"/>
    <s v="Cooper,Fort brusque"/>
    <m/>
    <s v="Sim"/>
    <m/>
    <m/>
    <m/>
    <m/>
    <s v="27.00"/>
    <m/>
    <m/>
    <m/>
    <x v="129"/>
    <n v="231.24"/>
    <n v="0"/>
    <n v="0"/>
    <n v="27"/>
    <n v="0"/>
    <x v="1"/>
    <x v="6"/>
    <e v="#NAME?"/>
  </r>
  <r>
    <d v="2026-07-30T12:58:28"/>
    <s v="contato.martinsneto@gmail.com"/>
    <x v="9"/>
    <s v="IUT1C03"/>
    <x v="150"/>
    <x v="480"/>
    <s v="https://drive.google.com/open?id=1xztl1sU6vz2lDCmRLRqqtqIolHc313CP"/>
    <x v="482"/>
    <s v="https://drive.google.com/open?id=1qyr5TiFAKzhQPdP-DR0WpoTrkSQFphTr"/>
    <s v="REUNIAO BLUEMNEAU"/>
    <m/>
    <s v="Não"/>
    <m/>
    <m/>
    <m/>
    <m/>
    <m/>
    <m/>
    <m/>
    <m/>
    <x v="190"/>
    <n v="207.87"/>
    <n v="0"/>
    <n v="0"/>
    <n v="0"/>
    <n v="0"/>
    <x v="1"/>
    <x v="6"/>
    <e v="#NAME?"/>
  </r>
  <r>
    <d v="2026-07-19T12:53:54"/>
    <s v="matheus.moraes@mazzini.com.br"/>
    <x v="8"/>
    <s v="QIL7H04"/>
    <x v="150"/>
    <x v="481"/>
    <s v="https://drive.google.com/open?id=1tlxcNu2QW1Z-DM8axRXQJYCMKOOCjt4A"/>
    <x v="483"/>
    <s v="https://drive.google.com/open?id=1I-VXz-xeJNYiL8u-5bUyeY0erbtLbT1k"/>
    <s v="Renião no CDD de Blumenau"/>
    <m/>
    <s v="Não"/>
    <m/>
    <m/>
    <m/>
    <m/>
    <m/>
    <m/>
    <m/>
    <m/>
    <x v="32"/>
    <n v="84.87"/>
    <n v="0"/>
    <n v="0"/>
    <n v="0"/>
    <n v="0"/>
    <x v="1"/>
    <x v="6"/>
    <e v="#NAME?"/>
  </r>
  <r>
    <d v="2026-07-19T13:01:46"/>
    <s v="matheus.moraes@mazzini.com.br"/>
    <x v="8"/>
    <s v="QIL7H04"/>
    <x v="150"/>
    <x v="482"/>
    <s v="https://drive.google.com/open?id=1sn8DsJY-OHQU9-Uq2lLvQw-vXXnhmSOr"/>
    <x v="484"/>
    <s v="https://drive.google.com/open?id=1p2SRaxuoTQ3TNSFbPOD2IRPG4Ez7c3mL"/>
    <s v="Cooper Atacarejo, Cooper Mafisa, Cooper Itoupava, Cooper General Osório, Cooper Nações, Cooper Centro Indaial"/>
    <m/>
    <s v="Não"/>
    <m/>
    <m/>
    <m/>
    <m/>
    <m/>
    <m/>
    <m/>
    <m/>
    <x v="14"/>
    <n v="163.59"/>
    <n v="0"/>
    <n v="0"/>
    <n v="0"/>
    <n v="0"/>
    <x v="1"/>
    <x v="6"/>
    <e v="#NAME?"/>
  </r>
  <r>
    <d v="2026-07-30T13:01:35"/>
    <s v="contato.martinsneto@gmail.com"/>
    <x v="9"/>
    <s v="IUT1C03"/>
    <x v="151"/>
    <x v="483"/>
    <s v="https://drive.google.com/open?id=1vYKq07Yx9GCHzJKGqhNxbqKNUEcLXNkh"/>
    <x v="485"/>
    <s v="https://drive.google.com/open?id=1G9pWi4Y28Gfqkr2riaZumn5zaYbYXE8l"/>
    <s v="XXXX"/>
    <m/>
    <s v="Não"/>
    <m/>
    <m/>
    <m/>
    <m/>
    <m/>
    <m/>
    <m/>
    <m/>
    <x v="153"/>
    <n v="114.39"/>
    <n v="0"/>
    <n v="0"/>
    <n v="0"/>
    <n v="0"/>
    <x v="1"/>
    <x v="6"/>
    <e v="#NAME?"/>
  </r>
  <r>
    <d v="2026-07-20T20:32:56"/>
    <s v="camila.althoff@mazzini.com.br"/>
    <x v="3"/>
    <s v="Mlz4j72"/>
    <x v="152"/>
    <x v="484"/>
    <s v="https://drive.google.com/open?id=1FXa4OkWwmXZDtkQnR6PmZsnco0qWf8sa"/>
    <x v="486"/>
    <s v="https://drive.google.com/open?id=1OgNIRwpYiPIQ8Cmd1F-l8wlfUvF3f-9a"/>
    <s v="Wmw equipamentos"/>
    <m/>
    <s v="Não"/>
    <m/>
    <m/>
    <m/>
    <m/>
    <m/>
    <m/>
    <m/>
    <m/>
    <x v="33"/>
    <n v="71.34"/>
    <n v="0"/>
    <n v="0"/>
    <n v="0"/>
    <n v="0"/>
    <x v="1"/>
    <x v="6"/>
    <e v="#NAME?"/>
  </r>
  <r>
    <d v="2026-07-22T14:11:05"/>
    <s v="camila.althoff@mazzini.com.br"/>
    <x v="3"/>
    <s v="Mlz4j72"/>
    <x v="153"/>
    <x v="485"/>
    <s v="https://drive.google.com/open?id=1joU_mmnAmvfnqCqinmHRwnQX_DLA9lXF"/>
    <x v="487"/>
    <s v="https://drive.google.com/open?id=16md5e_qONab1E4rOgTD_CSjbNGv_mfPn"/>
    <s v="Angeloni beira mar, Angeloni Trindade, Carrefour"/>
    <m/>
    <s v="Sim"/>
    <m/>
    <m/>
    <s v="20.00"/>
    <s v="https://drive.google.com/open?id=1hKSG6ThcJRGMBZCB3YHERcOxTEbMtSex"/>
    <m/>
    <m/>
    <m/>
    <m/>
    <x v="74"/>
    <n v="19.68"/>
    <n v="0"/>
    <n v="20"/>
    <n v="0"/>
    <n v="0"/>
    <x v="1"/>
    <x v="6"/>
    <e v="#NAME?"/>
  </r>
  <r>
    <d v="2026-07-27T21:29:26"/>
    <s v="geovanna.fdg@gmail.com"/>
    <x v="13"/>
    <s v="QIJ6F98"/>
    <x v="153"/>
    <x v="486"/>
    <s v="https://drive.google.com/open?id=1ga8mmSjGACjMpA2ZqlMvJFaI6yzuyhMK"/>
    <x v="488"/>
    <s v="https://drive.google.com/open?id=1He9Gg_eN68htyHrx2qlR6bvg-B7h7s6n"/>
    <s v="Fort 130, Fort 462, Fort Kobrasol"/>
    <m/>
    <s v="Não"/>
    <m/>
    <m/>
    <m/>
    <m/>
    <m/>
    <m/>
    <m/>
    <m/>
    <x v="216"/>
    <n v="27.06"/>
    <n v="0"/>
    <n v="0"/>
    <n v="0"/>
    <n v="0"/>
    <x v="1"/>
    <x v="6"/>
    <e v="#NAME?"/>
  </r>
  <r>
    <d v="2026-07-30T13:04:09"/>
    <s v="contato.martinsneto@gmail.com"/>
    <x v="9"/>
    <s v="IUT1C03"/>
    <x v="153"/>
    <x v="487"/>
    <s v="https://drive.google.com/open?id=12yfbUfklebPqKbnAroud35zC2UW2uZGH"/>
    <x v="489"/>
    <s v="https://drive.google.com/open?id=1mkb4fL4sfzZ_sjgpaY6IEdiUSJhbGbRN"/>
    <s v="XXXX"/>
    <m/>
    <s v="Não"/>
    <m/>
    <m/>
    <m/>
    <m/>
    <m/>
    <m/>
    <m/>
    <m/>
    <x v="120"/>
    <n v="79.95"/>
    <n v="0"/>
    <n v="0"/>
    <n v="0"/>
    <n v="0"/>
    <x v="1"/>
    <x v="6"/>
    <e v="#NAME?"/>
  </r>
  <r>
    <d v="2026-07-30T10:43:04"/>
    <s v="matheus.moraes@mazzini.com.br"/>
    <x v="8"/>
    <s v="QIL7H04"/>
    <x v="153"/>
    <x v="488"/>
    <s v="https://drive.google.com/open?id=1tzbc_JpT2UhXurcH-2K6hCkPx0-e4Ciz"/>
    <x v="490"/>
    <s v="https://drive.google.com/open?id=1ITfGS86VmcVxadlX6FDXUUtLcaSEDxf-"/>
    <s v="Cooper Omino, SuperA e Cooper Gloria"/>
    <n v="42"/>
    <s v="Não"/>
    <m/>
    <m/>
    <m/>
    <m/>
    <m/>
    <m/>
    <m/>
    <m/>
    <x v="184"/>
    <n v="183.27"/>
    <n v="0"/>
    <n v="0"/>
    <n v="0"/>
    <n v="0"/>
    <x v="1"/>
    <x v="6"/>
    <e v="#NAME?"/>
  </r>
  <r>
    <d v="2026-08-01T02:14:03"/>
    <s v="lombardi2025@gmail.com"/>
    <x v="4"/>
    <s v="OWA4C07"/>
    <x v="153"/>
    <x v="489"/>
    <s v="https://drive.google.com/open?id=1zxZ42hLNM7gu_pRXJCthkNApang3wu-W"/>
    <x v="491"/>
    <s v="https://drive.google.com/open?id=1F6gQr1VjRz4_Xk9q7X-G8b9-3QwmuhI2"/>
    <s v="KOMPRAO BARRA DO SUL"/>
    <m/>
    <s v="Não"/>
    <m/>
    <m/>
    <m/>
    <m/>
    <m/>
    <m/>
    <m/>
    <m/>
    <x v="41"/>
    <n v="137.76"/>
    <n v="0"/>
    <n v="0"/>
    <n v="0"/>
    <n v="0"/>
    <x v="1"/>
    <x v="6"/>
    <e v="#NAME?"/>
  </r>
  <r>
    <d v="2026-07-22T18:04:53"/>
    <s v="camila.althoff@mazzini.com.br"/>
    <x v="3"/>
    <s v="Mlz4j72"/>
    <x v="154"/>
    <x v="490"/>
    <s v="https://drive.google.com/open?id=1qLMGfJPdTGtE5bmnwvPmgrIVJaz0PpR3"/>
    <x v="492"/>
    <s v="https://drive.google.com/open?id=1qT4RVot1BkiE0enGB-Q5yaUEjR87pvTg"/>
    <s v="Imperatriz aeroporto, Fort campeche, brasil rio Tavares"/>
    <m/>
    <s v="Sim"/>
    <m/>
    <m/>
    <s v="24.00"/>
    <m/>
    <s v="29.00"/>
    <m/>
    <m/>
    <m/>
    <x v="108"/>
    <n v="56.58"/>
    <n v="0"/>
    <n v="24"/>
    <n v="29"/>
    <n v="0"/>
    <x v="1"/>
    <x v="6"/>
    <e v="#NAME?"/>
  </r>
  <r>
    <d v="2026-07-27T21:34:03"/>
    <s v="geovanna.fdg@gmail.com"/>
    <x v="13"/>
    <s v="QIJ6F98"/>
    <x v="154"/>
    <x v="491"/>
    <s v="https://drive.google.com/open?id=1WXTPKYddg2fkR3koztU_NuLp0tiZrKBf"/>
    <x v="493"/>
    <s v="https://drive.google.com/open?id=1D5vkBKQP39eI5LlWzFG3Vg2V3TaS2SUj"/>
    <s v="Roteiro de visita"/>
    <m/>
    <s v="Sim"/>
    <m/>
    <m/>
    <s v="24.00"/>
    <s v="https://drive.google.com/open?id=13HkQbaEn8pPnpAEZ4vs5wMucwlD5VHy0"/>
    <m/>
    <m/>
    <m/>
    <m/>
    <x v="224"/>
    <n v="140.22"/>
    <n v="0"/>
    <n v="24"/>
    <n v="0"/>
    <n v="0"/>
    <x v="1"/>
    <x v="6"/>
    <e v="#NAME?"/>
  </r>
  <r>
    <d v="2026-07-22T18:32:38"/>
    <s v="thayscarvalho.sfs2026@gmail.com"/>
    <x v="14"/>
    <s v="BAQ1E86"/>
    <x v="154"/>
    <x v="492"/>
    <s v="https://drive.google.com/open?id=1lUvcN8wG7gJsAjSqwis22bRNw83KzNOT"/>
    <x v="494"/>
    <s v="https://drive.google.com/open?id=1K4AF89M0jl7yOTjpLAHBdkSlvnEi7dGu"/>
    <s v="Fort 250_x000a_Fort 905_x000a_Komprão 77_x000a_Komprão 45_x000a_Fort tuiuti"/>
    <m/>
    <s v="Não"/>
    <m/>
    <m/>
    <m/>
    <m/>
    <m/>
    <m/>
    <m/>
    <m/>
    <x v="92"/>
    <n v="175.89"/>
    <n v="0"/>
    <n v="0"/>
    <n v="0"/>
    <n v="0"/>
    <x v="1"/>
    <x v="6"/>
    <e v="#NAME?"/>
  </r>
  <r>
    <d v="2026-07-23T18:27:14"/>
    <s v="camila.althoff@mazzini.com.br"/>
    <x v="3"/>
    <s v="Mlz4j72"/>
    <x v="155"/>
    <x v="493"/>
    <s v="https://drive.google.com/open?id=1Zd5a7BjhrdlxIgLHvIpECDphCv_1xBSG"/>
    <x v="495"/>
    <s v="https://drive.google.com/open?id=1oxa3c80sSrgkLinLv-zIlTW6NtJls1Pf"/>
    <s v="Angeloni beira mar, Angeloni capoeiras,"/>
    <m/>
    <s v="Sim"/>
    <m/>
    <m/>
    <s v="15.00"/>
    <s v="https://drive.google.com/open?id=1yeEGxDk_FccED2BnDVJD4DyizHstnuUm"/>
    <s v="40.70"/>
    <s v="https://drive.google.com/open?id=1-XGuwyN2TpLUc7FkEB2IqAep-babDn6c"/>
    <m/>
    <m/>
    <x v="44"/>
    <n v="38.130000000000003"/>
    <n v="0"/>
    <n v="15"/>
    <n v="40.700000000000003"/>
    <n v="0"/>
    <x v="1"/>
    <x v="6"/>
    <e v="#NAME?"/>
  </r>
  <r>
    <d v="2026-07-23T15:50:41"/>
    <s v="carlos.proenca@mazzini.com.br"/>
    <x v="11"/>
    <s v="TXZ2J88"/>
    <x v="155"/>
    <x v="494"/>
    <s v="https://drive.google.com/open?id=1zVrFnrZ7GC4Szv94DT5PdumlHAJNDmaP"/>
    <x v="496"/>
    <s v="https://drive.google.com/open?id=1GwG7cXcd680UpOwB3JfHWHk5ywtMytTF"/>
    <s v="FORT Atacadista kobrasol,atacadao biguaçu,atacadao via expressa,supermercado angeloni capoeiras,supermercado impératriz palhoça,"/>
    <m/>
    <s v="Sim"/>
    <m/>
    <m/>
    <m/>
    <m/>
    <m/>
    <m/>
    <m/>
    <s v="veiculo reserva pois meu fiat argo tch4e45 esta na oficina"/>
    <x v="25"/>
    <n v="86.1"/>
    <n v="0"/>
    <n v="0"/>
    <n v="0"/>
    <n v="0"/>
    <x v="1"/>
    <x v="6"/>
    <e v="#NAME?"/>
  </r>
  <r>
    <d v="2026-07-27T21:37:46"/>
    <s v="geovanna.fdg@gmail.com"/>
    <x v="13"/>
    <s v="QIJ6F98"/>
    <x v="155"/>
    <x v="495"/>
    <s v="https://drive.google.com/open?id=1OjF-TCZeyvU9HAYNcEDrJP7FIAvsgTxE"/>
    <x v="497"/>
    <s v="https://drive.google.com/open?id=1fw7y7nRBEbWR_VP-XsnGAGN7l87FfWdW"/>
    <s v="Roteiro de visita"/>
    <m/>
    <s v="Sim"/>
    <m/>
    <m/>
    <s v="55.00"/>
    <s v="https://drive.google.com/open?id=1ZJzF4kY6zNdOaiyMnIg-eHq2slC_Wsxo"/>
    <m/>
    <m/>
    <m/>
    <m/>
    <x v="25"/>
    <n v="86.1"/>
    <n v="0"/>
    <n v="55"/>
    <n v="0"/>
    <n v="0"/>
    <x v="1"/>
    <x v="6"/>
    <e v="#NAME?"/>
  </r>
  <r>
    <d v="2026-07-30T10:49:06"/>
    <s v="matheus.moraes@mazzini.com.br"/>
    <x v="8"/>
    <s v="QIL7H04"/>
    <x v="155"/>
    <x v="496"/>
    <s v="https://drive.google.com/open?id=1SQmbbB5rJZ6KC6o5WrIxV2DuWRi9rrFz"/>
    <x v="498"/>
    <s v="https://drive.google.com/open?id=1Tg9yWb59AUSgaTEXQWWoZr7MRkFClAoF"/>
    <s v="Fort Indaial ( virada de loja ) e Komprão Timbó"/>
    <m/>
    <s v="Não"/>
    <m/>
    <m/>
    <m/>
    <m/>
    <m/>
    <m/>
    <m/>
    <m/>
    <x v="33"/>
    <n v="71.34"/>
    <n v="0"/>
    <n v="0"/>
    <n v="0"/>
    <n v="0"/>
    <x v="1"/>
    <x v="6"/>
    <e v="#NAME?"/>
  </r>
  <r>
    <d v="2026-07-23T19:24:01"/>
    <s v="thayscarvalho.sfs2026@gmail.com"/>
    <x v="14"/>
    <s v="BAQ1E86"/>
    <x v="155"/>
    <x v="497"/>
    <s v="https://drive.google.com/open?id=1naPkBNnZcV2Wnzuqo3AtC_w8IWVX68hp"/>
    <x v="499"/>
    <s v="https://drive.google.com/open?id=1u4wmGcoedZNqRJ7qhDirVpeGjGnHwNCN"/>
    <s v="Komprão 28 são francisco do sul"/>
    <m/>
    <s v="Não"/>
    <m/>
    <m/>
    <m/>
    <m/>
    <m/>
    <m/>
    <m/>
    <m/>
    <x v="163"/>
    <n v="8.61"/>
    <n v="0"/>
    <n v="0"/>
    <n v="0"/>
    <n v="0"/>
    <x v="1"/>
    <x v="6"/>
    <e v="#NAME?"/>
  </r>
  <r>
    <d v="2026-07-26T16:46:25"/>
    <s v="camila.althoff@mazzini.com.br"/>
    <x v="3"/>
    <s v="Mlz4j72"/>
    <x v="156"/>
    <x v="498"/>
    <s v="https://drive.google.com/open?id=1jH-4iRv1V5oYCYXVQ-8jWZsmjHUq8S7s"/>
    <x v="500"/>
    <s v="https://drive.google.com/open?id=1mavF6PjQ0oSOsXfqT49p_dASCzvU2dhp"/>
    <s v="Angeloni capoeiras Angeloni beira mar"/>
    <m/>
    <s v="Não"/>
    <m/>
    <m/>
    <m/>
    <m/>
    <m/>
    <m/>
    <m/>
    <m/>
    <x v="193"/>
    <n v="40.589999999999996"/>
    <n v="0"/>
    <n v="0"/>
    <n v="0"/>
    <n v="0"/>
    <x v="1"/>
    <x v="6"/>
    <e v="#NAME?"/>
  </r>
  <r>
    <d v="2026-07-27T21:43:14"/>
    <s v="geovanna.fdg@gmail.com"/>
    <x v="13"/>
    <s v="QIJ6F98"/>
    <x v="156"/>
    <x v="499"/>
    <s v="https://drive.google.com/open?id=1SB9JjgvXZyw0XJUP_dFiYuWr06sOVC-X"/>
    <x v="501"/>
    <s v="https://drive.google.com/open?id=1eQJTP2pBBfBAPKe0-Hu2cM_6mG78AIJH"/>
    <s v="Roteiro de visita"/>
    <m/>
    <s v="Sim"/>
    <m/>
    <m/>
    <m/>
    <m/>
    <s v="26.85"/>
    <s v="https://drive.google.com/open?id=1jNDReZqReD8P3lB_tpwD136JXqF4e7SM"/>
    <m/>
    <m/>
    <x v="177"/>
    <n v="68.88"/>
    <n v="0"/>
    <n v="0"/>
    <n v="26.85"/>
    <n v="0"/>
    <x v="1"/>
    <x v="6"/>
    <e v="#NAME?"/>
  </r>
  <r>
    <d v="2026-07-30T13:05:46"/>
    <s v="contato.martinsneto@gmail.com"/>
    <x v="9"/>
    <s v="IUT1C03"/>
    <x v="156"/>
    <x v="500"/>
    <s v="https://drive.google.com/open?id=11Z6zU1iqaaQMR4djq0AdDXQhbfZxUrjx"/>
    <x v="502"/>
    <s v="https://drive.google.com/open?id=1T8vvL95ZOFAcSsfLT1MHkZpKgnd4CbIB"/>
    <s v="XXXX"/>
    <m/>
    <s v="Não"/>
    <m/>
    <m/>
    <m/>
    <m/>
    <m/>
    <m/>
    <m/>
    <m/>
    <x v="177"/>
    <n v="68.88"/>
    <n v="0"/>
    <n v="0"/>
    <n v="0"/>
    <n v="0"/>
    <x v="1"/>
    <x v="6"/>
    <e v="#NAME?"/>
  </r>
  <r>
    <d v="2026-08-01T02:16:12"/>
    <s v="lombardi2025@gmail.com"/>
    <x v="4"/>
    <s v="OWA4C07"/>
    <x v="156"/>
    <x v="501"/>
    <s v="https://drive.google.com/open?id=1aEDkaDXak3t8FZ2eWuZn7s0g34-5Sbcf"/>
    <x v="503"/>
    <s v="https://drive.google.com/open?id=1VcPE6xveDoZHMRLWW4WMKk7yA1dc6yhI"/>
    <s v="KOMPRAO 59,ANGELONI,CONDOR 57_x000a_"/>
    <m/>
    <s v="Não"/>
    <m/>
    <m/>
    <m/>
    <m/>
    <m/>
    <m/>
    <m/>
    <m/>
    <x v="82"/>
    <n v="119.31"/>
    <n v="0"/>
    <n v="0"/>
    <n v="0"/>
    <n v="0"/>
    <x v="1"/>
    <x v="6"/>
    <e v="#NAME?"/>
  </r>
  <r>
    <d v="2026-07-25T19:43:36"/>
    <s v="thayscarvalho.sfs2026@gmail.com"/>
    <x v="14"/>
    <s v="BAQ1E86"/>
    <x v="157"/>
    <x v="502"/>
    <s v="https://drive.google.com/open?id=1LdlI6AowTB7fchFEUZCOshXiKFcHjz0A"/>
    <x v="504"/>
    <s v="https://drive.google.com/open?id=1elf-d65Vz5FpSOod9dyi9mOTw7Mkq8ec"/>
    <s v="Preceiro sao francisco do sul"/>
    <m/>
    <s v="Não"/>
    <m/>
    <m/>
    <m/>
    <m/>
    <m/>
    <m/>
    <m/>
    <m/>
    <x v="225"/>
    <n v="23.37"/>
    <n v="0"/>
    <n v="0"/>
    <n v="0"/>
    <n v="0"/>
    <x v="1"/>
    <x v="6"/>
    <e v="#NAME?"/>
  </r>
  <r>
    <d v="2026-07-28T14:57:41"/>
    <s v="carlos.proenca@mazzini.com.br"/>
    <x v="11"/>
    <s v="TXZ2J88"/>
    <x v="158"/>
    <x v="503"/>
    <s v="https://drive.google.com/open?id=1YEEoTFw25QUKSpYOgVk6zT5aDNF_oCiM"/>
    <x v="505"/>
    <s v="https://drive.google.com/open?id=1wyX7Z6KVSq7s3hzPbPcfHOdGQl1jGZ1K"/>
    <s v="FORT KOBRASOL,KOMPRAO PALHOÇA, FORT ATACADISTA JARDIM ATLANTICO,KOMPRAO BIGUAÇU."/>
    <m/>
    <s v="Não"/>
    <m/>
    <m/>
    <m/>
    <m/>
    <m/>
    <m/>
    <m/>
    <m/>
    <x v="142"/>
    <n v="82.41"/>
    <n v="0"/>
    <n v="0"/>
    <n v="0"/>
    <n v="0"/>
    <x v="1"/>
    <x v="6"/>
    <e v="#NAME?"/>
  </r>
  <r>
    <d v="2026-07-31T13:16:39"/>
    <s v="geovanna.fdg@gmail.com"/>
    <x v="13"/>
    <s v="QIJ6F98"/>
    <x v="158"/>
    <x v="504"/>
    <s v="https://drive.google.com/open?id=1AOp0SGGT4SWMzakGfTx0LaPu4ksaOFI7"/>
    <x v="506"/>
    <s v="https://drive.google.com/open?id=1izHs3AIeA9OqJWbSvESBbEdh8PpssTB1"/>
    <s v="Komprão Pedra Branca, Fort Kobrasol, Fort 306"/>
    <m/>
    <s v="Não"/>
    <m/>
    <m/>
    <m/>
    <m/>
    <m/>
    <m/>
    <m/>
    <m/>
    <x v="226"/>
    <n v="52.89"/>
    <n v="0"/>
    <n v="0"/>
    <n v="0"/>
    <n v="0"/>
    <x v="1"/>
    <x v="6"/>
    <e v="#NAME?"/>
  </r>
  <r>
    <d v="2026-07-28T12:36:19"/>
    <s v="oliveiraagm7@gmail.com"/>
    <x v="6"/>
    <s v="EUF3090"/>
    <x v="158"/>
    <x v="505"/>
    <s v="https://drive.google.com/open?id=14BiaEaZjwkgoriyKVhQ2Z18_bbezT_rn"/>
    <x v="507"/>
    <s v="https://drive.google.com/open?id=1Wf0m-zZM2dUwTBzO_KpXTC_TIwDFacfL"/>
    <s v="Fort 260, Fort 960, Angeloni Lages, Brasil atacadista Lages, Bistek Lages, Stok Center Lages, Atacadao Lages"/>
    <m/>
    <s v="Não"/>
    <m/>
    <m/>
    <m/>
    <m/>
    <m/>
    <m/>
    <m/>
    <m/>
    <x v="71"/>
    <n v="259.52999999999997"/>
    <n v="0"/>
    <n v="0"/>
    <n v="0"/>
    <n v="0"/>
    <x v="1"/>
    <x v="6"/>
    <e v="#NAME?"/>
  </r>
  <r>
    <d v="2026-07-30T13:08:26"/>
    <s v="contato.martinsneto@gmail.com"/>
    <x v="9"/>
    <s v="IUT1C03"/>
    <x v="158"/>
    <x v="506"/>
    <s v="https://drive.google.com/open?id=1iLEwPgUp5sl2u6duJfq1IcFXtpBwma3a"/>
    <x v="508"/>
    <s v="https://drive.google.com/open?id=1j2OBg6Eg29x4tOLQs5JHVtsDdgAdVYix"/>
    <s v="INTEGRAÇÃO KOMPRAO 55 FOR 310 ITJ"/>
    <m/>
    <s v="Não"/>
    <m/>
    <m/>
    <m/>
    <m/>
    <m/>
    <m/>
    <m/>
    <m/>
    <x v="82"/>
    <n v="119.31"/>
    <n v="0"/>
    <n v="0"/>
    <n v="0"/>
    <n v="0"/>
    <x v="1"/>
    <x v="6"/>
    <e v="#NAME?"/>
  </r>
  <r>
    <d v="2026-08-01T02:18:48"/>
    <s v="lombardi2025@gmail.com"/>
    <x v="4"/>
    <s v="OWA4C07"/>
    <x v="158"/>
    <x v="507"/>
    <s v="https://drive.google.com/open?id=1DQCxTjlodp5TlSDLHQMzsHuthFifjoRm"/>
    <x v="509"/>
    <s v="https://drive.google.com/open?id=1I2eXzyjCJOS35_PldKFgnc1Mbp7exNDd"/>
    <s v="KOMPRAO RIO NEGRINHO,CONDOR ,FORT SÃO BENTO"/>
    <m/>
    <s v="Não"/>
    <m/>
    <m/>
    <m/>
    <m/>
    <m/>
    <m/>
    <m/>
    <m/>
    <x v="199"/>
    <n v="300.12"/>
    <n v="0"/>
    <n v="0"/>
    <n v="0"/>
    <n v="0"/>
    <x v="1"/>
    <x v="6"/>
    <e v="#NAME?"/>
  </r>
  <r>
    <d v="2026-07-28T19:52:13"/>
    <s v="thayscarvalho.sfs2026@gmail.com"/>
    <x v="14"/>
    <s v="BAQ1E86"/>
    <x v="158"/>
    <x v="508"/>
    <s v="https://drive.google.com/open?id=1XtDUadLSyHWPHWaJ6-pwzL8ny29hnvvy"/>
    <x v="510"/>
    <s v="https://drive.google.com/open?id=17eX2FqyN9E2icz5EQXKM1qDCmg9mNqU4"/>
    <s v="Komprão 50 araquari _x000a_Fort são francisco _x000a_Komprão 28 são francisco _x000a_"/>
    <m/>
    <s v="Não"/>
    <m/>
    <m/>
    <m/>
    <m/>
    <m/>
    <m/>
    <m/>
    <m/>
    <x v="177"/>
    <n v="68.88"/>
    <n v="0"/>
    <n v="0"/>
    <n v="0"/>
    <n v="0"/>
    <x v="1"/>
    <x v="6"/>
    <e v="#NAME?"/>
  </r>
  <r>
    <d v="2026-07-31T13:19:36"/>
    <s v="geovanna.fdg@gmail.com"/>
    <x v="13"/>
    <s v="QIJ6F98"/>
    <x v="159"/>
    <x v="509"/>
    <s v="https://drive.google.com/open?id=1wGk2mnzOSIKWHf_9lZKg6Cfd1HAo2DQx"/>
    <x v="511"/>
    <s v="https://drive.google.com/open?id=1ZgoobAS9P7PUCTkV67xpS1FCcpvWPzeP"/>
    <s v="Komprão Pedra Branca, Fort Kobrasol, Angeloni Beira Mar"/>
    <m/>
    <s v="Não"/>
    <m/>
    <m/>
    <m/>
    <m/>
    <m/>
    <m/>
    <m/>
    <m/>
    <x v="131"/>
    <n v="94.71"/>
    <n v="0"/>
    <n v="0"/>
    <n v="0"/>
    <n v="0"/>
    <x v="1"/>
    <x v="6"/>
    <e v="#NAME?"/>
  </r>
  <r>
    <d v="2026-07-29T18:03:02"/>
    <s v="thayscarvalho.sfs2026@gmail.com"/>
    <x v="14"/>
    <s v="BAQ1E86"/>
    <x v="159"/>
    <x v="510"/>
    <s v="https://drive.google.com/open?id=1hzlwSaH3TJ4RE0hOCRosZjdTgvj0MvSd"/>
    <x v="512"/>
    <s v="https://drive.google.com/open?id=1EJaxboMfsnIw7svgp3d4p5FTuBgz0J5P"/>
    <s v="Fort 905_x000a_Fort 405_x000a_Fort tuiuti _x000a_Retirei epis no zeus_x000a_Komprão 45 bom retiro"/>
    <m/>
    <s v="Não"/>
    <m/>
    <m/>
    <m/>
    <m/>
    <m/>
    <m/>
    <m/>
    <m/>
    <x v="79"/>
    <n v="196.8"/>
    <n v="0"/>
    <n v="0"/>
    <n v="0"/>
    <n v="0"/>
    <x v="1"/>
    <x v="6"/>
    <e v="#NAME?"/>
  </r>
  <r>
    <d v="2026-07-31T13:26:02"/>
    <s v="geovanna.fdg@gmail.com"/>
    <x v="13"/>
    <s v="QIJ6F98"/>
    <x v="160"/>
    <x v="511"/>
    <s v="https://drive.google.com/open?id=1ZbKXwN6zp2_7tfJNjYZYvuE5Up_YYAiP"/>
    <x v="513"/>
    <s v="https://drive.google.com/open?id=1G5xO4aa_10kk313YfNpcMr3Gkg0-Gi51"/>
    <s v="Fort 130, Fort 462, Komprão 79, Fort 306"/>
    <m/>
    <s v="Não"/>
    <m/>
    <m/>
    <m/>
    <m/>
    <m/>
    <m/>
    <m/>
    <m/>
    <x v="166"/>
    <n v="65.19"/>
    <n v="0"/>
    <n v="0"/>
    <n v="0"/>
    <n v="0"/>
    <x v="1"/>
    <x v="6"/>
    <e v="#NAME?"/>
  </r>
  <r>
    <d v="2026-08-01T02:22:46"/>
    <s v="lombardi2025@gmail.com"/>
    <x v="4"/>
    <s v="OWA4C07"/>
    <x v="161"/>
    <x v="512"/>
    <s v="https://drive.google.com/open?id=1eEYbZLmcLnQ56RYCG5Rx1wk59-5RMaJ6"/>
    <x v="514"/>
    <s v="https://drive.google.com/open?id=1XOybKa_VGz5RGueHumPoTgQ1tEmqcvHl"/>
    <s v="ANGELONI,BR ATACADISTA,KOMPRAO 59"/>
    <m/>
    <s v="Não"/>
    <m/>
    <m/>
    <m/>
    <m/>
    <m/>
    <m/>
    <m/>
    <m/>
    <x v="146"/>
    <n v="120.53999999999999"/>
    <n v="0"/>
    <n v="0"/>
    <n v="0"/>
    <n v="0"/>
    <x v="1"/>
    <x v="6"/>
    <e v="#NAME?"/>
  </r>
  <r>
    <d v="2026-08-03T11:26:27"/>
    <s v="oliveiraagm7@gmail.com"/>
    <x v="6"/>
    <s v="EUF3090"/>
    <x v="162"/>
    <x v="513"/>
    <s v="https://drive.google.com/open?id=11LvjRr1yngA87dL3a9bDJ4XLT8n0rZ8b"/>
    <x v="515"/>
    <s v="https://drive.google.com/open?id=1iE-HYfQQ10zoGNPhaw7C5xVn8TtTMcch"/>
    <s v="Fort Chapecó, Atacadao av Atílio Fontana e Atacadao Fernando Machado Chapecó"/>
    <m/>
    <s v="Não"/>
    <m/>
    <m/>
    <m/>
    <m/>
    <m/>
    <m/>
    <m/>
    <m/>
    <x v="227"/>
    <n v="311.19"/>
    <n v="0"/>
    <n v="0"/>
    <n v="0"/>
    <n v="0"/>
    <x v="0"/>
    <x v="7"/>
    <e v="#NAME?"/>
  </r>
  <r>
    <d v="2026-08-03T18:22:51"/>
    <s v="camila.althoff@mazzini.com.br"/>
    <x v="3"/>
    <s v="Mlz4j72"/>
    <x v="162"/>
    <x v="514"/>
    <s v="https://drive.google.com/open?id=1O1-fuTVOR9uMrOYVAAH-m1K5E2XGalZd"/>
    <x v="516"/>
    <s v="https://drive.google.com/open?id=1u__Zsl_7Isv8ZfVAU9l6RtatgijhpzeH"/>
    <s v="Mwm epis"/>
    <m/>
    <s v="Não"/>
    <m/>
    <m/>
    <m/>
    <m/>
    <m/>
    <m/>
    <m/>
    <m/>
    <x v="157"/>
    <n v="67.650000000000006"/>
    <n v="0"/>
    <n v="0"/>
    <n v="0"/>
    <n v="0"/>
    <x v="0"/>
    <x v="7"/>
    <e v="#NAME?"/>
  </r>
  <r>
    <d v="2026-08-15T21:10:34"/>
    <s v="contato.martinsneto@gmail.com"/>
    <x v="9"/>
    <s v="IUT1C03"/>
    <x v="162"/>
    <x v="515"/>
    <s v="https://drive.google.com/open?id=1SG2Rp7wPbnIw0zxoqf08ON-Sb1l7dsX2"/>
    <x v="517"/>
    <s v="https://drive.google.com/open?id=1LEjCDAyAJSuYlXiG-GcWl77_cJ1jTfVo"/>
    <s v="ROTA ITAJAI"/>
    <m/>
    <s v="Não"/>
    <m/>
    <m/>
    <m/>
    <m/>
    <m/>
    <m/>
    <m/>
    <m/>
    <x v="228"/>
    <n v="141.44999999999999"/>
    <n v="0"/>
    <n v="0"/>
    <n v="0"/>
    <n v="0"/>
    <x v="0"/>
    <x v="7"/>
    <e v="#NAME?"/>
  </r>
  <r>
    <d v="2026-08-04T13:28:00"/>
    <s v="thayscarvalho.sfs2026@gmail.com"/>
    <x v="14"/>
    <s v="BAQ1E86"/>
    <x v="163"/>
    <x v="516"/>
    <s v="https://drive.google.com/open?id=14eUxKM8mdZSmdTi8UwQW5ytPY_DSrTrk"/>
    <x v="518"/>
    <s v="https://drive.google.com/open?id=1_5dZV1eTYSuW9t5uHjVQBpNlSMAeANfC"/>
    <s v="Koch São Francisco. _x000a_Preceiro sao francisco _x000a_Gráfica"/>
    <m/>
    <s v="Sim"/>
    <m/>
    <m/>
    <m/>
    <m/>
    <m/>
    <s v="https://drive.google.com/open?id=1k5r0dPbKwdytahnbL88F_zMC0e5z3pJB"/>
    <m/>
    <s v="Despesas com gafrica ,impressão dos crachás"/>
    <x v="34"/>
    <n v="45.51"/>
    <n v="0"/>
    <n v="0"/>
    <n v="0"/>
    <n v="0"/>
    <x v="0"/>
    <x v="7"/>
    <e v="#NAME?"/>
  </r>
  <r>
    <d v="2026-08-04T18:05:31"/>
    <s v="oliveiraagm7@gmail.com"/>
    <x v="6"/>
    <s v="EUF3090"/>
    <x v="163"/>
    <x v="517"/>
    <s v="https://drive.google.com/open?id=1axlJdJKFerZsGIJsdaaFWVxKBGKT0zH3"/>
    <x v="519"/>
    <s v="https://drive.google.com/open?id=1gtPUzys6u231882rYeAarvGcWvM_my89"/>
    <s v="Setor de viagem Chapecó"/>
    <m/>
    <s v="Não"/>
    <m/>
    <m/>
    <m/>
    <m/>
    <m/>
    <m/>
    <m/>
    <m/>
    <x v="229"/>
    <n v="302.58"/>
    <n v="0"/>
    <n v="0"/>
    <n v="0"/>
    <n v="0"/>
    <x v="0"/>
    <x v="7"/>
    <e v="#NAME?"/>
  </r>
  <r>
    <d v="2026-08-04T18:12:28"/>
    <s v="camila.althoff@mazzini.com.br"/>
    <x v="3"/>
    <s v="Mlz4j72"/>
    <x v="163"/>
    <x v="518"/>
    <s v="https://drive.google.com/open?id=103EGoJSF4QM6IOc0L7GcbPmbh0P6FTin"/>
    <x v="520"/>
    <s v="https://drive.google.com/open?id=1ozYNPnuKhu1Qfhrd907T5INMWqAoX12P"/>
    <s v="Komprao Garopaba, manentti Criciúma, Fort tubarão"/>
    <m/>
    <s v="Sim"/>
    <s v="32.00"/>
    <s v="https://drive.google.com/open?id=1TkpVZQid20nKQsaw5v2lQs-zlrkKf0fU"/>
    <m/>
    <m/>
    <m/>
    <m/>
    <m/>
    <m/>
    <x v="230"/>
    <n v="567.03"/>
    <n v="32"/>
    <n v="0"/>
    <n v="0"/>
    <n v="0"/>
    <x v="0"/>
    <x v="7"/>
    <e v="#NAME?"/>
  </r>
  <r>
    <d v="2026-08-15T09:30:32"/>
    <s v="matheus.moraes@mazzini.com.br"/>
    <x v="8"/>
    <s v="QIL7H04"/>
    <x v="163"/>
    <x v="519"/>
    <s v="https://drive.google.com/open?id=1MgzZZnfGxm_v3u-QqNeb4RVjU5BORFtC"/>
    <x v="521"/>
    <s v="https://drive.google.com/open?id=1W8uUKVI4IP-NIVXqglwfxOHWa8aAYC-d"/>
    <s v="Komprão Blumenau, Top Fortaleza, SuperA Blumenau, Cooper Glória e Archer Gaspar"/>
    <m/>
    <s v="Não"/>
    <m/>
    <m/>
    <m/>
    <m/>
    <m/>
    <m/>
    <m/>
    <m/>
    <x v="231"/>
    <n v="164.82"/>
    <n v="0"/>
    <n v="0"/>
    <n v="0"/>
    <n v="0"/>
    <x v="0"/>
    <x v="7"/>
    <e v="#NAME?"/>
  </r>
  <r>
    <d v="2026-08-17T03:17:44"/>
    <s v="lombardi2025@gmail.com"/>
    <x v="4"/>
    <s v="OWA4C07"/>
    <x v="163"/>
    <x v="520"/>
    <s v="https://drive.google.com/open?id=1-xeHjpHNAIXROz85xt3cInewvjsa8AQJ"/>
    <x v="522"/>
    <s v="https://drive.google.com/open?id=1SjPKXsjmgEd90-koFr605jpRJN0sn0kM"/>
    <s v="komprão barra ,br atacadista"/>
    <m/>
    <s v="Não"/>
    <m/>
    <m/>
    <m/>
    <m/>
    <m/>
    <m/>
    <m/>
    <m/>
    <x v="194"/>
    <n v="150.06"/>
    <n v="0"/>
    <n v="0"/>
    <n v="0"/>
    <n v="0"/>
    <x v="0"/>
    <x v="7"/>
    <e v="#NAME?"/>
  </r>
  <r>
    <d v="2026-08-05T17:47:35"/>
    <s v="oliveiraagm7@gmail.com"/>
    <x v="6"/>
    <s v="EUF3090"/>
    <x v="164"/>
    <x v="521"/>
    <s v="https://drive.google.com/open?id=1JpFv2vWtfCZYeC_z-tvBXknhz4oKVLWI"/>
    <x v="523"/>
    <s v="https://drive.google.com/open?id=1xrm1w3ot2bBpDU8S6VvD2_raLprr8i0U"/>
    <s v="Fort 255 Rio do Sul, Brasil atacadista progresso Rio do Sul, rede top lontras, cooper ibirama"/>
    <m/>
    <s v="Não"/>
    <m/>
    <m/>
    <m/>
    <m/>
    <m/>
    <m/>
    <m/>
    <m/>
    <x v="232"/>
    <n v="494.46"/>
    <n v="0"/>
    <n v="0"/>
    <n v="0"/>
    <n v="0"/>
    <x v="0"/>
    <x v="7"/>
    <e v="#NAME?"/>
  </r>
  <r>
    <d v="2026-08-05T17:59:58"/>
    <s v="thayscarvalho.sfs2026@gmail.com"/>
    <x v="14"/>
    <s v="BAQ1E86"/>
    <x v="164"/>
    <x v="522"/>
    <s v="https://drive.google.com/open?id=17V61XzD79p_u2ye66MoQeW2xRkjXuA0s"/>
    <x v="524"/>
    <s v="https://drive.google.com/open?id=1SrieThbZ5zeCH8ge0tCdm07_FUeDH4us"/>
    <s v="Komprão 51 boa vista._x000a_Ângeloni 40 joinville _x000a_Imperatriz 37 joinville _x000a_Angeloni são francisco"/>
    <m/>
    <s v="Não"/>
    <m/>
    <m/>
    <m/>
    <m/>
    <m/>
    <m/>
    <m/>
    <m/>
    <x v="114"/>
    <n v="166.05"/>
    <n v="0"/>
    <n v="0"/>
    <n v="0"/>
    <n v="0"/>
    <x v="0"/>
    <x v="7"/>
    <e v="#NAME?"/>
  </r>
  <r>
    <d v="2026-08-05T18:31:13"/>
    <s v="camila.althoff@mazzini.com.br"/>
    <x v="3"/>
    <s v="Mlz4j72"/>
    <x v="164"/>
    <x v="523"/>
    <s v="https://drive.google.com/open?id=1YWWP5AtMxYuBEskuXJ9mff0MJTL8ByN5"/>
    <x v="525"/>
    <s v="https://drive.google.com/open?id=1BpJ22PoWyg4nJGRas-4PMqbDEr7E6KQc"/>
    <s v="Imperatriz Coqueiros, atacadão via expressa, sams,super A, wmw equipamentos"/>
    <m/>
    <s v="Não"/>
    <m/>
    <m/>
    <m/>
    <m/>
    <m/>
    <m/>
    <m/>
    <m/>
    <x v="178"/>
    <n v="75.03"/>
    <n v="0"/>
    <n v="0"/>
    <n v="0"/>
    <n v="0"/>
    <x v="0"/>
    <x v="7"/>
    <e v="#NAME?"/>
  </r>
  <r>
    <d v="2026-08-06T14:44:46"/>
    <s v="carlos.proenca@mazzini.com.br"/>
    <x v="11"/>
    <s v="TZX0A27"/>
    <x v="164"/>
    <x v="524"/>
    <s v="https://drive.google.com/open?id=1745Nshev7H5ArJVtN1TedQ7G0t6_YeBT"/>
    <x v="526"/>
    <s v="https://drive.google.com/open?id=1_BkD3GLR6hYBP_VteANTXWd5-KMKxdtw"/>
    <s v="super vizinhao, gsr supervisora Thays, GSR supervisor Ricardo, Fort joinville, komprao joinville."/>
    <m/>
    <s v="Sim"/>
    <s v="20.80"/>
    <s v="https://drive.google.com/open?id=1rangKO5r4w28WHn0SCajqBADCJcB8ufS, https://drive.google.com/open?id=1MNyW_OF6HX-s4i-6gF7PgH2RIHzl-gF4, https://drive.google.com/open?id=1gon7B6M_WbD1s7ZDwRPNgocx2hPbFeWE, https://drive.google.com/open?id=1ev03U6ltIE8x_dy-Bl6PMVR6tIt88F63"/>
    <m/>
    <m/>
    <m/>
    <m/>
    <m/>
    <s v="utilizei veiculo reserva pois o meu esta na oficina"/>
    <x v="233"/>
    <n v="517.83000000000004"/>
    <n v="20.8"/>
    <n v="0"/>
    <n v="0"/>
    <n v="0"/>
    <x v="0"/>
    <x v="7"/>
    <e v="#NAME?"/>
  </r>
  <r>
    <d v="2026-08-15T10:04:56"/>
    <s v="matheus.moraes@mazzini.com.br"/>
    <x v="8"/>
    <s v="QIL7H04"/>
    <x v="164"/>
    <x v="525"/>
    <s v="https://drive.google.com/open?id=1elKNzS81i6SwdNCfUg1yQ8-9kI3xExjC"/>
    <x v="527"/>
    <s v="https://drive.google.com/open?id=1kfT_xv-i8REWvO34ADFiEYNrANmTyWXb"/>
    <s v="Preceiro Indaial, Komprão Indaial, Cooper Atacarejo e Giassi"/>
    <m/>
    <s v="Não"/>
    <m/>
    <m/>
    <m/>
    <m/>
    <m/>
    <m/>
    <m/>
    <m/>
    <x v="224"/>
    <n v="140.22"/>
    <n v="0"/>
    <n v="0"/>
    <n v="0"/>
    <n v="0"/>
    <x v="0"/>
    <x v="7"/>
    <e v="#NAME?"/>
  </r>
  <r>
    <d v="2026-08-16T12:04:01"/>
    <s v="geovanna.fdg@gmail.com"/>
    <x v="13"/>
    <s v="QIJ6F98"/>
    <x v="164"/>
    <x v="526"/>
    <s v="https://drive.google.com/open?id=1cjjYdaLF1eKK4JkaULO-LvxaMaLkpphx"/>
    <x v="528"/>
    <s v="https://drive.google.com/open?id=1VuG7nE3lYmrkd94BOD45BznjII8gp62k"/>
    <s v="Atacadão Biguaçu, Fort 290, Koch Hipe flor, Komprão 83 Biguaçu, Fort 365, Bistek Av. das Torres"/>
    <m/>
    <s v="Não"/>
    <m/>
    <m/>
    <m/>
    <m/>
    <m/>
    <m/>
    <m/>
    <m/>
    <x v="52"/>
    <n v="93.48"/>
    <n v="0"/>
    <n v="0"/>
    <n v="0"/>
    <n v="0"/>
    <x v="0"/>
    <x v="7"/>
    <e v="#NAME?"/>
  </r>
  <r>
    <d v="2026-08-06T15:04:57"/>
    <s v="carlos.proenca@mazzini.com.br"/>
    <x v="11"/>
    <s v="TZX0A27"/>
    <x v="165"/>
    <x v="527"/>
    <s v="https://drive.google.com/open?id=19QIkYgeMRrmoYFdZVw9YYRSB0OHqiOEP"/>
    <x v="529"/>
    <s v="https://drive.google.com/open?id=1iAb0abUc-qsM4buWPicjuAxmnO8XqUj6"/>
    <s v="KOCH 48, FORT CAMBORIU, KOMPRAO Camboriu"/>
    <m/>
    <s v="Sim"/>
    <s v="10.40"/>
    <s v="https://drive.google.com/open?id=1SEAdI0rodTeXG3Lwb8VN0g6IR7wcb6M8, https://drive.google.com/open?id=1BumoJJ5kHKUMoPoSiG0kHmM5KZYidtIM"/>
    <m/>
    <m/>
    <m/>
    <m/>
    <m/>
    <s v="utilizei carro reserva pois o meu esta na oficina"/>
    <x v="68"/>
    <n v="268.14"/>
    <n v="10.4"/>
    <n v="0"/>
    <n v="0"/>
    <n v="0"/>
    <x v="0"/>
    <x v="7"/>
    <e v="#NAME?"/>
  </r>
  <r>
    <d v="2026-08-07T09:26:01"/>
    <s v="camila.althoff@mazzini.com.br"/>
    <x v="3"/>
    <s v="Mlz4j72"/>
    <x v="165"/>
    <x v="528"/>
    <s v="https://drive.google.com/open?id=13Jq_l-rY2QNzpHUHevDDc0tJLGsRPCQe"/>
    <x v="530"/>
    <s v="https://drive.google.com/open?id=1lsWCYtGO50X3X6pRXjbHcH9dqIrIhhz-"/>
    <s v="Brasil atacadista, Fort campeche"/>
    <m/>
    <s v="Não"/>
    <m/>
    <m/>
    <m/>
    <m/>
    <m/>
    <m/>
    <m/>
    <m/>
    <x v="56"/>
    <n v="46.74"/>
    <n v="0"/>
    <n v="0"/>
    <n v="0"/>
    <n v="0"/>
    <x v="0"/>
    <x v="7"/>
    <e v="#NAME?"/>
  </r>
  <r>
    <d v="2026-08-15T21:13:07"/>
    <s v="contato.martinsneto@gmail.com"/>
    <x v="9"/>
    <s v="IUT1C03"/>
    <x v="165"/>
    <x v="529"/>
    <s v="https://drive.google.com/open?id=1t_q9YId8XdyEaPCRuRyJAlDL_r2gf7yI"/>
    <x v="531"/>
    <s v="https://drive.google.com/open?id=1wZwCm_-8plJvs5ZbPiJ_EX2eAAn7xb8N"/>
    <s v="ROTA BALNEARIO"/>
    <m/>
    <s v="Não"/>
    <m/>
    <m/>
    <m/>
    <m/>
    <m/>
    <m/>
    <m/>
    <m/>
    <x v="23"/>
    <n v="111.92999999999999"/>
    <n v="0"/>
    <n v="0"/>
    <n v="0"/>
    <n v="0"/>
    <x v="0"/>
    <x v="7"/>
    <e v="#NAME?"/>
  </r>
  <r>
    <d v="2026-08-16T12:07:11"/>
    <s v="geovanna.fdg@gmail.com"/>
    <x v="13"/>
    <s v="QIJ6F98"/>
    <x v="165"/>
    <x v="530"/>
    <s v="https://drive.google.com/open?id=1tjeBI6TIVdBIX7UP0HGQTzewzLswQ2VP"/>
    <x v="532"/>
    <s v="https://drive.google.com/open?id=1k2ErOCywyh3puL0j-O_tehpyAX3A0cUb"/>
    <s v="Fort 130, Komprão 91, Brasil Atacadista São José,"/>
    <m/>
    <s v="Não"/>
    <m/>
    <m/>
    <m/>
    <m/>
    <m/>
    <m/>
    <m/>
    <m/>
    <x v="82"/>
    <n v="119.31"/>
    <n v="0"/>
    <n v="0"/>
    <n v="0"/>
    <n v="0"/>
    <x v="0"/>
    <x v="7"/>
    <e v="#NAME?"/>
  </r>
  <r>
    <d v="2026-08-07T16:59:08"/>
    <s v="camila.althoff@mazzini.com.br"/>
    <x v="3"/>
    <s v="Mlz4j72"/>
    <x v="166"/>
    <x v="531"/>
    <s v="https://drive.google.com/open?id=1-HoIlFr-FhGr1xdSUUQ_4FmoQn6Jpk2C"/>
    <x v="533"/>
    <s v="https://drive.google.com/open?id=1ZEf-sBGrxzqdjF4yBi-OZehlDr-HyabE"/>
    <s v="Fort 810, Fort 210, kock 47"/>
    <m/>
    <s v="Não"/>
    <m/>
    <m/>
    <m/>
    <m/>
    <m/>
    <m/>
    <m/>
    <m/>
    <x v="96"/>
    <n v="70.11"/>
    <n v="0"/>
    <n v="0"/>
    <n v="0"/>
    <n v="0"/>
    <x v="0"/>
    <x v="7"/>
    <e v="#NAME?"/>
  </r>
  <r>
    <d v="2026-08-11T00:04:45"/>
    <s v="camila.althoff@mazzini.com.br"/>
    <x v="3"/>
    <s v="Mlz4j72"/>
    <x v="166"/>
    <x v="532"/>
    <s v="https://drive.google.com/open?id=1hK6yUdQ9UAIbG4xHHAnhY8PNeaCBnjYr"/>
    <x v="534"/>
    <s v="https://drive.google.com/open?id=1gV52EGYyxw5K9sa_PC48YtMM4OzWq-Kf"/>
    <s v="Reunião AmBev"/>
    <m/>
    <s v="Sim"/>
    <m/>
    <m/>
    <m/>
    <m/>
    <s v="7.50"/>
    <s v="https://drive.google.com/open?id=1HNPmYCWH5knp4KaF_GGyMYL68wfPGGKz"/>
    <m/>
    <m/>
    <x v="62"/>
    <n v="72.569999999999993"/>
    <n v="0"/>
    <n v="0"/>
    <n v="7.5"/>
    <n v="0"/>
    <x v="0"/>
    <x v="7"/>
    <e v="#NAME?"/>
  </r>
  <r>
    <d v="2026-08-16T12:12:56"/>
    <s v="geovanna.fdg@gmail.com"/>
    <x v="13"/>
    <s v="QIJ6F98"/>
    <x v="166"/>
    <x v="533"/>
    <s v="https://drive.google.com/open?id=1DaWSKOIdeHvJImN6nheklqUmWiMwVs2V"/>
    <x v="535"/>
    <s v="https://drive.google.com/open?id=1LLvo8zVVarGmKXVuzpeBQzPdleLb8oSl"/>
    <s v="Komprão 67, Imperatriz, Komprão 91, Fort 130"/>
    <m/>
    <s v="Não"/>
    <m/>
    <m/>
    <m/>
    <m/>
    <m/>
    <m/>
    <m/>
    <m/>
    <x v="157"/>
    <n v="67.650000000000006"/>
    <n v="0"/>
    <n v="0"/>
    <n v="0"/>
    <n v="0"/>
    <x v="0"/>
    <x v="7"/>
    <e v="#NAME?"/>
  </r>
  <r>
    <d v="2026-08-17T03:23:35"/>
    <s v="lombardi2025@gmail.com"/>
    <x v="4"/>
    <s v="OWA4C07"/>
    <x v="166"/>
    <x v="534"/>
    <s v="https://drive.google.com/open?id=15tcY7uzF1fZ3o4j3q3C89TpNSUciCe07"/>
    <x v="536"/>
    <s v="https://drive.google.com/open?id=1SotrpoGK7L3kK8kZmPkR9NtoNX8SAbCn"/>
    <s v="KOMPRAO 71,KOMPRAO 65,CONDOR"/>
    <m/>
    <s v="Não"/>
    <m/>
    <m/>
    <m/>
    <m/>
    <m/>
    <m/>
    <m/>
    <m/>
    <x v="199"/>
    <n v="300.12"/>
    <n v="0"/>
    <n v="0"/>
    <n v="0"/>
    <n v="0"/>
    <x v="0"/>
    <x v="7"/>
    <e v="#NAME?"/>
  </r>
  <r>
    <d v="2026-08-14T12:09:21"/>
    <s v="camila.althoff@mazzini.com.br"/>
    <x v="3"/>
    <s v="Mlz4j72"/>
    <x v="167"/>
    <x v="535"/>
    <s v="https://drive.google.com/open?id=1t85s2MOkmvdph9zrgdqCaGT-A8gc2qqq"/>
    <x v="537"/>
    <s v="https://drive.google.com/open?id=1wKQGfWOjzOnXeZHmuioGSd52spBbs9NS"/>
    <s v="Angeloni agronômica"/>
    <m/>
    <s v="Sim"/>
    <m/>
    <m/>
    <m/>
    <m/>
    <m/>
    <m/>
    <m/>
    <m/>
    <x v="88"/>
    <n v="11.07"/>
    <n v="0"/>
    <n v="0"/>
    <n v="0"/>
    <n v="0"/>
    <x v="0"/>
    <x v="7"/>
    <e v="#NAME?"/>
  </r>
  <r>
    <d v="2026-08-11T16:27:34"/>
    <s v="camila.althoff@mazzini.com.br"/>
    <x v="3"/>
    <s v="Mlz4j72"/>
    <x v="168"/>
    <x v="536"/>
    <s v="https://drive.google.com/open?id=11qM-PzAalNbChSc0C2egwtTliPVuS1P0"/>
    <x v="538"/>
    <s v="https://drive.google.com/open?id=1rHKaS86OP6S-dAgs0nsQk1L2mg4_UQeO"/>
    <s v="Carrefour, Angeloni capoeiras, atacadão, sams, Fort 379, correio"/>
    <m/>
    <s v="Sim"/>
    <m/>
    <m/>
    <m/>
    <m/>
    <s v="46.80"/>
    <s v="https://drive.google.com/open?id=1vwNJFZa-BIxW2LHcqgAvnsR0fj2MWe47"/>
    <m/>
    <m/>
    <x v="1"/>
    <n v="44.28"/>
    <n v="0"/>
    <n v="0"/>
    <n v="46.8"/>
    <n v="0"/>
    <x v="0"/>
    <x v="7"/>
    <e v="#NAME?"/>
  </r>
  <r>
    <d v="2026-08-11T17:27:22"/>
    <s v="thayscarvalho.sfs2026@gmail.com"/>
    <x v="14"/>
    <s v="BAQ1E86"/>
    <x v="168"/>
    <x v="537"/>
    <s v="https://drive.google.com/open?id=1OLMeKkrm3bEa15v6rWkwypPf-Y0s4dNB"/>
    <x v="539"/>
    <s v="https://drive.google.com/open?id=10Qs0pHSz3mbUDDDb_YJ3dtflvurxmY99"/>
    <s v="Komprão guaramirim _x000a_Condor jaragua_x000a_Cooper centro_x000a_Ângeloni 40_x000a_Cooper vila nova_x000a_Rancho bom vieiras_x000a_Cooper guaramirim"/>
    <m/>
    <s v="Não"/>
    <m/>
    <m/>
    <m/>
    <m/>
    <m/>
    <m/>
    <m/>
    <m/>
    <x v="234"/>
    <n v="210.32999999999998"/>
    <n v="0"/>
    <n v="0"/>
    <n v="0"/>
    <n v="0"/>
    <x v="0"/>
    <x v="7"/>
    <e v="#NAME?"/>
  </r>
  <r>
    <d v="2026-08-15T21:15:23"/>
    <s v="contato.martinsneto@gmail.com"/>
    <x v="9"/>
    <s v="IUT1C03"/>
    <x v="168"/>
    <x v="538"/>
    <s v="https://drive.google.com/open?id=1LGfuqx48fD_7NND5VveId2HMB8SVOKMr"/>
    <x v="540"/>
    <s v="https://drive.google.com/open?id=1A6SF-ALvzWGj_RYp7aDycvAxpON9uRr6"/>
    <s v="ROTA ITAPEMA E PORTO BELO"/>
    <m/>
    <s v="Não"/>
    <m/>
    <m/>
    <m/>
    <m/>
    <m/>
    <m/>
    <m/>
    <m/>
    <x v="96"/>
    <n v="70.11"/>
    <n v="0"/>
    <n v="0"/>
    <n v="0"/>
    <n v="0"/>
    <x v="0"/>
    <x v="7"/>
    <e v="#NAME?"/>
  </r>
  <r>
    <d v="2026-08-17T03:26:30"/>
    <s v="lombardi2025@gmail.com"/>
    <x v="4"/>
    <s v="OWA4C07"/>
    <x v="168"/>
    <x v="539"/>
    <s v="https://drive.google.com/open?id=1E2jqKg6sTtFZnStjJoxHJE1FwrL4JrBO"/>
    <x v="541"/>
    <s v="https://drive.google.com/open?id=1-s8XzlPsJP6KtrCmLmVnqn7xci3_mLA4"/>
    <s v="KOMPRAO 59,COCNDOR COMASA,BR ATACADISTA,HIPER MAIS"/>
    <m/>
    <s v="Não"/>
    <m/>
    <m/>
    <m/>
    <m/>
    <m/>
    <m/>
    <m/>
    <m/>
    <x v="188"/>
    <n v="78.72"/>
    <n v="0"/>
    <n v="0"/>
    <n v="0"/>
    <n v="0"/>
    <x v="0"/>
    <x v="7"/>
    <e v="#NAME?"/>
  </r>
  <r>
    <d v="2026-08-12T18:26:10"/>
    <s v="thayscarvalho.sfs2026@gmail.com"/>
    <x v="14"/>
    <s v="BAQ1E86"/>
    <x v="169"/>
    <x v="540"/>
    <s v="https://drive.google.com/open?id=1zvQo-nJyxXn0oLf5dYaKGBIy48uZhE-r"/>
    <x v="542"/>
    <s v="https://drive.google.com/open?id=1HWYEz4j8iUqnbuoiU36U_35GxWT4kMmA"/>
    <s v="Fort costa Silva _x000a_Fort tuiti _x000a_Komprão 50"/>
    <m/>
    <s v="Não"/>
    <m/>
    <m/>
    <m/>
    <m/>
    <m/>
    <m/>
    <m/>
    <m/>
    <x v="235"/>
    <n v="185.73"/>
    <n v="0"/>
    <n v="0"/>
    <n v="0"/>
    <n v="0"/>
    <x v="0"/>
    <x v="7"/>
    <e v="#NAME?"/>
  </r>
  <r>
    <d v="2026-08-13T18:55:45"/>
    <s v="camila.althoff@mazzini.com.br"/>
    <x v="3"/>
    <s v="Mlz4j72"/>
    <x v="169"/>
    <x v="541"/>
    <s v="https://drive.google.com/open?id=1jByGyZTpBoqejvcqDDulTsLEgtotDTPI"/>
    <x v="543"/>
    <s v="https://drive.google.com/open?id=1GeRgGjqWKkCTBFSG0fq4EG1_Zwf_Mnct"/>
    <s v="Carrefour, prado 7"/>
    <m/>
    <s v="Sim"/>
    <m/>
    <m/>
    <s v="20.00"/>
    <s v="https://drive.google.com/open?id=1IMmUVypFjyd2hp7rijdOAsvrcPiCYH5R"/>
    <s v="33.50"/>
    <s v="https://drive.google.com/open?id=1esk9ibz-wBc_urUAo1x8bVQ-G4-vxDJO"/>
    <m/>
    <m/>
    <x v="121"/>
    <n v="41.82"/>
    <n v="0"/>
    <n v="20"/>
    <n v="33.5"/>
    <n v="0"/>
    <x v="0"/>
    <x v="7"/>
    <e v="#NAME?"/>
  </r>
  <r>
    <d v="2026-08-14T09:09:49"/>
    <s v="carlos.proenca@mazzini.com.br"/>
    <x v="11"/>
    <s v="TZX0A27"/>
    <x v="169"/>
    <x v="542"/>
    <s v="https://drive.google.com/open?id=1kz5724htosXA3Wkx8xfa7mgRI526XL5y"/>
    <x v="544"/>
    <s v="https://drive.google.com/open?id=1JAmkp-2sWb9x8gxWaLdLBE9fp5h_NzYO"/>
    <s v="Angeloni beira mar, Supera sao jose, fort atacadista campeche, brasil atacadista rio tavares"/>
    <m/>
    <s v="Não"/>
    <m/>
    <m/>
    <m/>
    <m/>
    <m/>
    <m/>
    <m/>
    <m/>
    <x v="123"/>
    <n v="142.68"/>
    <n v="0"/>
    <n v="0"/>
    <n v="0"/>
    <n v="0"/>
    <x v="0"/>
    <x v="7"/>
    <e v="#NAME?"/>
  </r>
  <r>
    <d v="2026-08-15T08:36:28"/>
    <s v="camila.althoff@mazzini.com.br"/>
    <x v="3"/>
    <s v="Mlz4j72"/>
    <x v="170"/>
    <x v="543"/>
    <s v="https://drive.google.com/open?id=1-e0XpHkrE9ONVIgDbYyYPmReRBIV8tzM"/>
    <x v="545"/>
    <s v="https://drive.google.com/open?id=1aMXuHy9_3LKrY_cPWzfz_CTc589hjSxb"/>
    <s v="Fort tubarão, manentti, Komprao"/>
    <m/>
    <s v="Não"/>
    <m/>
    <m/>
    <m/>
    <m/>
    <m/>
    <m/>
    <m/>
    <m/>
    <x v="236"/>
    <n v="576.87"/>
    <n v="0"/>
    <n v="0"/>
    <n v="0"/>
    <n v="0"/>
    <x v="0"/>
    <x v="7"/>
    <e v="#NAME?"/>
  </r>
  <r>
    <d v="2026-08-17T03:30:02"/>
    <s v="lombardi2025@gmail.com"/>
    <x v="4"/>
    <s v="OWA4C07"/>
    <x v="170"/>
    <x v="544"/>
    <s v="https://drive.google.com/open?id=1HHPIKVi05h2-cyLS-zkZyuoLllxLmrKp"/>
    <x v="546"/>
    <s v="https://drive.google.com/open?id=1ufzvzARHGmWk-thiLyuFD2xepUvPVMSD"/>
    <s v="FORT SÃO BENTO,CONDOR SERRA ALTA,HIPER MAIS"/>
    <m/>
    <s v="Não"/>
    <m/>
    <m/>
    <m/>
    <m/>
    <m/>
    <m/>
    <m/>
    <m/>
    <x v="203"/>
    <n v="228.78"/>
    <n v="0"/>
    <n v="0"/>
    <n v="0"/>
    <n v="0"/>
    <x v="0"/>
    <x v="7"/>
    <e v="#NAME?"/>
  </r>
  <r>
    <d v="2026-08-15T21:18:09"/>
    <s v="contato.martinsneto@gmail.com"/>
    <x v="9"/>
    <s v="IUT1C03"/>
    <x v="171"/>
    <x v="545"/>
    <s v="https://drive.google.com/open?id=1qiZlXmRb_XnqH8FB6ChIgzgFTZKg33j2"/>
    <x v="547"/>
    <s v="https://drive.google.com/open?id=1Y-ukfgabDFkx7xLfl4p1GmDxbvDVOPKo"/>
    <s v="ROTEIRO BOMBINHAS E ITAPEMA RECOLHIMENTOI EPI LORHAN"/>
    <m/>
    <s v="Não"/>
    <m/>
    <m/>
    <m/>
    <m/>
    <m/>
    <m/>
    <m/>
    <m/>
    <x v="48"/>
    <n v="87.33"/>
    <n v="0"/>
    <n v="0"/>
    <n v="0"/>
    <n v="0"/>
    <x v="0"/>
    <x v="7"/>
    <e v="#NAME?"/>
  </r>
  <r>
    <d v="2026-08-31T12:04:32"/>
    <s v="martinsneto047@gmail.com"/>
    <x v="9"/>
    <s v="IUT1C03"/>
    <x v="172"/>
    <x v="545"/>
    <s v="https://drive.google.com/open?id=1-1WsZUwiPta8Sbrh7GS0-krr7C7ZIt38"/>
    <x v="547"/>
    <s v="https://drive.google.com/open?id=1Imn878KCxAQcQkR_8pCaIJLx3fd4RfTr"/>
    <s v="ROTA ITAJAI"/>
    <m/>
    <s v="Não"/>
    <m/>
    <m/>
    <m/>
    <m/>
    <m/>
    <m/>
    <m/>
    <m/>
    <x v="48"/>
    <n v="87.33"/>
    <n v="0"/>
    <n v="0"/>
    <n v="0"/>
    <n v="0"/>
    <x v="1"/>
    <x v="7"/>
    <e v="#NAME?"/>
  </r>
  <r>
    <d v="2026-08-18T18:23:07"/>
    <s v="camila.althoff@mazzini.com.br"/>
    <x v="3"/>
    <s v="Mlz4j72"/>
    <x v="173"/>
    <x v="546"/>
    <s v="https://drive.google.com/open?id=1TyDaWdT4gqjlUF8X-m_3I71ryW6bklZn"/>
    <x v="548"/>
    <s v="https://drive.google.com/open?id=1hM_bkNqKlW75ulPW2fvxy9EUwezJ8kYi"/>
    <s v="Correio"/>
    <m/>
    <s v="Sim"/>
    <m/>
    <m/>
    <m/>
    <m/>
    <s v="29.80"/>
    <s v="https://drive.google.com/open?id=1Va3YwJHrCMDCBP6v2LaDRQMVdMcreCMl"/>
    <m/>
    <m/>
    <x v="81"/>
    <n v="14.76"/>
    <n v="0"/>
    <n v="0"/>
    <n v="29.8"/>
    <n v="0"/>
    <x v="1"/>
    <x v="7"/>
    <e v="#NAME?"/>
  </r>
  <r>
    <d v="2026-08-18T19:49:17"/>
    <s v="thayscarvalho.sfs2026@gmail.com"/>
    <x v="14"/>
    <s v="BAQ1E86"/>
    <x v="173"/>
    <x v="547"/>
    <s v="https://drive.google.com/open?id=1ve9hrBUU9BsozQ21Su45t67l_pK7CjqA"/>
    <x v="549"/>
    <s v="https://drive.google.com/open?id=1gPYbor0MoSAdhqcCka2ZBZ4WlYD3Kf9Y"/>
    <s v="Komprão 50 araquari _x000a_Brasil atacadista _x000a_Fort 405 Costa Silva_x000a_Zeus retirar epis_x000a_Komprão 77 vila nova_x000a_Super A Jaraguá _x000a_Rancho bom amizade Jaraguá _x000a_Fort costa Silva"/>
    <m/>
    <s v="Não"/>
    <m/>
    <m/>
    <m/>
    <m/>
    <m/>
    <m/>
    <m/>
    <m/>
    <x v="237"/>
    <n v="321.02999999999997"/>
    <n v="0"/>
    <n v="0"/>
    <n v="0"/>
    <n v="0"/>
    <x v="1"/>
    <x v="7"/>
    <e v="#NAME?"/>
  </r>
  <r>
    <d v="2026-08-31T12:08:06"/>
    <s v="contato.martinsneto@gmail.com"/>
    <x v="9"/>
    <s v="IUT1C03"/>
    <x v="173"/>
    <x v="548"/>
    <s v="https://drive.google.com/open?id=1exKPxLp5HyXitxltD-rEe3ID-tHY9HTF"/>
    <x v="550"/>
    <s v="https://drive.google.com/open?id=1-2sQAT1FH8asb8_65-RgDmMQhq_uts8i"/>
    <s v="ROTA ITAPMEMA"/>
    <m/>
    <s v="Não"/>
    <m/>
    <m/>
    <m/>
    <m/>
    <m/>
    <m/>
    <m/>
    <m/>
    <x v="238"/>
    <n v="136.53"/>
    <n v="0"/>
    <n v="0"/>
    <n v="0"/>
    <n v="0"/>
    <x v="1"/>
    <x v="7"/>
    <e v="#NAME?"/>
  </r>
  <r>
    <d v="2026-08-31T21:24:10"/>
    <s v="geovanna.fdg@gmail.com"/>
    <x v="13"/>
    <s v="QIJ6F98"/>
    <x v="173"/>
    <x v="549"/>
    <s v="https://drive.google.com/open?id=1zV_etNhcMnoiyuLKbYfcIWQ2BGU3Y84b"/>
    <x v="551"/>
    <s v="https://drive.google.com/open?id=1og1ojyk8rX3eKR2lB_E4rVbwwwl6Xnm4"/>
    <s v="Komprão 53 Tijucas, Archer Brusque, Komprão 36 Brusque, Fort Brusque"/>
    <m/>
    <s v="Não"/>
    <m/>
    <m/>
    <m/>
    <m/>
    <m/>
    <m/>
    <m/>
    <m/>
    <x v="143"/>
    <n v="305.04000000000002"/>
    <n v="0"/>
    <n v="0"/>
    <n v="0"/>
    <n v="0"/>
    <x v="1"/>
    <x v="7"/>
    <e v="#NAME?"/>
  </r>
  <r>
    <d v="2026-08-19T19:46:38"/>
    <s v="kamilacristine@hotmail.com"/>
    <x v="3"/>
    <s v="Mlz4j72"/>
    <x v="174"/>
    <x v="550"/>
    <s v="https://drive.google.com/open?id=1rJ-wuH5K65OvLC0kvX_PEqqbZyepZDM_"/>
    <x v="552"/>
    <s v="https://drive.google.com/open?id=1wbcQqy10NOlo0ItEqKma-xrlCKYYnvP9"/>
    <s v="Imperatriz Coqueiros, atacadão via expressa, wmw_x000a_"/>
    <m/>
    <s v="Não"/>
    <m/>
    <m/>
    <m/>
    <m/>
    <m/>
    <m/>
    <m/>
    <m/>
    <x v="148"/>
    <n v="77.489999999999995"/>
    <n v="0"/>
    <n v="0"/>
    <n v="0"/>
    <n v="0"/>
    <x v="1"/>
    <x v="7"/>
    <e v="#NAME?"/>
  </r>
  <r>
    <d v="2026-08-19T22:26:54"/>
    <s v="oliveiraagm7@gmail.com"/>
    <x v="6"/>
    <s v="EUF3090"/>
    <x v="174"/>
    <x v="551"/>
    <s v="https://drive.google.com/open?id=14MEp9njutUyuPWh7GjeFnY6ew8CJbu9r"/>
    <x v="553"/>
    <s v="https://drive.google.com/open?id=1r0TFuAvIQ6LBWUt0P-gXLeThXTMOwfu8"/>
    <s v="Fort 960 Lages, Stok Center Lages, Bistek Lages, Atacadao Lages, Angeloni Lages, Brasil atacadista Lages e Fort 260 Lages"/>
    <m/>
    <s v="Não"/>
    <m/>
    <m/>
    <m/>
    <m/>
    <m/>
    <m/>
    <m/>
    <m/>
    <x v="239"/>
    <n v="265.68"/>
    <n v="0"/>
    <n v="0"/>
    <n v="0"/>
    <n v="0"/>
    <x v="1"/>
    <x v="7"/>
    <e v="#NAME?"/>
  </r>
  <r>
    <d v="2026-08-31T12:12:50"/>
    <s v="contato.martinsneto@gmail.com"/>
    <x v="9"/>
    <s v="IUT1C03"/>
    <x v="174"/>
    <x v="552"/>
    <s v="https://drive.google.com/open?id=16yaJeCgzIdhXwSY9vWCxnIG-b48EDs55"/>
    <x v="554"/>
    <s v="https://drive.google.com/open?id=1dLiVZhsH_2Fmc5bD3O5jSmn-ugyP4G6R"/>
    <s v="ITAJAI BALNEARIO"/>
    <m/>
    <s v="Sim"/>
    <m/>
    <m/>
    <m/>
    <m/>
    <s v="96.60"/>
    <s v="https://drive.google.com/open?id=12RBGh-yjvR1CWU3IllXi8idN532-gmxt"/>
    <m/>
    <m/>
    <x v="73"/>
    <n v="104.55"/>
    <n v="0"/>
    <n v="0"/>
    <n v="96.6"/>
    <n v="0"/>
    <x v="1"/>
    <x v="7"/>
    <e v="#NAME?"/>
  </r>
  <r>
    <d v="2026-08-31T21:43:55"/>
    <s v="geovanna.fdg@gmail.com"/>
    <x v="13"/>
    <s v="QIJ6F98"/>
    <x v="174"/>
    <x v="553"/>
    <s v="https://drive.google.com/open?id=1HErJLAfRQvW1jHTWb_O9dLNpY9NTKaWx"/>
    <x v="555"/>
    <s v="https://drive.google.com/open?id=1owvmYQjXLgFMpzRBPAT01wmZngTHahx7"/>
    <s v="Komprao Pedra Branca, Fort 462, Zeus do Brasil, Komprao 56 Gov. Celso Ramos, Fort 130"/>
    <m/>
    <s v="Não"/>
    <m/>
    <m/>
    <m/>
    <m/>
    <m/>
    <m/>
    <m/>
    <m/>
    <x v="172"/>
    <n v="157.44"/>
    <n v="0"/>
    <n v="0"/>
    <n v="0"/>
    <n v="0"/>
    <x v="1"/>
    <x v="7"/>
    <e v="#NAME?"/>
  </r>
  <r>
    <d v="2026-08-20T19:26:39"/>
    <s v="camila.althoff@mazzini.com.br"/>
    <x v="3"/>
    <s v="Mlz4j72"/>
    <x v="175"/>
    <x v="554"/>
    <s v="https://drive.google.com/open?id=1OwGYe29CfG184qdjX_sBivB5c_kfXuPX"/>
    <x v="556"/>
    <s v="https://drive.google.com/open?id=1JmzOuEaO7wHZfYaywUnSDiMQPNDWCFrc"/>
    <s v="Komprao Garopaba recolher EPIs e celular"/>
    <m/>
    <s v="Sim"/>
    <s v="11.40"/>
    <s v="https://drive.google.com/open?id=17vzKyuGX1TsVp0brCsO9lTSrYLTpHcbe"/>
    <m/>
    <m/>
    <m/>
    <m/>
    <m/>
    <m/>
    <x v="240"/>
    <n v="202.95"/>
    <n v="11.4"/>
    <n v="0"/>
    <n v="0"/>
    <n v="0"/>
    <x v="1"/>
    <x v="7"/>
    <e v="#NAME?"/>
  </r>
  <r>
    <d v="2026-08-31T20:01:22"/>
    <s v="lombardi2025@gmail.com"/>
    <x v="4"/>
    <s v="OWA4C07"/>
    <x v="175"/>
    <x v="555"/>
    <s v="https://drive.google.com/open?id=1-PNOGkgpZtN1J1yS2PVHFKcq4lyKxF9y"/>
    <x v="557"/>
    <s v="https://drive.google.com/open?id=1_rWlLg-uuK9ePhC7O1TnDQLoZGFvmjuH"/>
    <s v="CONDOR MAFRA ,KOMPRAO RIO NEGRINHO"/>
    <m/>
    <s v="Não"/>
    <m/>
    <m/>
    <m/>
    <m/>
    <m/>
    <m/>
    <m/>
    <m/>
    <x v="241"/>
    <n v="381.3"/>
    <n v="0"/>
    <n v="0"/>
    <n v="0"/>
    <n v="0"/>
    <x v="1"/>
    <x v="7"/>
    <e v="#NAME?"/>
  </r>
  <r>
    <d v="2026-08-31T21:57:42"/>
    <s v="geovanna.fdg@gmail.com"/>
    <x v="13"/>
    <s v="QIJ6F98"/>
    <x v="175"/>
    <x v="556"/>
    <s v="https://drive.google.com/open?id=1RpTwVYJWCLZLNuPO-Vv-w7xQt6hwP-Cu"/>
    <x v="558"/>
    <s v="https://drive.google.com/open?id=1XRNuogJlnxNTmZ0LkoIoEzoHwy_NrTMu"/>
    <s v="Fort 290 Biguaçu, Prado 5 Serraria, Komprao Real Park, Brasil Ipiranga"/>
    <m/>
    <s v="Não"/>
    <m/>
    <m/>
    <m/>
    <m/>
    <m/>
    <m/>
    <m/>
    <m/>
    <x v="85"/>
    <n v="109.47"/>
    <n v="0"/>
    <n v="0"/>
    <n v="0"/>
    <n v="0"/>
    <x v="1"/>
    <x v="7"/>
    <e v="#NAME?"/>
  </r>
  <r>
    <d v="2026-08-21T17:56:31"/>
    <s v="thayscarvalho.sfs2026@gmail.com"/>
    <x v="14"/>
    <s v="BAQ1E86"/>
    <x v="176"/>
    <x v="557"/>
    <s v="https://drive.google.com/open?id=1NcHH4B--HRC0Uw2svrIgC4L68b9ROUqE"/>
    <x v="559"/>
    <s v="https://drive.google.com/open?id=17l8z1zTRyMr5sSvv51D-xFKCU-Lv1Eyt"/>
    <s v="Fort 250 floresta_x000a_Komprão 51 boa vista_x000a_Komprão 45 bom retiro _x000a_Bistek filial aventureiro _x000a_Fort tuiuti _x000a_Fort 905 vila nova"/>
    <m/>
    <s v="Não"/>
    <m/>
    <m/>
    <m/>
    <m/>
    <m/>
    <m/>
    <m/>
    <m/>
    <x v="109"/>
    <n v="206.64"/>
    <n v="0"/>
    <n v="0"/>
    <n v="0"/>
    <n v="0"/>
    <x v="1"/>
    <x v="7"/>
    <e v="#NAME?"/>
  </r>
  <r>
    <d v="2026-08-21T19:32:57"/>
    <s v="oliveiraagm7@gmail.com"/>
    <x v="6"/>
    <s v="EUF3090"/>
    <x v="176"/>
    <x v="558"/>
    <s v="https://drive.google.com/open?id=1bMr5JxPY8d1PVndxaOUjYcpZ4bn5ND2V"/>
    <x v="560"/>
    <s v="https://drive.google.com/open?id=1Opz-gHslUNQkj9cAXPqUHyxbxcjJXBnJ"/>
    <s v="Setor de viagem GSR Florianópolis"/>
    <m/>
    <s v="Não"/>
    <m/>
    <m/>
    <m/>
    <m/>
    <m/>
    <m/>
    <m/>
    <m/>
    <x v="242"/>
    <n v="403.44"/>
    <n v="0"/>
    <n v="0"/>
    <n v="0"/>
    <n v="0"/>
    <x v="1"/>
    <x v="7"/>
    <e v="#NAME?"/>
  </r>
  <r>
    <d v="2026-08-22T08:55:44"/>
    <s v="carlos.proenca@mazzini.com.br"/>
    <x v="11"/>
    <s v="TZX0A27"/>
    <x v="176"/>
    <x v="559"/>
    <s v="https://drive.google.com/open?id=1ClFXx6dy8dUlzs5PBGScXry2tz1EuFSu"/>
    <x v="561"/>
    <s v="https://drive.google.com/open?id=1dhyAbtJ0QDQpXc1x-xWyGRBm162J_K01"/>
    <s v="Brasil ataCADISTA PALHOÇA"/>
    <m/>
    <s v="Não"/>
    <m/>
    <m/>
    <m/>
    <m/>
    <m/>
    <m/>
    <m/>
    <m/>
    <x v="5"/>
    <n v="12.3"/>
    <n v="0"/>
    <n v="0"/>
    <n v="0"/>
    <n v="0"/>
    <x v="1"/>
    <x v="7"/>
    <e v="#NAME?"/>
  </r>
  <r>
    <d v="2026-08-24T08:59:44"/>
    <s v="camila.althoff@mazzini.com.br"/>
    <x v="3"/>
    <s v="Mlz4j72"/>
    <x v="176"/>
    <x v="560"/>
    <s v="https://drive.google.com/open?id=18uh6N6hL_nfdVS9z9N8utuYfADTF4nqs"/>
    <x v="562"/>
    <s v="https://drive.google.com/open?id=1VSxKnxh8pbz4YMtVqHIJDv8al8bEq722"/>
    <s v="Brasil atacadista central."/>
    <m/>
    <s v="Sim"/>
    <m/>
    <m/>
    <m/>
    <m/>
    <s v="46.80"/>
    <s v="https://drive.google.com/open?id=1b4DkMROvdjmd3PWKKzSh6UxQFq1Nlvws"/>
    <m/>
    <m/>
    <x v="122"/>
    <n v="88.56"/>
    <n v="0"/>
    <n v="0"/>
    <n v="46.8"/>
    <n v="0"/>
    <x v="1"/>
    <x v="7"/>
    <e v="#NAME?"/>
  </r>
  <r>
    <d v="2026-08-31T12:16:38"/>
    <s v="contato.martinsneto@gmail.com"/>
    <x v="9"/>
    <s v="IUT1C03"/>
    <x v="176"/>
    <x v="561"/>
    <s v="https://drive.google.com/open?id=1PvKWfVh2S8Z-sIFqBq6KcUVoatvla4Z9"/>
    <x v="563"/>
    <s v="https://drive.google.com/open?id=1p6lSHq3HsrQLHjACvpm4T7sHqGwgS3yx"/>
    <s v="REUNIAO FLORIANOPOLIS"/>
    <m/>
    <s v="Sim"/>
    <s v="11.40"/>
    <s v="https://drive.google.com/open?id=15R5egW8wOMQc-bxMrXpQdmzuG2gHVfv1, https://drive.google.com/open?id=16RXeh3nS-4lCBeP7mtdwWOp1CQOOIwYt"/>
    <m/>
    <m/>
    <m/>
    <m/>
    <m/>
    <m/>
    <x v="235"/>
    <n v="185.73"/>
    <n v="11.4"/>
    <n v="0"/>
    <n v="0"/>
    <n v="0"/>
    <x v="1"/>
    <x v="7"/>
    <e v="#NAME?"/>
  </r>
  <r>
    <d v="2026-08-31T20:03:46"/>
    <s v="lombardi2025@gmail.com"/>
    <x v="4"/>
    <s v="OWA4C07"/>
    <x v="176"/>
    <x v="562"/>
    <s v="https://drive.google.com/open?id=1goQtyc8Mu7OmjJ1cIVPhyAqTwusJBmYj"/>
    <x v="564"/>
    <s v="https://drive.google.com/open?id=18PNX_cAuS8royFnfyBmqW9UTIxUZQYOF"/>
    <s v="KOMPRAO 59,KOMPRAO 92,BR ATACADISTA"/>
    <m/>
    <s v="Não"/>
    <m/>
    <m/>
    <m/>
    <m/>
    <m/>
    <m/>
    <m/>
    <m/>
    <x v="85"/>
    <n v="109.47"/>
    <n v="0"/>
    <n v="0"/>
    <n v="0"/>
    <n v="0"/>
    <x v="1"/>
    <x v="7"/>
    <e v="#NAME?"/>
  </r>
  <r>
    <d v="2026-08-22T16:53:32"/>
    <s v="oliveiraagm7@gmail.com"/>
    <x v="6"/>
    <s v="EUF3090"/>
    <x v="177"/>
    <x v="563"/>
    <s v="https://drive.google.com/open?id=1YzKtM03zfLK3ASPRubTo84sdVF5I4_Ph"/>
    <x v="565"/>
    <s v="https://drive.google.com/open?id=1m2Hl3ojJ8zBugOkLlA_54NkkdG-lyBQG"/>
    <s v="Setor de viagem gsr Florianópolis volta"/>
    <m/>
    <s v="Não"/>
    <m/>
    <m/>
    <m/>
    <m/>
    <m/>
    <m/>
    <m/>
    <m/>
    <x v="243"/>
    <n v="351.78"/>
    <n v="0"/>
    <n v="0"/>
    <n v="0"/>
    <n v="0"/>
    <x v="1"/>
    <x v="7"/>
    <e v="#NAME?"/>
  </r>
  <r>
    <d v="2026-08-26T08:19:12"/>
    <s v="camila.althoff@mazzini.com.br"/>
    <x v="3"/>
    <s v="Mlz4j72"/>
    <x v="178"/>
    <x v="564"/>
    <s v="https://drive.google.com/open?id=1oYjyVAe4uqudARGMBAN8A7eGAYue18OV"/>
    <x v="566"/>
    <s v="https://drive.google.com/open?id=10qmuCdCnB9MLY_RzEsAfeaxKxd9lgeF1"/>
    <s v="Hiperbom morro das pedras, Fort campeche , Carrefour"/>
    <m/>
    <s v="Não"/>
    <m/>
    <m/>
    <m/>
    <m/>
    <m/>
    <m/>
    <m/>
    <m/>
    <x v="11"/>
    <n v="57.81"/>
    <n v="0"/>
    <n v="0"/>
    <n v="0"/>
    <n v="0"/>
    <x v="1"/>
    <x v="7"/>
    <e v="#NAME?"/>
  </r>
  <r>
    <d v="2026-08-26T12:50:25"/>
    <s v="thayscarvalho.sfs2026@gmail.com"/>
    <x v="14"/>
    <s v="BAQ1E86"/>
    <x v="178"/>
    <x v="565"/>
    <s v="https://drive.google.com/open?id=17YdQKATk3lQrP_n1_YTe6set_vMumdJP"/>
    <x v="567"/>
    <s v="https://drive.google.com/open?id=1pa3IZL6xEmkH5uhrl6yDwOjPH5G_YZUu"/>
    <s v="Preceiro sao francisco _x000a_Fort são francisco _x000a_Komprão 28 são francisco _x000a_Angeloni são francisco"/>
    <m/>
    <s v="Não"/>
    <m/>
    <m/>
    <m/>
    <m/>
    <m/>
    <m/>
    <m/>
    <m/>
    <x v="90"/>
    <n v="55.35"/>
    <n v="0"/>
    <n v="0"/>
    <n v="0"/>
    <n v="0"/>
    <x v="1"/>
    <x v="7"/>
    <e v="#NAME?"/>
  </r>
  <r>
    <d v="2026-08-31T12:19:02"/>
    <s v="contato.martinsneto@gmail.com"/>
    <x v="9"/>
    <s v="IUT1C03"/>
    <x v="178"/>
    <x v="566"/>
    <s v="https://drive.google.com/open?id=1TCr0fxa8ZOGdTpiLjSmv6ULemkBd-Nh_"/>
    <x v="568"/>
    <s v="https://drive.google.com/open?id=1s3-bpnwqjh_prtwxb8AprA3t1GOJHyNY"/>
    <s v="ROTA PORTO BELO"/>
    <m/>
    <s v="Não"/>
    <m/>
    <m/>
    <m/>
    <m/>
    <m/>
    <m/>
    <m/>
    <m/>
    <x v="149"/>
    <n v="83.64"/>
    <n v="0"/>
    <n v="0"/>
    <n v="0"/>
    <n v="0"/>
    <x v="1"/>
    <x v="7"/>
    <e v="#NAME?"/>
  </r>
  <r>
    <d v="2026-08-28T08:28:49"/>
    <s v="camila.althoff@mazzini.com.br"/>
    <x v="3"/>
    <s v="Mlz4j72"/>
    <x v="179"/>
    <x v="567"/>
    <s v="https://drive.google.com/open?id=1Z8OU7_JzQfu3kPKowX0QfmRMBqSEmOp7"/>
    <x v="569"/>
    <s v="https://drive.google.com/open?id=1PJ2QYuqXBWroxG6YTt86yUdebKliSJh5"/>
    <s v="Fort palhoça, kock 47, fort 210"/>
    <m/>
    <s v="Não"/>
    <m/>
    <m/>
    <m/>
    <m/>
    <m/>
    <m/>
    <m/>
    <m/>
    <x v="28"/>
    <n v="134.07"/>
    <n v="0"/>
    <n v="0"/>
    <n v="0"/>
    <n v="0"/>
    <x v="1"/>
    <x v="7"/>
    <e v="#NAME?"/>
  </r>
  <r>
    <d v="2026-08-31T12:21:20"/>
    <s v="contato.martinsneto@gmail.com"/>
    <x v="9"/>
    <s v="IUT1C03"/>
    <x v="179"/>
    <x v="568"/>
    <s v="https://drive.google.com/open?id=1Urax7oaLIhyWc9K36j-w2HY7Mpah5idh"/>
    <x v="570"/>
    <s v="https://drive.google.com/open?id=1ZnO67UaUPeihGuskLnqA6M6T9Ph6pJbu"/>
    <s v="INTREGRACAO E REVERSAO ITAJAI"/>
    <m/>
    <s v="Não"/>
    <m/>
    <m/>
    <m/>
    <m/>
    <m/>
    <m/>
    <m/>
    <m/>
    <x v="244"/>
    <n v="126.69"/>
    <n v="0"/>
    <n v="0"/>
    <n v="0"/>
    <n v="0"/>
    <x v="1"/>
    <x v="7"/>
    <e v="#NAME?"/>
  </r>
  <r>
    <d v="2026-08-31T20:08:55"/>
    <s v="lombardi2025@gmail.com"/>
    <x v="4"/>
    <s v="OWA4C07"/>
    <x v="179"/>
    <x v="569"/>
    <s v="https://drive.google.com/open?id=1oHWHpswa2a6admoRAFt3SnCoK7Ko3T7y"/>
    <x v="571"/>
    <s v="https://drive.google.com/open?id=1XO4PwDFw6NjOQhW2D6pl5RP2YxaxFFUE"/>
    <s v="SAMS,HIPER MAIS 740,HIPER MAIS ADHEMAR GARCIA,CONDOR"/>
    <m/>
    <s v="Não"/>
    <m/>
    <m/>
    <m/>
    <m/>
    <m/>
    <m/>
    <m/>
    <m/>
    <x v="69"/>
    <n v="98.4"/>
    <n v="0"/>
    <n v="0"/>
    <n v="0"/>
    <n v="0"/>
    <x v="1"/>
    <x v="7"/>
    <e v="#NAME?"/>
  </r>
  <r>
    <d v="2026-08-31T22:23:38"/>
    <s v="geovanna.fdg@gmail.com"/>
    <x v="13"/>
    <s v="QIJ6F98"/>
    <x v="179"/>
    <x v="570"/>
    <s v="https://drive.google.com/open?id=1J2VWSN1EjZCULSw8r-kx1OfggrO3yxXL"/>
    <x v="572"/>
    <s v="https://drive.google.com/open?id=12xpo6JHu4yMYbbQ_QCQvENkJEbi9Ud7z"/>
    <s v="Komprao 56 Gov. Celso Ramos, Komprao 01 Tijucas, Komprao 24 Tijucas, Brasil Atacadista Tijucas"/>
    <m/>
    <s v="Não"/>
    <m/>
    <m/>
    <m/>
    <m/>
    <m/>
    <m/>
    <m/>
    <m/>
    <x v="245"/>
    <n v="188.19"/>
    <n v="0"/>
    <n v="0"/>
    <n v="0"/>
    <n v="0"/>
    <x v="1"/>
    <x v="7"/>
    <e v="#NAME?"/>
  </r>
  <r>
    <d v="2026-08-29T13:20:19"/>
    <s v="camila.althoff@mazzini.com.br"/>
    <x v="3"/>
    <s v="Mlz4j72"/>
    <x v="180"/>
    <x v="571"/>
    <s v="https://drive.google.com/open?id=1HHhsG_Il5HYi8OtqX8zuGCR9-IxxVLTL"/>
    <x v="573"/>
    <s v="https://drive.google.com/open?id=1L4cmLM-KBGXcdwX08dMCuusxHYg2ZQJi"/>
    <s v="Imperatriz lagoa"/>
    <m/>
    <s v="Não"/>
    <m/>
    <m/>
    <m/>
    <m/>
    <m/>
    <m/>
    <m/>
    <m/>
    <x v="213"/>
    <n v="20.91"/>
    <n v="0"/>
    <n v="0"/>
    <n v="0"/>
    <n v="0"/>
    <x v="1"/>
    <x v="7"/>
    <e v="#NAME?"/>
  </r>
  <r>
    <d v="2026-09-01T18:18:43"/>
    <s v="thayscarvalho.sfs2026@gmail.com"/>
    <x v="14"/>
    <s v="BAQ1E86"/>
    <x v="181"/>
    <x v="572"/>
    <s v="https://drive.google.com/open?id=1_7x4Z3HDKVLTjv5ZoX3yvCrRRd15pjqW"/>
    <x v="574"/>
    <s v="https://drive.google.com/open?id=1VYtiVdo_SSCZlgez-Jz8B0Hk5MA8125z"/>
    <s v="Fort tuiti _x000a_Cooper aventureiro _x000a_Bistek aventureiro _x000a_Imperatriz centro"/>
    <m/>
    <s v="Sim"/>
    <m/>
    <m/>
    <m/>
    <m/>
    <m/>
    <s v="https://drive.google.com/open?id=1poF_oyv3S-B-gKW4oZfu4EllZVo1Tyv9"/>
    <m/>
    <s v="Cracha para colaborador do cooper"/>
    <x v="106"/>
    <n v="174.66"/>
    <n v="0"/>
    <n v="0"/>
    <n v="0"/>
    <n v="0"/>
    <x v="0"/>
    <x v="8"/>
    <e v="#NAME?"/>
  </r>
  <r>
    <d v="2026-09-01T20:00:37"/>
    <s v="camila.althoff@mazzini.com.br"/>
    <x v="3"/>
    <s v="Mlz4j72"/>
    <x v="181"/>
    <x v="573"/>
    <s v="https://drive.google.com/open?id=1xn3-FdPVJIeLkMieO1OBwNdBfgRdFQ1n"/>
    <x v="575"/>
    <s v="https://drive.google.com/open?id=11QS9tEEtFjkl7cVo8fa-fifbfKC9r8TG"/>
    <s v="Angeloni agronômica, super A, cdd"/>
    <m/>
    <s v="Não"/>
    <m/>
    <m/>
    <m/>
    <m/>
    <m/>
    <m/>
    <m/>
    <m/>
    <x v="157"/>
    <n v="67.650000000000006"/>
    <n v="0"/>
    <n v="0"/>
    <n v="0"/>
    <n v="0"/>
    <x v="0"/>
    <x v="8"/>
    <e v="#NAME?"/>
  </r>
  <r>
    <d v="2026-09-11T00:23:59"/>
    <s v="matheus.moraes@mazzini.com.br"/>
    <x v="8"/>
    <s v="QIL7H04"/>
    <x v="181"/>
    <x v="574"/>
    <s v="https://drive.google.com/open?id=1_TcDKpo8LRV7pUxez1CMvsrlrWsJRp2V"/>
    <x v="576"/>
    <s v="https://drive.google.com/open?id=16HbtRpzBwI58eHc2e4N7YgBBxdkQGNHk"/>
    <s v="Giassi Blumenau, Sam’S, Top Velha, Koch Rua Bahia e Komprão Pomerode"/>
    <n v="74"/>
    <s v="Não"/>
    <m/>
    <m/>
    <m/>
    <m/>
    <m/>
    <m/>
    <m/>
    <m/>
    <x v="73"/>
    <n v="104.55"/>
    <n v="0"/>
    <n v="0"/>
    <n v="0"/>
    <n v="0"/>
    <x v="0"/>
    <x v="8"/>
    <e v="#NAME?"/>
  </r>
  <r>
    <d v="2026-09-14T09:03:09"/>
    <s v="contato.martinsneto@gmail.com"/>
    <x v="9"/>
    <s v="IUT1C03"/>
    <x v="181"/>
    <x v="575"/>
    <s v="https://drive.google.com/open?id=1TT5Srd6TdrfjXKUotDZpJ1UfqSUu7zNK"/>
    <x v="577"/>
    <s v="https://drive.google.com/open?id=1XQhzxavGT-lPg2-es8LAaFuJQwkDn3mi"/>
    <s v="rota"/>
    <m/>
    <s v="Não"/>
    <m/>
    <m/>
    <m/>
    <m/>
    <m/>
    <m/>
    <m/>
    <m/>
    <x v="146"/>
    <n v="120.53999999999999"/>
    <n v="0"/>
    <n v="0"/>
    <n v="0"/>
    <n v="0"/>
    <x v="0"/>
    <x v="8"/>
    <e v="#NAME?"/>
  </r>
  <r>
    <d v="2026-09-02T17:24:45"/>
    <s v="thayscarvalho.sfs2026@gmail.com"/>
    <x v="14"/>
    <s v="BAQ1E86"/>
    <x v="182"/>
    <x v="576"/>
    <s v="https://drive.google.com/open?id=1Rns8TdanE4WZzWR0bkLQSLEidEXcGs9D"/>
    <x v="578"/>
    <s v="https://drive.google.com/open?id=1xt0NsEmYtECKp87q3E9SePxpCZNI7UZE"/>
    <s v="Koch São Francisco do sul _x000a_Correio para enviar os celulares para são Paulo._x000a_Brasil atacadista para entregar cartão caju e gsl"/>
    <m/>
    <s v="Sim"/>
    <m/>
    <m/>
    <m/>
    <m/>
    <m/>
    <s v="https://drive.google.com/open?id=1aS5bHMKEXnPrcydokvSqOaZp3pSBI0wx"/>
    <m/>
    <s v="Pagamento do correio para envio dos celulares cooperativos para sao paulo"/>
    <x v="105"/>
    <n v="116.85"/>
    <n v="0"/>
    <n v="0"/>
    <n v="0"/>
    <n v="0"/>
    <x v="0"/>
    <x v="8"/>
    <e v="#NAME?"/>
  </r>
  <r>
    <d v="2026-09-03T09:34:41"/>
    <s v="camila.althoff@mazzini.com.br"/>
    <x v="3"/>
    <s v="Mlz4j72"/>
    <x v="182"/>
    <x v="577"/>
    <s v="https://drive.google.com/open?id=1efLm0D-qvclsTW4in_dyhv_Yks_nTOfr"/>
    <x v="579"/>
    <s v="https://drive.google.com/open?id=1kybdPUcXGtBou3vW3HoChqo_mjv5ZPae"/>
    <s v="Fort 379, atacadão, sams, Fort 810, Fort 210"/>
    <m/>
    <s v="Não"/>
    <m/>
    <m/>
    <m/>
    <m/>
    <m/>
    <m/>
    <m/>
    <m/>
    <x v="13"/>
    <n v="89.789999999999992"/>
    <n v="0"/>
    <n v="0"/>
    <n v="0"/>
    <n v="0"/>
    <x v="0"/>
    <x v="8"/>
    <e v="#NAME?"/>
  </r>
  <r>
    <d v="2026-09-11T00:29:36"/>
    <s v="matheus.moraes@mazzini.com.br"/>
    <x v="8"/>
    <s v="QIL7H04"/>
    <x v="182"/>
    <x v="578"/>
    <s v="https://drive.google.com/open?id=1Sy09Tr2Gfvwdx_BcYGI3VP-4FQAu4C3L"/>
    <x v="580"/>
    <s v="https://drive.google.com/open?id=1B1egW0w73ibRAaoo5-WOQDuXVQWGAgZ9"/>
    <s v="Cooper Caçadores, Cooper Vila Nova, Cooper Vorstadt e Cooper Gloria"/>
    <m/>
    <s v="Não"/>
    <m/>
    <m/>
    <m/>
    <m/>
    <m/>
    <m/>
    <m/>
    <m/>
    <x v="144"/>
    <n v="145.13999999999999"/>
    <n v="0"/>
    <n v="0"/>
    <n v="0"/>
    <n v="0"/>
    <x v="0"/>
    <x v="8"/>
    <e v="#NAME?"/>
  </r>
  <r>
    <d v="2026-09-15T07:16:29"/>
    <s v="geovanna.fdg@gmail.com"/>
    <x v="13"/>
    <s v="QIJ6F98"/>
    <x v="182"/>
    <x v="579"/>
    <s v="https://drive.google.com/open?id=1z4B0IdC_vvWkBAa43g97kcPdfK_2sOeW"/>
    <x v="581"/>
    <s v="https://drive.google.com/open?id=19ynsp0AKp1Z-JJ705nXlsBl5p_Z0K6Gn"/>
    <s v="Komprão Gov, Komprão Brusque, Fort Brusque"/>
    <m/>
    <s v="Sim"/>
    <s v="5.70"/>
    <s v="https://drive.google.com/open?id=1n2huqDBMaFnrMW9whIORELiimZTnJdDl"/>
    <m/>
    <m/>
    <m/>
    <m/>
    <m/>
    <m/>
    <x v="246"/>
    <n v="333.33"/>
    <n v="5.7"/>
    <n v="0"/>
    <n v="0"/>
    <n v="0"/>
    <x v="0"/>
    <x v="8"/>
    <e v="#NAME?"/>
  </r>
  <r>
    <d v="2026-09-03T19:36:50"/>
    <s v="camila.althoff@mazzini.com.br"/>
    <x v="3"/>
    <s v="Mlz4j72"/>
    <x v="183"/>
    <x v="580"/>
    <s v="https://drive.google.com/open?id=1zxI2_bAWyJBn6CWx6F7fSfHcHljzxO3k"/>
    <x v="582"/>
    <s v="https://drive.google.com/open?id=1Ljn894nHkgCg1p0c-9_DTttD0ao4oAja"/>
    <s v="Carrefour, brasil rio Tavares, Fort campeche ."/>
    <m/>
    <s v="Não"/>
    <m/>
    <m/>
    <m/>
    <m/>
    <m/>
    <m/>
    <m/>
    <m/>
    <x v="34"/>
    <n v="45.51"/>
    <n v="0"/>
    <n v="0"/>
    <n v="0"/>
    <n v="0"/>
    <x v="0"/>
    <x v="8"/>
    <e v="#NAME?"/>
  </r>
  <r>
    <d v="2026-09-15T07:20:39"/>
    <s v="geovanna.fdg@gmail.com"/>
    <x v="13"/>
    <s v="QIJ6F98"/>
    <x v="183"/>
    <x v="581"/>
    <s v="https://drive.google.com/open?id=1a1l0F-EylFjEUce71IyCxOZUrqBDkdbG"/>
    <x v="583"/>
    <s v="https://drive.google.com/open?id=1YTL67MODeAJvADGeT5K5C-X1DrcISN2u"/>
    <s v="Komprao 79, Fort 130, Brasil Ipiranga"/>
    <m/>
    <s v="Não"/>
    <m/>
    <m/>
    <m/>
    <m/>
    <m/>
    <m/>
    <m/>
    <m/>
    <x v="122"/>
    <n v="88.56"/>
    <n v="0"/>
    <n v="0"/>
    <n v="0"/>
    <n v="0"/>
    <x v="0"/>
    <x v="8"/>
    <e v="#NAME?"/>
  </r>
  <r>
    <d v="2026-09-04T18:52:54"/>
    <s v="camila.althoff@mazzini.com.br"/>
    <x v="3"/>
    <s v="Mlz4j72"/>
    <x v="184"/>
    <x v="582"/>
    <s v="https://drive.google.com/open?id=1tbSIZfPfrC7Fo8zBa9HdbXUyJTChsuKw"/>
    <x v="584"/>
    <s v="https://drive.google.com/open?id=1zUvpbctk3UJa71kMIiATS1c1XfK_aET4"/>
    <s v="Angeloni capoeiras, Fort 306"/>
    <m/>
    <s v="Não"/>
    <m/>
    <m/>
    <m/>
    <m/>
    <m/>
    <m/>
    <m/>
    <m/>
    <x v="226"/>
    <n v="52.89"/>
    <n v="0"/>
    <n v="0"/>
    <n v="0"/>
    <n v="0"/>
    <x v="0"/>
    <x v="8"/>
    <e v="#NAME?"/>
  </r>
  <r>
    <d v="2026-09-08T10:01:57"/>
    <s v="carlos.proenca@mazzini.com.br"/>
    <x v="11"/>
    <s v="tch4e45"/>
    <x v="184"/>
    <x v="583"/>
    <s v="https://drive.google.com/open?id=1lfNhrDGvi-6ns-vGlPfhvPmuGBqvkdKA"/>
    <x v="585"/>
    <s v="https://drive.google.com/open?id=1DPiH5CYAX_C3p5_AQUkX-T2mhgjmpPNc"/>
    <s v="fort atacadista Tubarao, Combo atacadista içara, Atacadao Içara, Mercado Manentti Criciuma"/>
    <m/>
    <s v="Sim"/>
    <s v="23.40"/>
    <s v="https://drive.google.com/open?id=1VvFAhtOLFOVZQgtcR1nJ8NyinsB5gZcH, https://drive.google.com/open?id=1UwD4JLx2nKeR4Gd_mIVpf883Ih3ckgov, https://drive.google.com/open?id=16rt82OIgIhstY4K0x8xn4RCkVv-Wi4_3, https://drive.google.com/open?id=11_OcoRGTwLkzx4tdZizFcWrb2_csRVKN"/>
    <m/>
    <m/>
    <m/>
    <m/>
    <m/>
    <m/>
    <x v="50"/>
    <n v="492"/>
    <n v="23.4"/>
    <n v="0"/>
    <n v="0"/>
    <n v="0"/>
    <x v="0"/>
    <x v="8"/>
    <e v="#NAME?"/>
  </r>
  <r>
    <d v="2026-09-15T07:23:55"/>
    <s v="geovanna.fdg@gmail.com"/>
    <x v="13"/>
    <s v="QIJ6F98"/>
    <x v="184"/>
    <x v="584"/>
    <s v="https://drive.google.com/open?id=1vN7F6WyOW-6lhiAkwpt79r9fUjhybPG2"/>
    <x v="586"/>
    <s v="https://drive.google.com/open?id=1aKM_TLi5OddwxIFrnDHON-PYwR9ckDbK"/>
    <s v="Reversão de loja"/>
    <m/>
    <s v="Não"/>
    <m/>
    <m/>
    <m/>
    <m/>
    <m/>
    <m/>
    <m/>
    <m/>
    <x v="120"/>
    <n v="79.95"/>
    <n v="0"/>
    <n v="0"/>
    <n v="0"/>
    <n v="0"/>
    <x v="0"/>
    <x v="8"/>
    <e v="#NAME?"/>
  </r>
  <r>
    <d v="2026-09-14T11:28:35"/>
    <s v="camila.althoff@mazzini.com.br"/>
    <x v="3"/>
    <s v="Mlz4j72"/>
    <x v="185"/>
    <x v="585"/>
    <s v="https://drive.google.com/open?id=1sEXpqNqtIfV8JfqT8a24sKubj5t4IteQ"/>
    <x v="587"/>
    <s v="https://drive.google.com/open?id=1XzFq1dNh6lmXCbZCCe_7VCd5K3q2YvAX"/>
    <s v="Komprão Joinville"/>
    <m/>
    <s v="Sim"/>
    <s v="28.50"/>
    <s v="https://drive.google.com/open?id=1loGniivT1jH82teKCS0HFD9K3dQUw0oJ"/>
    <m/>
    <m/>
    <s v="43.00"/>
    <s v="https://drive.google.com/open?id=194kdBqKCc1XRE4-xtDDQc1kvVY8nCMQF"/>
    <m/>
    <m/>
    <x v="247"/>
    <n v="507.99"/>
    <n v="28.5"/>
    <n v="0"/>
    <n v="43"/>
    <n v="0"/>
    <x v="0"/>
    <x v="8"/>
    <e v="#NAME?"/>
  </r>
  <r>
    <d v="2026-09-08T21:16:19"/>
    <s v="lombardi2025@gmail.com"/>
    <x v="4"/>
    <s v="Qul2574"/>
    <x v="185"/>
    <x v="586"/>
    <s v="https://drive.google.com/open?id=1HN-QRZOI4ZNggpZfg6T7BE6o0VUri50c"/>
    <x v="588"/>
    <s v="https://drive.google.com/open?id=1VXBVDgy4peTi4uTcpjhwJOGArbPtJV_a"/>
    <s v="Komprão barra do sul, Brasil atacadista,"/>
    <m/>
    <s v="Não"/>
    <m/>
    <m/>
    <m/>
    <m/>
    <m/>
    <m/>
    <m/>
    <m/>
    <x v="145"/>
    <n v="63.96"/>
    <n v="0"/>
    <n v="0"/>
    <n v="0"/>
    <n v="0"/>
    <x v="0"/>
    <x v="8"/>
    <e v="#NAME?"/>
  </r>
  <r>
    <d v="2026-09-09T12:34:25"/>
    <s v="thayscarvalho.sfs2026@gmail.com"/>
    <x v="14"/>
    <s v="BAQ1E86"/>
    <x v="185"/>
    <x v="587"/>
    <s v="https://drive.google.com/open?id=1q-dl0gCrQbsx_btZkBQX6sGp7CXKRjvv"/>
    <x v="589"/>
    <s v="https://drive.google.com/open?id=1XS3Uj56yk8gMyjOq03NkzXe6uRyOHADn"/>
    <s v="Brasil atacadista _x000a_Komprão 59_x000a_Komprão 51_x000a_Fort 250 floresta"/>
    <m/>
    <s v="Não"/>
    <m/>
    <m/>
    <m/>
    <m/>
    <m/>
    <m/>
    <m/>
    <m/>
    <x v="248"/>
    <n v="151.29"/>
    <n v="0"/>
    <n v="0"/>
    <n v="0"/>
    <n v="0"/>
    <x v="0"/>
    <x v="8"/>
    <e v="#NAME?"/>
  </r>
  <r>
    <d v="2026-09-14T09:07:14"/>
    <s v="contato.martinsneto@gmail.com"/>
    <x v="9"/>
    <s v="IUT1C03"/>
    <x v="185"/>
    <x v="588"/>
    <s v="https://drive.google.com/open?id=10ffErFwmDGfRuZm4PC9HFnpAGvw0YWvv"/>
    <x v="590"/>
    <s v="https://drive.google.com/open?id=1U7FwGbjOTs9AHY205ydkOLjJ4XdVoNpd"/>
    <s v="rota"/>
    <m/>
    <s v="Não"/>
    <m/>
    <m/>
    <m/>
    <m/>
    <m/>
    <m/>
    <m/>
    <m/>
    <x v="145"/>
    <n v="63.96"/>
    <n v="0"/>
    <n v="0"/>
    <n v="0"/>
    <n v="0"/>
    <x v="0"/>
    <x v="8"/>
    <e v="#NAME?"/>
  </r>
  <r>
    <d v="2026-09-15T07:27:31"/>
    <s v="geovanna.fdg@gmail.com"/>
    <x v="13"/>
    <s v="QIJ6F98"/>
    <x v="185"/>
    <x v="589"/>
    <s v="https://drive.google.com/open?id=1mlYn3ignVAdiELXcIn9PoGuWg6BQY-Gw"/>
    <x v="591"/>
    <s v="https://drive.google.com/open?id=1rOOEzvHCP-ZBfReA2aMy6zU1dvEGswtm"/>
    <s v="Atacadão Biguaçu, Fort 290, Komprão 83"/>
    <m/>
    <s v="Não"/>
    <m/>
    <m/>
    <m/>
    <m/>
    <m/>
    <m/>
    <m/>
    <m/>
    <x v="131"/>
    <n v="94.71"/>
    <n v="0"/>
    <n v="0"/>
    <n v="0"/>
    <n v="0"/>
    <x v="0"/>
    <x v="8"/>
    <e v="#NAME?"/>
  </r>
  <r>
    <d v="2026-09-09T15:49:40"/>
    <s v="carlos.proenca@mazzini.com.br"/>
    <x v="11"/>
    <s v="tch4e45"/>
    <x v="186"/>
    <x v="590"/>
    <s v="https://drive.google.com/open?id=1Rni935MkGPWuLj7y8OzQaHnXfJcBYz0o"/>
    <x v="592"/>
    <s v="https://drive.google.com/open?id=1Kf8FPTt0UrPMUIIr0ZBG3t1lOJWgKyqh"/>
    <s v="COOPER, rede top agricola, rede top general osorio, loja epi zeus"/>
    <m/>
    <s v="Sim"/>
    <s v="10.40"/>
    <s v="https://drive.google.com/open?id=1-sWAM2mog_Q6rfN1wuyQQoB-RXIShsdy"/>
    <m/>
    <m/>
    <m/>
    <m/>
    <m/>
    <m/>
    <x v="249"/>
    <n v="485.84999999999997"/>
    <n v="10.4"/>
    <n v="0"/>
    <n v="0"/>
    <n v="0"/>
    <x v="0"/>
    <x v="8"/>
    <e v="#NAME?"/>
  </r>
  <r>
    <d v="2026-09-09T20:10:11"/>
    <s v="lombardi2025@gmail.com"/>
    <x v="4"/>
    <s v="Qil2574"/>
    <x v="186"/>
    <x v="591"/>
    <s v="https://drive.google.com/open?id=1OwuFwPZ9dlIjt5kS1IYc-B8xpuVb6_Yf"/>
    <x v="593"/>
    <s v="https://drive.google.com/open?id=1Uk-4aV46awfNg7DajyTxylBzp0I3lTW-"/>
    <s v="Fort 385 são bento do Sul"/>
    <m/>
    <s v="Não"/>
    <m/>
    <m/>
    <m/>
    <m/>
    <m/>
    <m/>
    <m/>
    <m/>
    <x v="126"/>
    <n v="161.13"/>
    <n v="0"/>
    <n v="0"/>
    <n v="0"/>
    <n v="0"/>
    <x v="0"/>
    <x v="8"/>
    <e v="#NAME?"/>
  </r>
  <r>
    <d v="2026-09-10T12:22:01"/>
    <s v="camila.althoff@mazzini.com.br"/>
    <x v="3"/>
    <s v="Mlz4j72"/>
    <x v="186"/>
    <x v="592"/>
    <s v="https://drive.google.com/open?id=1dN7j9eR4GYUi6KCVsoHR7e9kWNP1bsyx"/>
    <x v="594"/>
    <s v="https://drive.google.com/open?id=1J8Q_qih2ZkrEpAsOeNemz6p23_iADaJm"/>
    <s v="Imperatriz Coqueiros Cdd ambev"/>
    <m/>
    <s v="Não"/>
    <m/>
    <m/>
    <m/>
    <m/>
    <m/>
    <m/>
    <m/>
    <m/>
    <x v="13"/>
    <n v="89.789999999999992"/>
    <n v="0"/>
    <n v="0"/>
    <n v="0"/>
    <n v="0"/>
    <x v="0"/>
    <x v="8"/>
    <e v="#NAME?"/>
  </r>
  <r>
    <d v="2026-09-11T00:32:58"/>
    <s v="matheus.moraes@mazzini.com.br"/>
    <x v="8"/>
    <s v="QIL7H04"/>
    <x v="186"/>
    <x v="593"/>
    <s v="https://drive.google.com/open?id=1Tqwkmj5i9ZNmSXP4eWTqt6r2BpSeKuF_"/>
    <x v="595"/>
    <s v="https://drive.google.com/open?id=1wLbocbWQvWGN5A3uqpXtPRE0Wtwnw0Lm"/>
    <s v="Zeus, Cooper Vostardt ( GSR com o TST ), Cooper Ibirama, Cooper Rodeio e Top Rio dos Cedros"/>
    <m/>
    <s v="Não"/>
    <m/>
    <m/>
    <m/>
    <m/>
    <m/>
    <m/>
    <m/>
    <m/>
    <x v="64"/>
    <n v="273.06"/>
    <n v="0"/>
    <n v="0"/>
    <n v="0"/>
    <n v="0"/>
    <x v="0"/>
    <x v="8"/>
    <e v="#NAME?"/>
  </r>
  <r>
    <d v="2026-09-14T09:12:37"/>
    <s v="contato.martinsneto@gmail.com"/>
    <x v="9"/>
    <s v="IUT1C03"/>
    <x v="186"/>
    <x v="594"/>
    <s v="https://drive.google.com/open?id=1NcdHQv86VZQAiWfBL_xSK1A_steBnUna"/>
    <x v="596"/>
    <s v="https://drive.google.com/open?id=1pzm8IDmaJKKx1O0q4XiyNCTNLVGZ_0t_"/>
    <s v="UNI SAIDDA FLP"/>
    <m/>
    <s v="Sim"/>
    <s v="11.40"/>
    <s v="https://drive.google.com/open?id=1ECO2bGdJHL6M6qUOJFtvreRT1LH07Wk-, https://drive.google.com/open?id=1YqUHsmZKmrg5Xe4G-HHyMVLoyN0ZUvHr"/>
    <m/>
    <m/>
    <m/>
    <m/>
    <m/>
    <m/>
    <x v="92"/>
    <n v="175.89"/>
    <n v="11.4"/>
    <n v="0"/>
    <n v="0"/>
    <n v="0"/>
    <x v="0"/>
    <x v="8"/>
    <e v="#NAME?"/>
  </r>
  <r>
    <d v="2026-09-15T07:31:14"/>
    <s v="geovanna.fdg@gmail.com"/>
    <x v="13"/>
    <s v="QIJ6F98"/>
    <x v="186"/>
    <x v="595"/>
    <s v="https://drive.google.com/open?id=1Cvq8Qndns54B-8SNTllIOkYIMeUM2T3f"/>
    <x v="597"/>
    <s v="https://drive.google.com/open?id=1xNTxJEeJwcQSFrfq-PqJJRKKrV8gXUdr"/>
    <s v="Prado Biguaçu, Koch Hiper Flor"/>
    <m/>
    <s v="Não"/>
    <m/>
    <m/>
    <m/>
    <m/>
    <m/>
    <m/>
    <m/>
    <m/>
    <x v="205"/>
    <n v="59.04"/>
    <n v="0"/>
    <n v="0"/>
    <n v="0"/>
    <n v="0"/>
    <x v="0"/>
    <x v="8"/>
    <e v="#NAME?"/>
  </r>
  <r>
    <d v="2026-09-11T00:37:30"/>
    <s v="matheus.moraes@mazzini.com.br"/>
    <x v="8"/>
    <s v="QIL7H04"/>
    <x v="187"/>
    <x v="596"/>
    <s v="https://drive.google.com/open?id=1x6yApBv0mUxQpOZN9W5mNcMpUztVB0sU"/>
    <x v="598"/>
    <s v="https://drive.google.com/open?id=1HDVQD4L1yqyXeGVMWr1r2_DySvxtjil4"/>
    <s v="Komprão Timbó, Fort Indaial, Komprão Indaial, Cooper Centro Indaial, Cooper Nações, Cooper Atacarejo e Cooper Mafisa"/>
    <m/>
    <s v="Não"/>
    <m/>
    <m/>
    <m/>
    <m/>
    <m/>
    <m/>
    <m/>
    <m/>
    <x v="231"/>
    <n v="164.82"/>
    <n v="0"/>
    <n v="0"/>
    <n v="0"/>
    <n v="0"/>
    <x v="0"/>
    <x v="8"/>
    <e v="#NAME?"/>
  </r>
  <r>
    <d v="2026-09-14T09:14:43"/>
    <s v="martinsneto047@gmail.com"/>
    <x v="9"/>
    <s v="IUT1C03"/>
    <x v="187"/>
    <x v="597"/>
    <s v="https://drive.google.com/open?id=12qP2YrDX0y5zYwOf_iOU3-f19xctuXSh"/>
    <x v="599"/>
    <s v="https://drive.google.com/open?id=1oaRzVwR-Q7VZmqxgew8fIx8iyuxSPVs5"/>
    <s v="ENTREGAS UNIFORMES"/>
    <m/>
    <s v="Não"/>
    <m/>
    <m/>
    <m/>
    <m/>
    <m/>
    <m/>
    <m/>
    <m/>
    <x v="29"/>
    <n v="127.92"/>
    <n v="0"/>
    <n v="0"/>
    <n v="0"/>
    <n v="0"/>
    <x v="0"/>
    <x v="8"/>
    <e v="#NAME?"/>
  </r>
  <r>
    <d v="2026-09-11T19:25:23"/>
    <s v="thayscarvalho.sfs2026@gmail.com"/>
    <x v="14"/>
    <s v="BAQ1E86"/>
    <x v="188"/>
    <x v="598"/>
    <s v="https://drive.google.com/open?id=1JSI18jPLuzLIETTDCVFSqrjArc8SUnVm"/>
    <x v="600"/>
    <s v="https://drive.google.com/open?id=10FnivfzlDzyw4AW5vLGPqOQQilIfhzxY"/>
    <s v="Komprão guaramirim, rancho bom vieiras _x000a_Cooper vila nova,super A Jaragua,Ângeloni Jaraguá, rancho bom amizade,condor Jaraguá"/>
    <m/>
    <s v="Não"/>
    <m/>
    <m/>
    <m/>
    <m/>
    <m/>
    <m/>
    <m/>
    <m/>
    <x v="137"/>
    <n v="234.93"/>
    <n v="0"/>
    <n v="0"/>
    <n v="0"/>
    <n v="0"/>
    <x v="0"/>
    <x v="8"/>
    <e v="#NAME?"/>
  </r>
  <r>
    <d v="2026-09-14T08:39:13"/>
    <s v="camila.althoff@mazzini.com.br"/>
    <x v="3"/>
    <s v="Mlz4j72"/>
    <x v="188"/>
    <x v="599"/>
    <s v="https://drive.google.com/open?id=1QVBumnz-_cOIqCxu1vFHCJIu1sGFpH6q"/>
    <x v="601"/>
    <s v="https://drive.google.com/open?id=1CEJRjgsNwLEWvHhwsUm8XU-iAj1U8HJ_"/>
    <s v="Cdd AmBev"/>
    <m/>
    <s v="Não"/>
    <m/>
    <m/>
    <m/>
    <m/>
    <m/>
    <m/>
    <m/>
    <m/>
    <x v="180"/>
    <n v="92.25"/>
    <n v="0"/>
    <n v="0"/>
    <n v="0"/>
    <n v="0"/>
    <x v="0"/>
    <x v="8"/>
    <e v="#NAME?"/>
  </r>
  <r>
    <d v="2026-09-14T10:39:30"/>
    <s v="lombardi2025@gmail.com"/>
    <x v="4"/>
    <s v="Qil2574"/>
    <x v="188"/>
    <x v="600"/>
    <s v="https://drive.google.com/open?id=1XYeJ8epojA2HA1xGYSO592uXW3hUNrw4"/>
    <x v="602"/>
    <s v="https://drive.google.com/open?id=1RVlk_f7YmZ42hfTCp98R9O0DYwkyxRDd"/>
    <s v="Condor 51, Komprao 92, Cooper boa vista ,Hiper mais Profipo, Komprao 59,sams club, Komprao barra do sul"/>
    <m/>
    <s v="Não"/>
    <m/>
    <m/>
    <m/>
    <m/>
    <m/>
    <m/>
    <m/>
    <m/>
    <x v="15"/>
    <n v="54.12"/>
    <n v="0"/>
    <n v="0"/>
    <n v="0"/>
    <n v="0"/>
    <x v="0"/>
    <x v="8"/>
    <e v="#NAME?"/>
  </r>
  <r>
    <d v="2026-09-14T08:40:52"/>
    <s v="camila.althoff@mazzini.com.br"/>
    <x v="3"/>
    <s v="Mlz4j72"/>
    <x v="189"/>
    <x v="601"/>
    <s v="https://drive.google.com/open?id=1x9g-scVfM0eabJ7l6yQAB90ww2o1Iv2U"/>
    <x v="603"/>
    <s v="https://drive.google.com/open?id=1Sok3VZ0M_wE0GHQKPg-b0T9NiIOzfKO2"/>
    <s v="Fort vargem,"/>
    <m/>
    <s v="Não"/>
    <m/>
    <m/>
    <m/>
    <m/>
    <m/>
    <m/>
    <m/>
    <m/>
    <x v="39"/>
    <n v="43.05"/>
    <n v="0"/>
    <n v="0"/>
    <n v="0"/>
    <n v="0"/>
    <x v="0"/>
    <x v="8"/>
    <e v="#NAME?"/>
  </r>
  <r>
    <d v="2026-09-14T20:29:15"/>
    <s v="lombardi2025@gmail.com"/>
    <x v="4"/>
    <s v="Qil2574"/>
    <x v="190"/>
    <x v="602"/>
    <s v="https://drive.google.com/open?id=1DZJ1KkzfXy8e-IhznyWCieJ6SJqPUteO"/>
    <x v="604"/>
    <s v="https://drive.google.com/open?id=1XsgbErL0OhzHiOSLEhsrTSQ3WtDgqhdw"/>
    <s v="Condor comasa,Brasil atacadista"/>
    <m/>
    <s v="Não"/>
    <m/>
    <m/>
    <m/>
    <m/>
    <m/>
    <m/>
    <m/>
    <m/>
    <x v="121"/>
    <n v="41.82"/>
    <n v="0"/>
    <n v="0"/>
    <n v="0"/>
    <n v="0"/>
    <x v="0"/>
    <x v="8"/>
    <e v="#NAME?"/>
  </r>
  <r>
    <d v="2026-09-15T14:36:54"/>
    <s v="oliveiragm7@gmail.com"/>
    <x v="6"/>
    <s v="EUF3090"/>
    <x v="191"/>
    <x v="603"/>
    <s v="https://drive.google.com/open?id=1AZwZTAFMolgWbrwS7oCXynfhyOnii3bH"/>
    <x v="605"/>
    <s v="https://drive.google.com/open?id=1ZxYZAlsSWPFLRjZSeB1nSZ3kgbsTFOok"/>
    <s v="Fort Chapecó, Atacadao av Atílio Fontana Chapecó, Atacadao av Fernando Machado Chapecó"/>
    <m/>
    <s v="Não"/>
    <m/>
    <m/>
    <m/>
    <m/>
    <m/>
    <m/>
    <m/>
    <m/>
    <x v="124"/>
    <n v="313.64999999999998"/>
    <n v="0"/>
    <n v="0"/>
    <n v="0"/>
    <n v="0"/>
    <x v="0"/>
    <x v="8"/>
    <e v="#NAME?"/>
  </r>
  <r>
    <d v="2026-09-15T17:00:05"/>
    <s v="contato.martinsneto@gmail.com"/>
    <x v="9"/>
    <s v="iut1c03"/>
    <x v="191"/>
    <x v="604"/>
    <s v="https://drive.google.com/open?id=1SYSo8NgWqwP7LvMZQraTUGhmxVJpu__U"/>
    <x v="606"/>
    <s v="https://drive.google.com/open?id=1ZCxRHlZnPbOBztyJglEeGjRxLpc5i2k_"/>
    <s v="itapema balneario e camboriu entrega de uniforme"/>
    <m/>
    <s v="Não"/>
    <m/>
    <m/>
    <m/>
    <m/>
    <m/>
    <m/>
    <m/>
    <m/>
    <x v="41"/>
    <n v="137.76"/>
    <n v="0"/>
    <n v="0"/>
    <n v="0"/>
    <n v="0"/>
    <x v="0"/>
    <x v="8"/>
    <e v="#NAME?"/>
  </r>
  <r>
    <d v="2026-09-15T19:22:02"/>
    <s v="camila.althoff@mazzini.com.br"/>
    <x v="3"/>
    <s v="Mlz4j72"/>
    <x v="191"/>
    <x v="605"/>
    <s v="https://drive.google.com/open?id=1qO1sqkES7c4QgqPgt_Han93oAFhB5oLo"/>
    <x v="607"/>
    <s v="https://drive.google.com/open?id=1M8bfwPSjPQH19yBkIlmJ1T6nD93AcG5z"/>
    <s v="Carrefour"/>
    <m/>
    <s v="Não"/>
    <m/>
    <m/>
    <m/>
    <m/>
    <m/>
    <m/>
    <m/>
    <m/>
    <x v="88"/>
    <n v="11.07"/>
    <n v="0"/>
    <n v="0"/>
    <n v="0"/>
    <n v="0"/>
    <x v="0"/>
    <x v="8"/>
    <e v="#NAME?"/>
  </r>
  <r>
    <d v="2026-09-15T20:58:16"/>
    <s v="thayscarvalho.sfs2026@gmail.com"/>
    <x v="14"/>
    <s v="BAQ1E86"/>
    <x v="191"/>
    <x v="606"/>
    <s v="https://drive.google.com/open?id=1f0V7slnrenpO_zfTsC7kPGawrWcnxwP8"/>
    <x v="608"/>
    <s v="https://drive.google.com/open?id=1jsOlGtIbJTa6RvyEa0tneVPtFEWTRI3g"/>
    <s v="Komprão 28 SAO FRANCISCO ,Komprão 50 araquari, fort são francisco"/>
    <m/>
    <s v="Não"/>
    <m/>
    <m/>
    <m/>
    <m/>
    <m/>
    <m/>
    <m/>
    <m/>
    <x v="148"/>
    <n v="77.489999999999995"/>
    <n v="0"/>
    <n v="0"/>
    <n v="0"/>
    <n v="0"/>
    <x v="0"/>
    <x v="8"/>
    <e v="#NAME?"/>
  </r>
  <r>
    <d v="2026-09-15T21:45:45"/>
    <s v="geovana.fdg22@gmail.com"/>
    <x v="13"/>
    <s v="QIJ6F98"/>
    <x v="191"/>
    <x v="607"/>
    <s v="https://drive.google.com/open?id=1yD-yq3_XrCQJFZQbt4clvxz1zrmeURQw"/>
    <x v="609"/>
    <s v="https://drive.google.com/open?id=11VX_IZDtcWQbkkYrnbvifQ9nHEDsyeVk"/>
    <s v="MWM, Imperatriz Ponte do Imaruim, Komprão 56 Gov Celso Ramos"/>
    <m/>
    <s v="Não"/>
    <m/>
    <m/>
    <m/>
    <m/>
    <m/>
    <m/>
    <m/>
    <m/>
    <x v="168"/>
    <n v="108.24"/>
    <n v="0"/>
    <n v="0"/>
    <n v="0"/>
    <n v="0"/>
    <x v="0"/>
    <x v="8"/>
    <e v="#NAME?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4" minRefreshableVersion="3" showDrill="0" useAutoFormatting="1" itemPrintTitles="1" createdVersion="8" indent="0" compact="0" compactData="0" multipleFieldFilters="0">
  <location ref="A4:K49" firstHeaderRow="0" firstDataRow="1" firstDataCol="5" rowPageCount="2" colPageCount="1"/>
  <pivotFields count="31">
    <pivotField compact="0" numFmtId="22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5">
        <item x="5"/>
        <item m="1" x="23"/>
        <item m="1" x="32"/>
        <item m="1" x="15"/>
        <item x="7"/>
        <item m="1" x="29"/>
        <item m="1" x="34"/>
        <item m="1" x="18"/>
        <item m="1" x="17"/>
        <item x="13"/>
        <item m="1" x="42"/>
        <item m="1" x="35"/>
        <item m="1" x="41"/>
        <item m="1" x="36"/>
        <item m="1" x="27"/>
        <item m="1" x="30"/>
        <item m="1" x="24"/>
        <item m="1" x="43"/>
        <item m="1" x="28"/>
        <item m="1" x="26"/>
        <item x="12"/>
        <item x="3"/>
        <item m="1" x="21"/>
        <item m="1" x="31"/>
        <item m="1" x="19"/>
        <item m="1" x="16"/>
        <item m="1" x="25"/>
        <item m="1" x="38"/>
        <item m="1" x="39"/>
        <item x="6"/>
        <item x="0"/>
        <item x="4"/>
        <item m="1" x="20"/>
        <item m="1" x="40"/>
        <item x="1"/>
        <item x="2"/>
        <item x="8"/>
        <item x="10"/>
        <item x="11"/>
        <item x="9"/>
        <item m="1" x="37"/>
        <item m="1" x="22"/>
        <item m="1" x="33"/>
        <item x="1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 Data" axis="axisRow" compact="0" numFmtId="14" outline="0" showAll="0" sortType="ascending" defaultSubtotal="0">
      <items count="471">
        <item m="1" x="413"/>
        <item m="1" x="329"/>
        <item m="1" x="399"/>
        <item m="1" x="242"/>
        <item m="1" x="466"/>
        <item m="1" x="303"/>
        <item m="1" x="424"/>
        <item m="1" x="376"/>
        <item m="1" x="338"/>
        <item m="1" x="394"/>
        <item m="1" x="238"/>
        <item m="1" x="355"/>
        <item m="1" x="194"/>
        <item m="1" x="313"/>
        <item m="1" x="432"/>
        <item m="1" x="268"/>
        <item m="1" x="344"/>
        <item m="1" x="461"/>
        <item m="1" x="298"/>
        <item m="1" x="419"/>
        <item m="1" x="258"/>
        <item m="1" x="372"/>
        <item m="1" x="334"/>
        <item m="1" x="450"/>
        <item m="1" x="287"/>
        <item m="1" x="404"/>
        <item m="1" x="247"/>
        <item m="1" x="362"/>
        <item m="1" x="320"/>
        <item m="1" x="440"/>
        <item m="1" x="275"/>
        <item m="1" x="391"/>
        <item m="1" x="233"/>
        <item m="1" x="369"/>
        <item m="1" x="330"/>
        <item m="1" x="283"/>
        <item m="1" x="400"/>
        <item m="1" x="243"/>
        <item m="1" x="358"/>
        <item m="1" x="317"/>
        <item m="1" x="437"/>
        <item m="1" x="271"/>
        <item m="1" x="387"/>
        <item m="1" x="229"/>
        <item m="1" x="348"/>
        <item m="1" x="304"/>
        <item m="1" x="425"/>
        <item m="1" x="261"/>
        <item m="1" x="377"/>
        <item m="1" x="217"/>
        <item m="1" x="339"/>
        <item m="1" x="408"/>
        <item m="1" x="252"/>
        <item m="1" x="366"/>
        <item m="1" x="206"/>
        <item m="1" x="324"/>
        <item m="1" x="279"/>
        <item m="1" x="345"/>
        <item m="1" x="462"/>
        <item m="1" x="299"/>
        <item m="1" x="420"/>
        <item m="1" x="259"/>
        <item m="1" x="214"/>
        <item m="1" x="335"/>
        <item m="1" x="451"/>
        <item m="1" x="288"/>
        <item m="1" x="405"/>
        <item m="1" x="248"/>
        <item m="1" x="202"/>
        <item m="1" x="321"/>
        <item m="1" x="441"/>
        <item m="1" x="276"/>
        <item m="1" x="234"/>
        <item m="1" x="309"/>
        <item m="1" x="429"/>
        <item m="1" x="265"/>
        <item m="1" x="381"/>
        <item m="1" x="223"/>
        <item m="1" x="459"/>
        <item m="1" x="294"/>
        <item m="1" x="414"/>
        <item m="1" x="438"/>
        <item m="1" x="272"/>
        <item m="1" x="230"/>
        <item m="1" x="349"/>
        <item m="1" x="467"/>
        <item m="1" x="305"/>
        <item m="1" x="426"/>
        <item m="1" x="262"/>
        <item m="1" x="218"/>
        <item m="1" x="340"/>
        <item m="1" x="455"/>
        <item m="1" x="291"/>
        <item m="1" x="409"/>
        <item m="1" x="253"/>
        <item m="1" x="207"/>
        <item m="1" x="325"/>
        <item m="1" x="444"/>
        <item m="1" x="280"/>
        <item m="1" x="395"/>
        <item m="1" x="239"/>
        <item m="1" x="195"/>
        <item m="1" x="314"/>
        <item m="1" x="433"/>
        <item m="1" x="269"/>
        <item m="1" x="385"/>
        <item m="1" x="226"/>
        <item m="1" x="406"/>
        <item m="1" x="249"/>
        <item m="1" x="363"/>
        <item m="1" x="203"/>
        <item m="1" x="322"/>
        <item m="1" x="442"/>
        <item m="1" x="392"/>
        <item m="1" x="235"/>
        <item m="1" x="352"/>
        <item m="1" x="192"/>
        <item m="1" x="310"/>
        <item m="1" x="382"/>
        <item m="1" x="224"/>
        <item m="1" x="343"/>
        <item m="1" x="295"/>
        <item m="1" x="415"/>
        <item m="1" x="370"/>
        <item m="1" x="211"/>
        <item m="1" x="331"/>
        <item m="1" x="448"/>
        <item m="1" x="284"/>
        <item m="1" x="401"/>
        <item m="1" x="359"/>
        <item m="1" x="263"/>
        <item m="1" x="378"/>
        <item m="1" x="219"/>
        <item m="1" x="341"/>
        <item m="1" x="456"/>
        <item m="1" x="410"/>
        <item m="1" x="254"/>
        <item m="1" x="208"/>
        <item m="1" x="326"/>
        <item m="1" x="445"/>
        <item m="1" x="396"/>
        <item m="1" x="240"/>
        <item m="1" x="356"/>
        <item m="1" x="196"/>
        <item m="1" x="315"/>
        <item m="1" x="434"/>
        <item m="1" x="227"/>
        <item m="1" x="346"/>
        <item m="1" x="463"/>
        <item m="1" x="300"/>
        <item m="1" x="421"/>
        <item m="1" x="373"/>
        <item m="1" x="215"/>
        <item m="1" x="336"/>
        <item m="1" x="452"/>
        <item m="1" x="236"/>
        <item m="1" x="353"/>
        <item m="1" x="311"/>
        <item m="1" x="430"/>
        <item m="1" x="266"/>
        <item m="1" x="383"/>
        <item m="1" x="225"/>
        <item m="1" x="296"/>
        <item m="1" x="416"/>
        <item m="1" x="256"/>
        <item m="1" x="371"/>
        <item m="1" x="212"/>
        <item m="1" x="332"/>
        <item m="1" x="285"/>
        <item m="1" x="402"/>
        <item m="1" x="244"/>
        <item m="1" x="360"/>
        <item m="1" x="199"/>
        <item m="1" x="273"/>
        <item m="1" x="388"/>
        <item m="1" x="231"/>
        <item m="1" x="350"/>
        <item m="1" x="468"/>
        <item m="1" x="306"/>
        <item m="1" x="209"/>
        <item m="1" x="327"/>
        <item m="1" x="446"/>
        <item m="1" x="281"/>
        <item m="1" x="397"/>
        <item m="1" x="241"/>
        <item m="1" x="197"/>
        <item m="1" x="316"/>
        <item m="1" x="435"/>
        <item m="1" x="270"/>
        <item m="1" x="386"/>
        <item m="1" x="464"/>
        <item m="1" x="301"/>
        <item m="1" x="422"/>
        <item m="1" x="260"/>
        <item m="1" x="374"/>
        <item m="1" x="453"/>
        <item m="1" x="289"/>
        <item m="1" x="407"/>
        <item m="1" x="250"/>
        <item m="1" x="364"/>
        <item m="1" x="204"/>
        <item m="1" x="443"/>
        <item m="1" x="277"/>
        <item m="1" x="460"/>
        <item m="1" x="297"/>
        <item m="1" x="417"/>
        <item m="1" x="257"/>
        <item m="1" x="213"/>
        <item m="1" x="333"/>
        <item m="1" x="449"/>
        <item m="1" x="286"/>
        <item m="1" x="403"/>
        <item m="1" x="245"/>
        <item m="1" x="200"/>
        <item m="1" x="318"/>
        <item m="1" x="439"/>
        <item m="1" x="274"/>
        <item m="1" x="389"/>
        <item m="1" x="469"/>
        <item m="1" x="307"/>
        <item m="1" x="427"/>
        <item m="1" x="264"/>
        <item m="1" x="379"/>
        <item m="1" x="220"/>
        <item m="1" x="457"/>
        <item m="1" x="292"/>
        <item m="1" x="411"/>
        <item m="1" x="255"/>
        <item m="1" x="367"/>
        <item m="1" x="436"/>
        <item m="1" x="228"/>
        <item m="1" x="347"/>
        <item m="1" x="465"/>
        <item m="1" x="302"/>
        <item m="1" x="423"/>
        <item m="1" x="375"/>
        <item m="1" x="216"/>
        <item m="1" x="337"/>
        <item m="1" x="454"/>
        <item m="1" x="290"/>
        <item m="1" x="251"/>
        <item m="1" x="365"/>
        <item m="1" x="205"/>
        <item m="1" x="323"/>
        <item m="1" x="278"/>
        <item m="1" x="393"/>
        <item m="1" x="237"/>
        <item m="1" x="354"/>
        <item m="1" x="193"/>
        <item m="1" x="312"/>
        <item m="1" x="431"/>
        <item m="1" x="267"/>
        <item m="1" x="384"/>
        <item m="1" x="246"/>
        <item m="1" x="361"/>
        <item m="1" x="201"/>
        <item m="1" x="319"/>
        <item m="1" x="390"/>
        <item m="1" x="232"/>
        <item m="1" x="351"/>
        <item m="1" x="470"/>
        <item m="1" x="308"/>
        <item m="1" x="428"/>
        <item m="1" x="380"/>
        <item m="1" x="221"/>
        <item m="1" x="342"/>
        <item m="1" x="458"/>
        <item m="1" x="293"/>
        <item m="1" x="412"/>
        <item m="1" x="368"/>
        <item m="1" x="210"/>
        <item m="1" x="328"/>
        <item m="1" x="447"/>
        <item m="1" x="282"/>
        <item m="1" x="398"/>
        <item m="1" x="357"/>
        <item m="1" x="19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m="1" x="22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m="1" x="4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KM inicial " axis="axisRow" compact="0" outline="0" showAll="0" sortType="ascending" defaultSubtotal="0">
      <items count="2290">
        <item m="1" x="608"/>
        <item m="1" x="1872"/>
        <item m="1" x="1536"/>
        <item m="1" x="1655"/>
        <item m="1" x="1658"/>
        <item m="1" x="1233"/>
        <item m="1" x="1581"/>
        <item m="1" x="1360"/>
        <item m="1" x="1373"/>
        <item x="122"/>
        <item x="129"/>
        <item x="133"/>
        <item x="139"/>
        <item m="1" x="1904"/>
        <item x="148"/>
        <item x="524"/>
        <item m="1" x="839"/>
        <item x="527"/>
        <item x="466"/>
        <item m="1" x="753"/>
        <item m="1" x="646"/>
        <item x="542"/>
        <item x="559"/>
        <item m="1" x="1758"/>
        <item m="1" x="1499"/>
        <item m="1" x="664"/>
        <item m="1" x="1603"/>
        <item x="461"/>
        <item m="1" x="1347"/>
        <item m="1" x="1185"/>
        <item m="1" x="1656"/>
        <item m="1" x="2204"/>
        <item m="1" x="2160"/>
        <item x="400"/>
        <item m="1" x="1307"/>
        <item m="1" x="1584"/>
        <item x="412"/>
        <item x="494"/>
        <item x="503"/>
        <item m="1" x="1977"/>
        <item m="1" x="1104"/>
        <item x="305"/>
        <item x="321"/>
        <item m="1" x="1596"/>
        <item m="1" x="1959"/>
        <item m="1" x="614"/>
        <item m="1" x="1830"/>
        <item m="1" x="1236"/>
        <item m="1" x="2088"/>
        <item m="1" x="2222"/>
        <item m="1" x="1930"/>
        <item m="1" x="1564"/>
        <item m="1" x="2034"/>
        <item m="1" x="1283"/>
        <item m="1" x="756"/>
        <item m="1" x="2234"/>
        <item m="1" x="2001"/>
        <item m="1" x="1304"/>
        <item m="1" x="1166"/>
        <item m="1" x="2021"/>
        <item m="1" x="1583"/>
        <item m="1" x="973"/>
        <item m="1" x="1863"/>
        <item m="1" x="1296"/>
        <item m="1" x="1155"/>
        <item m="1" x="768"/>
        <item m="1" x="1884"/>
        <item m="1" x="1024"/>
        <item m="1" x="828"/>
        <item m="1" x="1202"/>
        <item m="1" x="1439"/>
        <item m="1" x="2054"/>
        <item m="1" x="1768"/>
        <item m="1" x="2185"/>
        <item m="1" x="2154"/>
        <item m="1" x="1891"/>
        <item m="1" x="1478"/>
        <item m="1" x="1547"/>
        <item m="1" x="1419"/>
        <item m="1" x="762"/>
        <item m="1" x="730"/>
        <item m="1" x="1089"/>
        <item m="1" x="1697"/>
        <item m="1" x="1460"/>
        <item m="1" x="1308"/>
        <item m="1" x="2284"/>
        <item m="1" x="2278"/>
        <item m="1" x="1834"/>
        <item m="1" x="2095"/>
        <item m="1" x="766"/>
        <item m="1" x="990"/>
        <item m="1" x="1744"/>
        <item m="1" x="2087"/>
        <item m="1" x="1623"/>
        <item m="1" x="1264"/>
        <item m="1" x="2031"/>
        <item m="1" x="857"/>
        <item m="1" x="2255"/>
        <item m="1" x="1948"/>
        <item m="1" x="1611"/>
        <item m="1" x="2182"/>
        <item m="1" x="1385"/>
        <item m="1" x="933"/>
        <item m="1" x="1326"/>
        <item m="1" x="1323"/>
        <item m="1" x="1495"/>
        <item m="1" x="1127"/>
        <item m="1" x="1745"/>
        <item m="1" x="1516"/>
        <item m="1" x="1414"/>
        <item m="1" x="951"/>
        <item m="1" x="1665"/>
        <item m="1" x="1769"/>
        <item m="1" x="1006"/>
        <item m="1" x="717"/>
        <item m="1" x="759"/>
        <item m="1" x="1644"/>
        <item m="1" x="692"/>
        <item m="1" x="1876"/>
        <item m="1" x="2026"/>
        <item m="1" x="802"/>
        <item m="1" x="1435"/>
        <item m="1" x="1639"/>
        <item m="1" x="1164"/>
        <item m="1" x="2049"/>
        <item m="1" x="1920"/>
        <item m="1" x="835"/>
        <item m="1" x="962"/>
        <item m="1" x="1305"/>
        <item m="1" x="2022"/>
        <item m="1" x="1660"/>
        <item m="1" x="1893"/>
        <item m="1" x="974"/>
        <item m="1" x="2147"/>
        <item m="1" x="1917"/>
        <item m="1" x="995"/>
        <item m="1" x="1702"/>
        <item m="1" x="700"/>
        <item m="1" x="1290"/>
        <item m="1" x="1317"/>
        <item m="1" x="987"/>
        <item m="1" x="2004"/>
        <item m="1" x="1927"/>
        <item m="1" x="1008"/>
        <item m="1" x="1586"/>
        <item m="1" x="1687"/>
        <item x="275"/>
        <item x="283"/>
        <item m="1" x="750"/>
        <item x="308"/>
        <item m="1" x="998"/>
        <item x="292"/>
        <item m="1" x="813"/>
        <item m="1" x="1962"/>
        <item m="1" x="676"/>
        <item m="1" x="1182"/>
        <item m="1" x="2041"/>
        <item m="1" x="2140"/>
        <item x="324"/>
        <item m="1" x="2114"/>
        <item m="1" x="2091"/>
        <item x="389"/>
        <item m="1" x="943"/>
        <item m="1" x="889"/>
        <item m="1" x="1482"/>
        <item m="1" x="1791"/>
        <item x="446"/>
        <item x="454"/>
        <item x="458"/>
        <item x="70"/>
        <item m="1" x="918"/>
        <item m="1" x="1365"/>
        <item x="75"/>
        <item x="88"/>
        <item x="583"/>
        <item x="91"/>
        <item x="590"/>
        <item m="1" x="1805"/>
        <item x="221"/>
        <item x="225"/>
        <item x="310"/>
        <item x="230"/>
        <item x="239"/>
        <item x="311"/>
        <item x="242"/>
        <item x="315"/>
        <item x="319"/>
        <item x="246"/>
        <item x="251"/>
        <item x="254"/>
        <item x="255"/>
        <item x="329"/>
        <item x="261"/>
        <item x="334"/>
        <item x="338"/>
        <item x="348"/>
        <item x="353"/>
        <item x="362"/>
        <item x="365"/>
        <item x="379"/>
        <item x="384"/>
        <item x="385"/>
        <item x="388"/>
        <item x="391"/>
        <item x="392"/>
        <item x="397"/>
        <item x="403"/>
        <item x="408"/>
        <item x="170"/>
        <item x="180"/>
        <item x="189"/>
        <item x="194"/>
        <item x="197"/>
        <item x="203"/>
        <item x="213"/>
        <item x="217"/>
        <item m="1" x="1618"/>
        <item m="1" x="1284"/>
        <item m="1" x="1722"/>
        <item m="1" x="903"/>
        <item m="1" x="1278"/>
        <item m="1" x="1688"/>
        <item m="1" x="1106"/>
        <item m="1" x="1557"/>
        <item m="1" x="1124"/>
        <item m="1" x="1932"/>
        <item m="1" x="1479"/>
        <item m="1" x="2109"/>
        <item m="1" x="1119"/>
        <item m="1" x="1576"/>
        <item m="1" x="2206"/>
        <item m="1" x="1132"/>
        <item m="1" x="2235"/>
        <item m="1" x="675"/>
        <item m="1" x="1171"/>
        <item m="1" x="1437"/>
        <item m="1" x="705"/>
        <item m="1" x="1014"/>
        <item m="1" x="1457"/>
        <item m="1" x="1561"/>
        <item m="1" x="1332"/>
        <item m="1" x="2252"/>
        <item m="1" x="1871"/>
        <item m="1" x="1074"/>
        <item m="1" x="1982"/>
        <item m="1" x="1481"/>
        <item m="1" x="794"/>
        <item m="1" x="1082"/>
        <item m="1" x="1204"/>
        <item m="1" x="1428"/>
        <item m="1" x="1835"/>
        <item m="1" x="2241"/>
        <item m="1" x="679"/>
        <item m="1" x="975"/>
        <item m="1" x="1381"/>
        <item m="1" x="1823"/>
        <item m="1" x="2175"/>
        <item m="1" x="1699"/>
        <item m="1" x="805"/>
        <item m="1" x="1328"/>
        <item m="1" x="1654"/>
        <item m="1" x="2016"/>
        <item m="1" x="970"/>
        <item m="1" x="1069"/>
        <item m="1" x="1728"/>
        <item m="1" x="1918"/>
        <item m="1" x="861"/>
        <item m="1" x="1605"/>
        <item m="1" x="1800"/>
        <item m="1" x="2249"/>
        <item m="1" x="1066"/>
        <item m="1" x="1474"/>
        <item m="1" x="2129"/>
        <item m="1" x="707"/>
        <item m="1" x="1604"/>
        <item m="1" x="2027"/>
        <item m="1" x="2055"/>
        <item m="1" x="1153"/>
        <item m="1" x="2128"/>
        <item m="1" x="875"/>
        <item m="1" x="1322"/>
        <item m="1" x="1692"/>
        <item m="1" x="2127"/>
        <item m="1" x="1098"/>
        <item m="1" x="1417"/>
        <item m="1" x="1911"/>
        <item m="1" x="871"/>
        <item m="1" x="1416"/>
        <item m="1" x="898"/>
        <item m="1" x="1731"/>
        <item m="1" x="2176"/>
        <item m="1" x="2250"/>
        <item m="1" x="1579"/>
        <item m="1" x="2035"/>
        <item m="1" x="2262"/>
        <item m="1" x="1000"/>
        <item m="1" x="1353"/>
        <item m="1" x="1488"/>
        <item m="1" x="1477"/>
        <item m="1" x="1575"/>
        <item m="1" x="1841"/>
        <item m="1" x="769"/>
        <item m="1" x="1217"/>
        <item m="1" x="1397"/>
        <item m="1" x="1916"/>
        <item m="1" x="2236"/>
        <item m="1" x="996"/>
        <item m="1" x="1088"/>
        <item m="1" x="1173"/>
        <item m="1" x="2028"/>
        <item m="1" x="2104"/>
        <item m="1" x="1281"/>
        <item m="1" x="1939"/>
        <item m="1" x="1244"/>
        <item m="1" x="1473"/>
        <item m="1" x="1640"/>
        <item m="1" x="2116"/>
        <item m="1" x="1009"/>
        <item m="1" x="1321"/>
        <item m="1" x="2064"/>
        <item m="1" x="703"/>
        <item m="1" x="915"/>
        <item m="1" x="1242"/>
        <item m="1" x="1921"/>
        <item m="1" x="736"/>
        <item m="1" x="1240"/>
        <item m="1" x="1601"/>
        <item m="1" x="1971"/>
        <item m="1" x="683"/>
        <item m="1" x="960"/>
        <item m="1" x="1238"/>
        <item m="1" x="1850"/>
        <item m="1" x="2212"/>
        <item x="76"/>
        <item m="1" x="1300"/>
        <item m="1" x="760"/>
        <item m="1" x="957"/>
        <item x="79"/>
        <item m="1" x="1760"/>
        <item m="1" x="955"/>
        <item m="1" x="1187"/>
        <item m="1" x="2038"/>
        <item x="83"/>
        <item m="1" x="1287"/>
        <item m="1" x="1684"/>
        <item m="1" x="2228"/>
        <item x="101"/>
        <item m="1" x="988"/>
        <item x="110"/>
        <item m="1" x="2017"/>
        <item m="1" x="2174"/>
        <item m="1" x="2195"/>
        <item m="1" x="622"/>
        <item m="1" x="1072"/>
        <item m="1" x="1158"/>
        <item m="1" x="2082"/>
        <item m="1" x="2121"/>
        <item m="1" x="649"/>
        <item m="1" x="1266"/>
        <item m="1" x="1275"/>
        <item m="1" x="1842"/>
        <item m="1" x="2003"/>
        <item m="1" x="1145"/>
        <item m="1" x="1377"/>
        <item m="1" x="1642"/>
        <item m="1" x="1964"/>
        <item m="1" x="1117"/>
        <item m="1" x="1374"/>
        <item m="1" x="1978"/>
        <item m="1" x="858"/>
        <item m="1" x="1128"/>
        <item x="123"/>
        <item m="1" x="2096"/>
        <item x="134"/>
        <item m="1" x="1664"/>
        <item m="1" x="1873"/>
        <item m="1" x="2256"/>
        <item m="1" x="1076"/>
        <item m="1" x="1168"/>
        <item x="145"/>
        <item m="1" x="2273"/>
        <item m="1" x="1571"/>
        <item m="1" x="1765"/>
        <item m="1" x="2103"/>
        <item x="149"/>
        <item m="1" x="1193"/>
        <item m="1" x="1854"/>
        <item m="1" x="772"/>
        <item m="1" x="1126"/>
        <item x="165"/>
        <item x="171"/>
        <item m="1" x="1224"/>
        <item m="1" x="1600"/>
        <item x="176"/>
        <item m="1" x="1743"/>
        <item m="1" x="1645"/>
        <item x="186"/>
        <item m="1" x="2197"/>
        <item m="1" x="1122"/>
        <item m="1" x="1673"/>
        <item m="1" x="2221"/>
        <item x="198"/>
        <item x="207"/>
        <item m="1" x="1542"/>
        <item m="1" x="2110"/>
        <item m="1" x="1442"/>
        <item x="222"/>
        <item x="226"/>
        <item m="1" x="1338"/>
        <item m="1" x="1705"/>
        <item m="1" x="1843"/>
        <item m="1" x="678"/>
        <item x="304"/>
        <item m="1" x="1350"/>
        <item m="1" x="1819"/>
        <item m="1" x="2191"/>
        <item m="1" x="2189"/>
        <item m="1" x="634"/>
        <item m="1" x="1679"/>
        <item m="1" x="2118"/>
        <item x="335"/>
        <item m="1" x="855"/>
        <item m="1" x="1372"/>
        <item m="1" x="803"/>
        <item m="1" x="1885"/>
        <item m="1" x="1899"/>
        <item x="320"/>
        <item m="1" x="892"/>
        <item m="1" x="1615"/>
        <item x="278"/>
        <item m="1" x="2201"/>
        <item m="1" x="913"/>
        <item m="1" x="1998"/>
        <item m="1" x="1303"/>
        <item x="286"/>
        <item x="287"/>
        <item m="1" x="1946"/>
        <item m="1" x="1430"/>
        <item x="322"/>
        <item m="1" x="718"/>
        <item m="1" x="910"/>
        <item x="293"/>
        <item m="1" x="1813"/>
        <item x="297"/>
        <item m="1" x="1880"/>
        <item m="1" x="1251"/>
        <item m="1" x="2145"/>
        <item m="1" x="999"/>
        <item x="307"/>
        <item m="1" x="1591"/>
        <item m="1" x="1077"/>
        <item m="1" x="2155"/>
        <item m="1" x="632"/>
        <item x="316"/>
        <item m="1" x="738"/>
        <item m="1" x="1280"/>
        <item x="330"/>
        <item m="1" x="1663"/>
        <item m="1" x="821"/>
        <item m="1" x="1766"/>
        <item x="339"/>
        <item m="1" x="2115"/>
        <item m="1" x="1048"/>
        <item m="1" x="1708"/>
        <item m="1" x="2136"/>
        <item m="1" x="980"/>
        <item m="1" x="1319"/>
        <item m="1" x="1815"/>
        <item m="1" x="2183"/>
        <item m="1" x="811"/>
        <item m="1" x="1191"/>
        <item m="1" x="1869"/>
        <item m="1" x="1827"/>
        <item x="371"/>
        <item m="1" x="976"/>
        <item m="1" x="1881"/>
        <item m="1" x="2124"/>
        <item m="1" x="665"/>
        <item m="1" x="1203"/>
        <item x="374"/>
        <item m="1" x="1636"/>
        <item m="1" x="866"/>
        <item x="380"/>
        <item m="1" x="2158"/>
        <item m="1" x="1294"/>
        <item m="1" x="1809"/>
        <item m="1" x="2288"/>
        <item m="1" x="1154"/>
        <item m="1" x="674"/>
        <item m="1" x="1458"/>
        <item m="1" x="2093"/>
        <item m="1" x="2186"/>
        <item m="1" x="1037"/>
        <item m="1" x="1225"/>
        <item m="1" x="2184"/>
        <item m="1" x="1420"/>
        <item m="1" x="1851"/>
        <item m="1" x="1341"/>
        <item m="1" x="2099"/>
        <item m="1" x="1043"/>
        <item m="1" x="744"/>
        <item m="1" x="2237"/>
        <item m="1" x="617"/>
        <item m="1" x="1940"/>
        <item m="1" x="852"/>
        <item m="1" x="1956"/>
        <item m="1" x="1701"/>
        <item m="1" x="1517"/>
        <item m="1" x="899"/>
        <item m="1" x="954"/>
        <item m="1" x="2111"/>
        <item m="1" x="731"/>
        <item m="1" x="1267"/>
        <item m="1" x="1389"/>
        <item m="1" x="1896"/>
        <item m="1" x="1243"/>
        <item m="1" x="1628"/>
        <item m="1" x="890"/>
        <item m="1" x="1239"/>
        <item m="1" x="1792"/>
        <item m="1" x="2007"/>
        <item m="1" x="1802"/>
        <item m="1" x="1739"/>
        <item m="1" x="1563"/>
        <item m="1" x="1808"/>
        <item m="1" x="948"/>
        <item m="1" x="1915"/>
        <item m="1" x="1333"/>
        <item m="1" x="2137"/>
        <item m="1" x="1937"/>
        <item m="1" x="1061"/>
        <item m="1" x="1530"/>
        <item m="1" x="1995"/>
        <item m="1" x="931"/>
        <item m="1" x="691"/>
        <item m="1" x="1983"/>
        <item m="1" x="1866"/>
        <item m="1" x="829"/>
        <item m="1" x="1700"/>
        <item m="1" x="1427"/>
        <item x="72"/>
        <item m="1" x="790"/>
        <item x="87"/>
        <item m="1" x="1529"/>
        <item m="1" x="693"/>
        <item x="93"/>
        <item m="1" x="1641"/>
        <item x="98"/>
        <item m="1" x="1839"/>
        <item x="103"/>
        <item m="1" x="1227"/>
        <item x="107"/>
        <item x="113"/>
        <item m="1" x="2117"/>
        <item m="1" x="2253"/>
        <item x="120"/>
        <item x="127"/>
        <item x="131"/>
        <item m="1" x="671"/>
        <item m="1" x="1085"/>
        <item x="136"/>
        <item m="1" x="1938"/>
        <item x="138"/>
        <item m="1" x="961"/>
        <item x="141"/>
        <item m="1" x="1483"/>
        <item x="146"/>
        <item x="152"/>
        <item m="1" x="1492"/>
        <item m="1" x="1867"/>
        <item x="156"/>
        <item m="1" x="1465"/>
        <item m="1" x="625"/>
        <item x="160"/>
        <item x="162"/>
        <item x="168"/>
        <item m="1" x="1339"/>
        <item m="1" x="1413"/>
        <item m="1" x="2085"/>
        <item x="173"/>
        <item x="178"/>
        <item x="181"/>
        <item x="184"/>
        <item x="188"/>
        <item m="1" x="1078"/>
        <item x="191"/>
        <item x="201"/>
        <item m="1" x="1785"/>
        <item x="210"/>
        <item m="1" x="708"/>
        <item m="1" x="1215"/>
        <item x="220"/>
        <item m="1" x="1364"/>
        <item m="1" x="1856"/>
        <item m="1" x="1212"/>
        <item x="228"/>
        <item m="1" x="1900"/>
        <item x="229"/>
        <item x="233"/>
        <item x="236"/>
        <item m="1" x="2245"/>
        <item x="241"/>
        <item m="1" x="1195"/>
        <item m="1" x="1446"/>
        <item x="245"/>
        <item x="249"/>
        <item m="1" x="1455"/>
        <item x="253"/>
        <item m="1" x="1828"/>
        <item m="1" x="781"/>
        <item x="258"/>
        <item m="1" x="1469"/>
        <item m="1" x="1558"/>
        <item x="266"/>
        <item x="270"/>
        <item m="1" x="1357"/>
        <item m="1" x="715"/>
        <item x="279"/>
        <item m="1" x="1137"/>
        <item m="1" x="1148"/>
        <item x="281"/>
        <item m="1" x="925"/>
        <item x="291"/>
        <item m="1" x="2059"/>
        <item m="1" x="1268"/>
        <item x="295"/>
        <item x="298"/>
        <item m="1" x="662"/>
        <item m="1" x="1919"/>
        <item m="1" x="1979"/>
        <item x="301"/>
        <item m="1" x="638"/>
        <item m="1" x="2106"/>
        <item m="1" x="1293"/>
        <item m="1" x="1799"/>
        <item m="1" x="894"/>
        <item m="1" x="1248"/>
        <item m="1" x="836"/>
        <item x="309"/>
        <item m="1" x="966"/>
        <item x="317"/>
        <item m="1" x="1049"/>
        <item m="1" x="1746"/>
        <item m="1" x="2092"/>
        <item x="326"/>
        <item x="332"/>
        <item x="336"/>
        <item x="340"/>
        <item m="1" x="684"/>
        <item x="342"/>
        <item x="343"/>
        <item m="1" x="1996"/>
        <item m="1" x="1045"/>
        <item x="345"/>
        <item m="1" x="1868"/>
        <item x="351"/>
        <item m="1" x="1358"/>
        <item m="1" x="1518"/>
        <item m="1" x="2113"/>
        <item x="355"/>
        <item x="359"/>
        <item m="1" x="1092"/>
        <item x="0"/>
        <item x="369"/>
        <item m="1" x="1252"/>
        <item x="5"/>
        <item x="9"/>
        <item x="377"/>
        <item x="11"/>
        <item x="28"/>
        <item m="1" x="1681"/>
        <item x="36"/>
        <item x="37"/>
        <item x="390"/>
        <item m="1" x="1550"/>
        <item x="394"/>
        <item x="47"/>
        <item x="401"/>
        <item x="405"/>
        <item m="1" x="994"/>
        <item m="1" x="1324"/>
        <item x="414"/>
        <item x="418"/>
        <item x="419"/>
        <item x="420"/>
        <item x="422"/>
        <item m="1" x="1084"/>
        <item x="424"/>
        <item m="1" x="1707"/>
        <item x="427"/>
        <item x="429"/>
        <item m="1" x="2251"/>
        <item x="431"/>
        <item m="1" x="1301"/>
        <item m="1" x="1763"/>
        <item x="432"/>
        <item x="434"/>
        <item m="1" x="1945"/>
        <item x="439"/>
        <item m="1" x="900"/>
        <item m="1" x="1033"/>
        <item x="443"/>
        <item m="1" x="1175"/>
        <item m="1" x="1969"/>
        <item x="449"/>
        <item m="1" x="1532"/>
        <item m="1" x="1297"/>
        <item x="455"/>
        <item m="1" x="1741"/>
        <item x="459"/>
        <item x="462"/>
        <item m="1" x="1670"/>
        <item m="1" x="1310"/>
        <item m="1" x="1787"/>
        <item x="471"/>
        <item m="1" x="1335"/>
        <item x="475"/>
        <item m="1" x="1186"/>
        <item x="480"/>
        <item m="1" x="1771"/>
        <item m="1" x="1113"/>
        <item m="1" x="1129"/>
        <item m="1" x="1506"/>
        <item x="483"/>
        <item m="1" x="1816"/>
        <item m="1" x="1677"/>
        <item x="487"/>
        <item m="1" x="2225"/>
        <item x="500"/>
        <item x="506"/>
        <item m="1" x="1208"/>
        <item m="1" x="1432"/>
        <item x="515"/>
        <item m="1" x="1222"/>
        <item m="1" x="2180"/>
        <item x="529"/>
        <item m="1" x="958"/>
        <item m="1" x="1063"/>
        <item m="1" x="1646"/>
        <item x="538"/>
        <item m="1" x="826"/>
        <item x="545"/>
        <item m="1" x="1777"/>
        <item m="1" x="1500"/>
        <item x="548"/>
        <item m="1" x="934"/>
        <item m="1" x="1270"/>
        <item m="1" x="1774"/>
        <item x="552"/>
        <item m="1" x="952"/>
        <item x="561"/>
        <item m="1" x="1133"/>
        <item x="566"/>
        <item m="1" x="637"/>
        <item m="1" x="709"/>
        <item x="568"/>
        <item m="1" x="1229"/>
        <item m="1" x="2105"/>
        <item m="1" x="2258"/>
        <item m="1" x="907"/>
        <item x="575"/>
        <item m="1" x="2029"/>
        <item m="1" x="2286"/>
        <item m="1" x="1678"/>
        <item m="1" x="992"/>
        <item x="588"/>
        <item m="1" x="1922"/>
        <item x="594"/>
        <item x="597"/>
        <item m="1" x="1107"/>
        <item m="1" x="1406"/>
        <item m="1" x="1914"/>
        <item m="1" x="873"/>
        <item m="1" x="1046"/>
        <item x="604"/>
        <item m="1" x="1913"/>
        <item m="1" x="887"/>
        <item m="1" x="1163"/>
        <item m="1" x="1659"/>
        <item m="1" x="1736"/>
        <item m="1" x="1466"/>
        <item m="1" x="1735"/>
        <item m="1" x="827"/>
        <item m="1" x="2112"/>
        <item m="1" x="1846"/>
        <item m="1" x="867"/>
        <item m="1" x="2148"/>
        <item m="1" x="1070"/>
        <item m="1" x="1772"/>
        <item m="1" x="647"/>
        <item m="1" x="2219"/>
        <item m="1" x="1902"/>
        <item m="1" x="1976"/>
        <item m="1" x="1086"/>
        <item m="1" x="1485"/>
        <item m="1" x="963"/>
        <item m="1" x="1520"/>
        <item m="1" x="1613"/>
        <item m="1" x="1689"/>
        <item m="1" x="849"/>
        <item m="1" x="1007"/>
        <item m="1" x="1344"/>
        <item m="1" x="1793"/>
        <item m="1" x="658"/>
        <item m="1" x="2152"/>
        <item m="1" x="978"/>
        <item m="1" x="1035"/>
        <item m="1" x="1585"/>
        <item m="1" x="1955"/>
        <item m="1" x="1598"/>
        <item m="1" x="2100"/>
        <item m="1" x="626"/>
        <item m="1" x="956"/>
        <item m="1" x="1288"/>
        <item m="1" x="953"/>
        <item m="1" x="1160"/>
        <item m="1" x="1775"/>
        <item m="1" x="778"/>
        <item m="1" x="1380"/>
        <item m="1" x="1426"/>
        <item m="1" x="1511"/>
        <item m="1" x="1833"/>
        <item m="1" x="788"/>
        <item m="1" x="1440"/>
        <item m="1" x="917"/>
        <item m="1" x="1507"/>
        <item m="1" x="2287"/>
        <item m="1" x="893"/>
        <item m="1" x="1795"/>
        <item m="1" x="1723"/>
        <item m="1" x="1386"/>
        <item m="1" x="1661"/>
        <item m="1" x="1637"/>
        <item m="1" x="2266"/>
        <item m="1" x="1759"/>
        <item m="1" x="908"/>
        <item m="1" x="919"/>
        <item m="1" x="1172"/>
        <item m="1" x="1247"/>
        <item m="1" x="773"/>
        <item m="1" x="1710"/>
        <item m="1" x="2268"/>
        <item m="1" x="2166"/>
        <item x="19"/>
        <item m="1" x="897"/>
        <item x="24"/>
        <item m="1" x="935"/>
        <item m="1" x="1776"/>
        <item x="32"/>
        <item m="1" x="896"/>
        <item m="1" x="1889"/>
        <item x="34"/>
        <item x="35"/>
        <item m="1" x="841"/>
        <item m="1" x="1410"/>
        <item x="39"/>
        <item x="42"/>
        <item m="1" x="1725"/>
        <item x="456"/>
        <item x="468"/>
        <item m="1" x="946"/>
        <item x="45"/>
        <item x="476"/>
        <item x="50"/>
        <item m="1" x="672"/>
        <item x="478"/>
        <item x="57"/>
        <item x="492"/>
        <item m="1" x="1342"/>
        <item x="63"/>
        <item x="497"/>
        <item x="502"/>
        <item x="64"/>
        <item x="508"/>
        <item x="510"/>
        <item x="67"/>
        <item m="1" x="1134"/>
        <item x="69"/>
        <item x="516"/>
        <item x="73"/>
        <item x="522"/>
        <item m="1" x="1509"/>
        <item m="1" x="1857"/>
        <item x="537"/>
        <item m="1" x="1925"/>
        <item x="81"/>
        <item x="540"/>
        <item m="1" x="2168"/>
        <item x="547"/>
        <item m="1" x="2232"/>
        <item x="94"/>
        <item x="99"/>
        <item m="1" x="1004"/>
        <item m="1" x="640"/>
        <item m="1" x="697"/>
        <item m="1" x="2132"/>
        <item x="108"/>
        <item x="565"/>
        <item m="1" x="2048"/>
        <item m="1" x="1463"/>
        <item x="114"/>
        <item m="1" x="1412"/>
        <item m="1" x="1715"/>
        <item x="572"/>
        <item m="1" x="648"/>
        <item x="128"/>
        <item x="576"/>
        <item m="1" x="1877"/>
        <item m="1" x="1905"/>
        <item m="1" x="710"/>
        <item m="1" x="619"/>
        <item x="587"/>
        <item x="142"/>
        <item m="1" x="739"/>
        <item x="598"/>
        <item x="144"/>
        <item m="1" x="1975"/>
        <item m="1" x="2025"/>
        <item x="147"/>
        <item m="1" x="1262"/>
        <item x="606"/>
        <item x="153"/>
        <item m="1" x="2126"/>
        <item m="1" x="1519"/>
        <item m="1" x="1626"/>
        <item x="157"/>
        <item m="1" x="1150"/>
        <item m="1" x="1162"/>
        <item x="158"/>
        <item m="1" x="651"/>
        <item m="1" x="1621"/>
        <item m="1" x="2220"/>
        <item m="1" x="1441"/>
        <item m="1" x="1671"/>
        <item m="1" x="2083"/>
        <item m="1" x="1540"/>
        <item m="1" x="1713"/>
        <item m="1" x="2207"/>
        <item m="1" x="1018"/>
        <item m="1" x="1399"/>
        <item m="1" x="1606"/>
        <item x="163"/>
        <item m="1" x="1508"/>
        <item x="185"/>
        <item m="1" x="1101"/>
        <item m="1" x="1537"/>
        <item m="1" x="1213"/>
        <item m="1" x="1704"/>
        <item m="1" x="2141"/>
        <item m="1" x="688"/>
        <item m="1" x="615"/>
        <item m="1" x="1051"/>
        <item m="1" x="2169"/>
        <item m="1" x="1502"/>
        <item x="192"/>
        <item m="1" x="641"/>
        <item m="1" x="1125"/>
        <item m="1" x="2135"/>
        <item m="1" x="2231"/>
        <item m="1" x="1139"/>
        <item x="196"/>
        <item m="1" x="1912"/>
        <item m="1" x="977"/>
        <item m="1" x="1044"/>
        <item m="1" x="2179"/>
        <item m="1" x="1392"/>
        <item m="1" x="2122"/>
        <item m="1" x="868"/>
        <item x="206"/>
        <item x="211"/>
        <item m="1" x="748"/>
        <item m="1" x="1683"/>
        <item m="1" x="881"/>
        <item x="237"/>
        <item m="1" x="1041"/>
        <item m="1" x="1351"/>
        <item m="1" x="620"/>
        <item m="1" x="1423"/>
        <item m="1" x="1666"/>
        <item m="1" x="775"/>
        <item m="1" x="982"/>
        <item x="259"/>
        <item m="1" x="631"/>
        <item m="1" x="964"/>
        <item x="262"/>
        <item m="1" x="1614"/>
        <item x="267"/>
        <item m="1" x="2052"/>
        <item m="1" x="1895"/>
        <item m="1" x="2077"/>
        <item m="1" x="912"/>
        <item x="271"/>
        <item m="1" x="698"/>
        <item x="276"/>
        <item m="1" x="1431"/>
        <item m="1" x="1934"/>
        <item x="280"/>
        <item m="1" x="2242"/>
        <item m="1" x="1382"/>
        <item m="1" x="817"/>
        <item m="1" x="869"/>
        <item m="1" x="1403"/>
        <item m="1" x="2075"/>
        <item x="284"/>
        <item m="1" x="1729"/>
        <item m="1" x="623"/>
        <item m="1" x="1966"/>
        <item m="1" x="2238"/>
        <item m="1" x="1449"/>
        <item m="1" x="1487"/>
        <item m="1" x="1788"/>
        <item x="296"/>
        <item m="1" x="1249"/>
        <item m="1" x="1055"/>
        <item x="303"/>
        <item m="1" x="1858"/>
        <item m="1" x="660"/>
        <item x="306"/>
        <item x="313"/>
        <item m="1" x="1522"/>
        <item m="1" x="1693"/>
        <item x="175"/>
        <item x="318"/>
        <item m="1" x="720"/>
        <item m="1" x="1346"/>
        <item m="1" x="1396"/>
        <item x="182"/>
        <item m="1" x="1546"/>
        <item m="1" x="2200"/>
        <item m="1" x="685"/>
        <item x="323"/>
        <item m="1" x="1343"/>
        <item m="1" x="1453"/>
        <item x="327"/>
        <item m="1" x="2280"/>
        <item m="1" x="1638"/>
        <item m="1" x="1567"/>
        <item m="1" x="1647"/>
        <item m="1" x="1836"/>
        <item x="333"/>
        <item m="1" x="2019"/>
        <item x="337"/>
        <item m="1" x="1543"/>
        <item m="1" x="2037"/>
        <item m="1" x="1622"/>
        <item m="1" x="2044"/>
        <item m="1" x="1367"/>
        <item m="1" x="1620"/>
        <item m="1" x="1994"/>
        <item x="346"/>
        <item m="1" x="1992"/>
        <item x="352"/>
        <item m="1" x="1496"/>
        <item m="1" x="1562"/>
        <item m="1" x="965"/>
        <item m="1" x="1523"/>
        <item x="360"/>
        <item m="1" x="701"/>
        <item m="1" x="1972"/>
        <item m="1" x="1146"/>
        <item m="1" x="2153"/>
        <item x="373"/>
        <item x="382"/>
        <item m="1" x="2172"/>
        <item m="1" x="733"/>
        <item m="1" x="1257"/>
        <item x="387"/>
        <item m="1" x="1933"/>
        <item m="1" x="754"/>
        <item m="1" x="967"/>
        <item m="1" x="1624"/>
        <item x="395"/>
        <item m="1" x="1136"/>
        <item m="1" x="1749"/>
        <item x="402"/>
        <item m="1" x="774"/>
        <item x="406"/>
        <item m="1" x="1531"/>
        <item m="1" x="1942"/>
        <item x="415"/>
        <item m="1" x="1957"/>
        <item m="1" x="1019"/>
        <item m="1" x="830"/>
        <item m="1" x="1394"/>
        <item m="1" x="1820"/>
        <item m="1" x="1131"/>
        <item x="447"/>
        <item m="1" x="1016"/>
        <item x="444"/>
        <item x="450"/>
        <item m="1" x="906"/>
        <item m="1" x="984"/>
        <item m="1" x="2162"/>
        <item m="1" x="1354"/>
        <item x="470"/>
        <item m="1" x="1580"/>
        <item m="1" x="808"/>
        <item m="1" x="936"/>
        <item x="486"/>
        <item m="1" x="2272"/>
        <item x="465"/>
        <item x="491"/>
        <item x="495"/>
        <item m="1" x="1794"/>
        <item x="499"/>
        <item x="504"/>
        <item x="509"/>
        <item m="1" x="1779"/>
        <item x="472"/>
        <item x="511"/>
        <item m="1" x="694"/>
        <item x="586"/>
        <item x="591"/>
        <item x="481"/>
        <item x="482"/>
        <item x="526"/>
        <item x="600"/>
        <item x="488"/>
        <item x="530"/>
        <item x="602"/>
        <item x="533"/>
        <item m="1" x="1903"/>
        <item x="496"/>
        <item m="1" x="1548"/>
        <item m="1" x="1989"/>
        <item x="549"/>
        <item x="553"/>
        <item x="519"/>
        <item x="556"/>
        <item x="525"/>
        <item m="1" x="981"/>
        <item m="1" x="1512"/>
        <item x="570"/>
        <item m="1" x="1311"/>
        <item x="579"/>
        <item m="1" x="1906"/>
        <item m="1" x="1144"/>
        <item x="581"/>
        <item m="1" x="1894"/>
        <item x="584"/>
        <item x="589"/>
        <item x="595"/>
        <item m="1" x="2056"/>
        <item m="1" x="716"/>
        <item m="1" x="968"/>
        <item x="574"/>
        <item x="578"/>
        <item x="607"/>
        <item m="1" x="2254"/>
        <item m="1" x="1371"/>
        <item x="593"/>
        <item m="1" x="1253"/>
        <item x="596"/>
        <item m="1" x="1879"/>
        <item m="1" x="1616"/>
        <item m="1" x="1198"/>
        <item m="1" x="666"/>
        <item m="1" x="1553"/>
        <item m="1" x="680"/>
        <item m="1" x="971"/>
        <item m="1" x="1402"/>
        <item m="1" x="1897"/>
        <item m="1" x="806"/>
        <item m="1" x="2084"/>
        <item m="1" x="719"/>
        <item m="1" x="1096"/>
        <item m="1" x="2010"/>
        <item m="1" x="847"/>
        <item m="1" x="1717"/>
        <item m="1" x="1859"/>
        <item m="1" x="1034"/>
        <item m="1" x="1114"/>
        <item m="1" x="1221"/>
        <item m="1" x="1587"/>
        <item m="1" x="2202"/>
        <item m="1" x="725"/>
        <item m="1" x="1366"/>
        <item m="1" x="1115"/>
        <item m="1" x="1277"/>
        <item m="1" x="800"/>
        <item m="1" x="986"/>
        <item m="1" x="1259"/>
        <item m="1" x="2125"/>
        <item m="1" x="1274"/>
        <item m="1" x="1874"/>
        <item m="1" x="1039"/>
        <item m="1" x="1369"/>
        <item m="1" x="1770"/>
        <item m="1" x="2177"/>
        <item m="1" x="905"/>
        <item m="1" x="724"/>
        <item m="1" x="2243"/>
        <item m="1" x="1991"/>
        <item m="1" x="2057"/>
        <item m="1" x="2229"/>
        <item x="10"/>
        <item m="1" x="1554"/>
        <item m="1" x="1855"/>
        <item m="1" x="1593"/>
        <item m="1" x="2009"/>
        <item m="1" x="2133"/>
        <item m="1" x="1015"/>
        <item m="1" x="1629"/>
        <item m="1" x="1968"/>
        <item m="1" x="1572"/>
        <item m="1" x="2023"/>
        <item m="1" x="832"/>
        <item m="1" x="1194"/>
        <item m="1" x="1422"/>
        <item m="1" x="1801"/>
        <item m="1" x="663"/>
        <item m="1" x="1345"/>
        <item m="1" x="1541"/>
        <item m="1" x="1653"/>
        <item m="1" x="2039"/>
        <item m="1" x="920"/>
        <item m="1" x="1551"/>
        <item m="1" x="2198"/>
        <item m="1" x="795"/>
        <item m="1" x="814"/>
        <item m="1" x="1398"/>
        <item m="1" x="1610"/>
        <item m="1" x="635"/>
        <item m="1" x="1199"/>
        <item m="1" x="2248"/>
        <item m="1" x="741"/>
        <item m="1" x="1732"/>
        <item m="1" x="1778"/>
        <item m="1" x="1949"/>
        <item m="1" x="2170"/>
        <item m="1" x="1052"/>
        <item x="17"/>
        <item x="20"/>
        <item x="49"/>
        <item x="53"/>
        <item m="1" x="1513"/>
        <item m="1" x="1952"/>
        <item m="1" x="2260"/>
        <item x="59"/>
        <item m="1" x="1503"/>
        <item m="1" x="2227"/>
        <item m="1" x="1177"/>
        <item m="1" x="2081"/>
        <item m="1" x="2281"/>
        <item m="1" x="1467"/>
        <item x="85"/>
        <item m="1" x="1065"/>
        <item m="1" x="1761"/>
        <item m="1" x="1926"/>
        <item m="1" x="1340"/>
        <item m="1" x="1388"/>
        <item m="1" x="1452"/>
        <item x="97"/>
        <item m="1" x="1030"/>
        <item m="1" x="1796"/>
        <item m="1" x="792"/>
        <item x="102"/>
        <item m="1" x="904"/>
        <item m="1" x="1079"/>
        <item m="1" x="1521"/>
        <item m="1" x="1844"/>
        <item m="1" x="1999"/>
        <item m="1" x="1047"/>
        <item m="1" x="1407"/>
        <item x="112"/>
        <item m="1" x="1602"/>
        <item m="1" x="734"/>
        <item m="1" x="940"/>
        <item m="1" x="1005"/>
        <item m="1" x="1718"/>
        <item x="119"/>
        <item m="1" x="911"/>
        <item m="1" x="1223"/>
        <item m="1" x="1882"/>
        <item x="126"/>
        <item m="1" x="2211"/>
        <item m="1" x="667"/>
        <item m="1" x="776"/>
        <item m="1" x="1762"/>
        <item x="124"/>
        <item m="1" x="645"/>
        <item x="151"/>
        <item m="1" x="1179"/>
        <item x="183"/>
        <item m="1" x="1269"/>
        <item x="195"/>
        <item m="1" x="642"/>
        <item m="1" x="914"/>
        <item m="1" x="1140"/>
        <item x="200"/>
        <item m="1" x="797"/>
        <item m="1" x="921"/>
        <item m="1" x="1719"/>
        <item x="453"/>
        <item m="1" x="2244"/>
        <item x="205"/>
        <item m="1" x="859"/>
        <item m="1" x="1200"/>
        <item m="1" x="1468"/>
        <item m="1" x="1837"/>
        <item m="1" x="1935"/>
        <item m="1" x="2289"/>
        <item m="1" x="1116"/>
        <item m="1" x="742"/>
        <item x="238"/>
        <item m="1" x="1188"/>
        <item m="1" x="1459"/>
        <item m="1" x="1712"/>
        <item m="1" x="2060"/>
        <item m="1" x="2161"/>
        <item x="235"/>
        <item m="1" x="944"/>
        <item m="1" x="1209"/>
        <item m="1" x="1368"/>
        <item m="1" x="823"/>
        <item m="1" x="1159"/>
        <item m="1" x="1254"/>
        <item m="1" x="1400"/>
        <item m="1" x="2159"/>
        <item m="1" x="1276"/>
        <item m="1" x="1472"/>
        <item m="1" x="1662"/>
        <item m="1" x="1821"/>
        <item x="265"/>
        <item m="1" x="609"/>
        <item m="1" x="848"/>
        <item m="1" x="1652"/>
        <item x="4"/>
        <item x="8"/>
        <item m="1" x="711"/>
        <item x="25"/>
        <item x="398"/>
        <item m="1" x="1686"/>
        <item m="1" x="2050"/>
        <item m="1" x="901"/>
        <item x="13"/>
        <item m="1" x="1568"/>
        <item x="21"/>
        <item x="300"/>
        <item x="26"/>
        <item x="30"/>
        <item m="1" x="1817"/>
        <item x="43"/>
        <item m="1" x="846"/>
        <item x="302"/>
        <item x="46"/>
        <item x="54"/>
        <item m="1" x="1886"/>
        <item x="58"/>
        <item x="312"/>
        <item m="1" x="2024"/>
        <item x="60"/>
        <item m="1" x="1021"/>
        <item x="65"/>
        <item m="1" x="1634"/>
        <item x="436"/>
        <item x="74"/>
        <item m="1" x="1390"/>
        <item x="100"/>
        <item m="1" x="1668"/>
        <item x="104"/>
        <item x="325"/>
        <item m="1" x="820"/>
        <item x="109"/>
        <item x="331"/>
        <item x="115"/>
        <item m="1" x="1017"/>
        <item m="1" x="1375"/>
        <item x="121"/>
        <item m="1" x="1849"/>
        <item m="1" x="2181"/>
        <item x="132"/>
        <item m="1" x="786"/>
        <item m="1" x="1073"/>
        <item x="164"/>
        <item m="1" x="1444"/>
        <item m="1" x="1742"/>
        <item m="1" x="2042"/>
        <item x="169"/>
        <item m="1" x="681"/>
        <item m="1" x="743"/>
        <item x="174"/>
        <item m="1" x="696"/>
        <item x="179"/>
        <item x="376"/>
        <item m="1" x="1245"/>
        <item x="193"/>
        <item m="1" x="2216"/>
        <item m="1" x="1210"/>
        <item m="1" x="1436"/>
        <item m="1" x="1676"/>
        <item m="1" x="1711"/>
        <item m="1" x="1974"/>
        <item x="386"/>
        <item x="202"/>
        <item x="212"/>
        <item m="1" x="1504"/>
        <item m="1" x="1672"/>
        <item m="1" x="1721"/>
        <item m="1" x="2005"/>
        <item m="1" x="2053"/>
        <item m="1" x="737"/>
        <item x="216"/>
        <item m="1" x="950"/>
        <item x="224"/>
        <item m="1" x="1108"/>
        <item m="1" x="1619"/>
        <item m="1" x="2213"/>
        <item x="413"/>
        <item x="250"/>
        <item m="1" x="804"/>
        <item m="1" x="878"/>
        <item m="1" x="922"/>
        <item m="1" x="1231"/>
        <item m="1" x="1250"/>
        <item m="1" x="1498"/>
        <item m="1" x="1510"/>
        <item m="1" x="1682"/>
        <item m="1" x="1737"/>
        <item m="1" x="1832"/>
        <item m="1" x="1840"/>
        <item x="260"/>
        <item m="1" x="2032"/>
        <item m="1" x="2192"/>
        <item x="272"/>
        <item x="417"/>
        <item m="1" x="1376"/>
        <item m="1" x="2089"/>
        <item m="1" x="655"/>
        <item m="1" x="1094"/>
        <item x="277"/>
        <item m="1" x="2066"/>
        <item x="438"/>
        <item m="1" x="689"/>
        <item m="1" x="1189"/>
        <item x="285"/>
        <item x="314"/>
        <item m="1" x="1535"/>
        <item x="288"/>
        <item m="1" x="1864"/>
        <item x="442"/>
        <item m="1" x="2123"/>
        <item x="290"/>
        <item m="1" x="732"/>
        <item m="1" x="1025"/>
        <item m="1" x="1064"/>
        <item m="1" x="1331"/>
        <item x="328"/>
        <item m="1" x="1783"/>
        <item m="1" x="1986"/>
        <item m="1" x="850"/>
        <item x="448"/>
        <item x="2"/>
        <item x="341"/>
        <item m="1" x="1694"/>
        <item m="1" x="1767"/>
        <item x="14"/>
        <item m="1" x="747"/>
        <item x="347"/>
        <item m="1" x="1255"/>
        <item x="350"/>
        <item m="1" x="1740"/>
        <item x="356"/>
        <item m="1" x="816"/>
        <item x="22"/>
        <item x="361"/>
        <item x="505"/>
        <item x="367"/>
        <item m="1" x="1853"/>
        <item m="1" x="1984"/>
        <item x="27"/>
        <item x="31"/>
        <item m="1" x="1361"/>
        <item m="1" x="1594"/>
        <item m="1" x="1617"/>
        <item x="513"/>
        <item m="1" x="1860"/>
        <item x="378"/>
        <item m="1" x="699"/>
        <item m="1" x="860"/>
        <item x="40"/>
        <item m="1" x="1393"/>
        <item x="44"/>
        <item x="517"/>
        <item m="1" x="2151"/>
        <item m="1" x="949"/>
        <item x="51"/>
        <item x="383"/>
        <item m="1" x="1501"/>
        <item m="1" x="2142"/>
        <item m="1" x="1205"/>
        <item x="396"/>
        <item x="82"/>
        <item x="407"/>
        <item x="95"/>
        <item m="1" x="2171"/>
        <item x="105"/>
        <item x="410"/>
        <item m="1" x="1197"/>
        <item m="1" x="1298"/>
        <item m="1" x="1533"/>
        <item m="1" x="1943"/>
        <item m="1" x="2233"/>
        <item m="1" x="2265"/>
        <item m="1" x="1812"/>
        <item m="1" x="2011"/>
        <item m="1" x="1135"/>
        <item m="1" x="1862"/>
        <item m="1" x="2239"/>
        <item m="1" x="882"/>
        <item m="1" x="1565"/>
        <item m="1" x="1888"/>
        <item x="421"/>
        <item m="1" x="2157"/>
        <item m="1" x="2224"/>
        <item m="1" x="842"/>
        <item m="1" x="1362"/>
        <item m="1" x="1470"/>
        <item m="1" x="1667"/>
        <item m="1" x="1754"/>
        <item m="1" x="1993"/>
        <item m="1" x="959"/>
        <item x="425"/>
        <item x="521"/>
        <item x="435"/>
        <item m="1" x="1883"/>
        <item m="1" x="668"/>
        <item m="1" x="1002"/>
        <item m="1" x="1318"/>
        <item m="1" x="1960"/>
        <item x="440"/>
        <item m="1" x="2165"/>
        <item m="1" x="837"/>
        <item m="1" x="947"/>
        <item m="1" x="1093"/>
        <item m="1" x="1824"/>
        <item m="1" x="1981"/>
        <item m="1" x="853"/>
        <item m="1" x="983"/>
        <item x="451"/>
        <item m="1" x="1169"/>
        <item m="1" x="1480"/>
        <item m="1" x="1514"/>
        <item m="1" x="1987"/>
        <item m="1" x="2098"/>
        <item m="1" x="2203"/>
        <item m="1" x="713"/>
        <item m="1" x="1120"/>
        <item x="463"/>
        <item m="1" x="1695"/>
        <item x="473"/>
        <item m="1" x="2045"/>
        <item m="1" x="1147"/>
        <item m="1" x="1312"/>
        <item m="1" x="1450"/>
        <item m="1" x="1505"/>
        <item m="1" x="1747"/>
        <item m="1" x="782"/>
        <item m="1" x="932"/>
        <item x="489"/>
        <item m="1" x="1156"/>
        <item x="551"/>
        <item m="1" x="1337"/>
        <item m="1" x="1560"/>
        <item m="1" x="1861"/>
        <item m="1" x="1878"/>
        <item m="1" x="2107"/>
        <item m="1" x="862"/>
        <item x="501"/>
        <item m="1" x="1068"/>
        <item m="1" x="1378"/>
        <item x="507"/>
        <item x="558"/>
        <item m="1" x="969"/>
        <item x="512"/>
        <item x="563"/>
        <item x="520"/>
        <item x="534"/>
        <item m="1" x="1176"/>
        <item x="603"/>
        <item m="1" x="1582"/>
        <item m="1" x="1848"/>
        <item m="1" x="616"/>
        <item x="539"/>
        <item m="1" x="1387"/>
        <item m="1" x="1724"/>
        <item m="1" x="2209"/>
        <item x="544"/>
        <item m="1" x="1121"/>
        <item m="1" x="1151"/>
        <item m="1" x="1348"/>
        <item m="1" x="1716"/>
        <item m="1" x="2036"/>
        <item m="1" x="721"/>
        <item m="1" x="833"/>
        <item m="1" x="1058"/>
        <item m="1" x="1789"/>
        <item m="1" x="643"/>
        <item m="1" x="843"/>
        <item m="1" x="1178"/>
        <item m="1" x="1756"/>
        <item m="1" x="2014"/>
        <item m="1" x="2071"/>
        <item x="555"/>
        <item m="1" x="621"/>
        <item m="1" x="735"/>
        <item m="1" x="789"/>
        <item m="1" x="895"/>
        <item m="1" x="927"/>
        <item m="1" x="1425"/>
        <item m="1" x="1627"/>
        <item m="1" x="1997"/>
        <item x="562"/>
        <item m="1" x="1230"/>
        <item m="1" x="1418"/>
        <item m="1" x="1599"/>
        <item m="1" x="2068"/>
        <item m="1" x="612"/>
        <item m="1" x="677"/>
        <item m="1" x="682"/>
        <item m="1" x="997"/>
        <item m="1" x="1003"/>
        <item m="1" x="1383"/>
        <item m="1" x="1555"/>
        <item x="569"/>
        <item m="1" x="1675"/>
        <item m="1" x="1941"/>
        <item m="1" x="1954"/>
        <item m="1" x="2277"/>
        <item m="1" x="1026"/>
        <item m="1" x="1315"/>
        <item m="1" x="1443"/>
        <item m="1" x="1733"/>
        <item m="1" x="1825"/>
        <item m="1" x="2079"/>
        <item m="1" x="2094"/>
        <item m="1" x="740"/>
        <item m="1" x="824"/>
        <item m="1" x="1170"/>
        <item m="1" x="1334"/>
        <item m="1" x="1588"/>
        <item m="1" x="1657"/>
        <item m="1" x="1685"/>
        <item m="1" x="1907"/>
        <item m="1" x="885"/>
        <item m="1" x="1110"/>
        <item m="1" x="1462"/>
        <item m="1" x="1595"/>
        <item m="1" x="2108"/>
        <item m="1" x="745"/>
        <item m="1" x="844"/>
        <item m="1" x="1090"/>
        <item m="1" x="1352"/>
        <item m="1" x="1648"/>
        <item m="1" x="1780"/>
        <item m="1" x="1965"/>
        <item m="1" x="2015"/>
        <item m="1" x="2214"/>
        <item m="1" x="2269"/>
        <item m="1" x="1027"/>
        <item m="1" x="1292"/>
        <item m="1" x="1471"/>
        <item m="1" x="1950"/>
        <item m="1" x="2120"/>
        <item m="1" x="2167"/>
        <item m="1" x="815"/>
        <item m="1" x="840"/>
        <item m="1" x="1067"/>
        <item m="1" x="838"/>
        <item m="1" x="1095"/>
        <item m="1" x="1258"/>
        <item m="1" x="1631"/>
        <item m="1" x="2101"/>
        <item m="1" x="653"/>
        <item m="1" x="929"/>
        <item m="1" x="1100"/>
        <item m="1" x="1573"/>
        <item m="1" x="1608"/>
        <item m="1" x="1924"/>
        <item m="1" x="2163"/>
        <item m="1" x="749"/>
        <item m="1" x="1180"/>
        <item m="1" x="1649"/>
        <item m="1" x="1797"/>
        <item m="1" x="1958"/>
        <item m="1" x="2246"/>
        <item m="1" x="704"/>
        <item m="1" x="928"/>
        <item m="1" x="1330"/>
        <item m="1" x="1451"/>
        <item m="1" x="1748"/>
        <item m="1" x="2002"/>
        <item m="1" x="2046"/>
        <item m="1" x="991"/>
        <item m="1" x="1080"/>
        <item m="1" x="1201"/>
        <item m="1" x="1256"/>
        <item m="1" x="1401"/>
        <item m="1" x="1635"/>
        <item m="1" x="1790"/>
        <item m="1" x="2261"/>
        <item m="1" x="669"/>
        <item m="1" x="801"/>
        <item m="1" x="1099"/>
        <item m="1" x="1285"/>
        <item m="1" x="1493"/>
        <item m="1" x="1757"/>
        <item m="1" x="1806"/>
        <item m="1" x="2173"/>
        <item m="1" x="2208"/>
        <item m="1" x="757"/>
        <item m="1" x="1165"/>
        <item m="1" x="1454"/>
        <item m="1" x="1484"/>
        <item m="1" x="1633"/>
        <item m="1" x="1727"/>
        <item m="1" x="2156"/>
        <item m="1" x="2282"/>
        <item m="1" x="877"/>
        <item m="1" x="926"/>
        <item m="1" x="1174"/>
        <item m="1" x="2090"/>
        <item m="1" x="2218"/>
        <item m="1" x="2279"/>
        <item m="1" x="1123"/>
        <item m="1" x="1130"/>
        <item m="1" x="1632"/>
        <item m="1" x="1798"/>
        <item m="1" x="654"/>
        <item m="1" x="661"/>
        <item m="1" x="723"/>
        <item m="1" x="1040"/>
        <item m="1" x="1316"/>
        <item m="1" x="1355"/>
        <item m="1" x="1706"/>
        <item m="1" x="1752"/>
        <item m="1" x="1953"/>
        <item m="1" x="2178"/>
        <item m="1" x="2230"/>
        <item x="543"/>
        <item m="1" x="1031"/>
        <item m="1" x="1544"/>
        <item m="1" x="1589"/>
        <item m="1" x="752"/>
        <item m="1" x="1081"/>
        <item m="1" x="1142"/>
        <item m="1" x="1703"/>
        <item m="1" x="1847"/>
        <item m="1" x="2073"/>
        <item m="1" x="610"/>
        <item m="1" x="891"/>
        <item m="1" x="1050"/>
        <item m="1" x="1226"/>
        <item m="1" x="1320"/>
        <item m="1" x="1811"/>
        <item m="1" x="863"/>
        <item m="1" x="883"/>
        <item m="1" x="1057"/>
        <item x="3"/>
        <item x="7"/>
        <item m="1" x="2078"/>
        <item x="12"/>
        <item x="15"/>
        <item x="18"/>
        <item x="23"/>
        <item m="1" x="1720"/>
        <item m="1" x="2070"/>
        <item x="29"/>
        <item m="1" x="872"/>
        <item x="33"/>
        <item m="1" x="1556"/>
        <item m="1" x="1764"/>
        <item m="1" x="2275"/>
        <item m="1" x="1228"/>
        <item x="38"/>
        <item x="41"/>
        <item m="1" x="2030"/>
        <item x="48"/>
        <item m="1" x="1143"/>
        <item m="1" x="2008"/>
        <item x="52"/>
        <item x="56"/>
        <item x="62"/>
        <item m="1" x="1161"/>
        <item x="66"/>
        <item m="1" x="2263"/>
        <item x="68"/>
        <item x="71"/>
        <item x="77"/>
        <item m="1" x="1973"/>
        <item x="80"/>
        <item x="84"/>
        <item m="1" x="771"/>
        <item m="1" x="1190"/>
        <item m="1" x="1291"/>
        <item x="86"/>
        <item x="89"/>
        <item x="92"/>
        <item x="96"/>
        <item x="106"/>
        <item x="111"/>
        <item m="1" x="779"/>
        <item x="118"/>
        <item m="1" x="1490"/>
        <item x="125"/>
        <item x="130"/>
        <item x="135"/>
        <item m="1" x="2240"/>
        <item x="150"/>
        <item x="154"/>
        <item x="161"/>
        <item x="166"/>
        <item m="1" x="812"/>
        <item m="1" x="1781"/>
        <item x="172"/>
        <item x="177"/>
        <item m="1" x="657"/>
        <item m="1" x="979"/>
        <item x="187"/>
        <item m="1" x="1814"/>
        <item m="1" x="2190"/>
        <item x="190"/>
        <item m="1" x="1784"/>
        <item m="1" x="2067"/>
        <item x="199"/>
        <item x="204"/>
        <item x="208"/>
        <item m="1" x="1181"/>
        <item x="214"/>
        <item x="218"/>
        <item x="223"/>
        <item x="227"/>
        <item x="231"/>
        <item x="234"/>
        <item x="240"/>
        <item x="243"/>
        <item x="244"/>
        <item m="1" x="1023"/>
        <item x="247"/>
        <item x="252"/>
        <item x="256"/>
        <item x="263"/>
        <item x="269"/>
        <item m="1" x="1097"/>
        <item m="1" x="1810"/>
        <item x="274"/>
        <item m="1" x="1325"/>
        <item m="1" x="1216"/>
        <item x="282"/>
        <item m="1" x="1892"/>
        <item m="1" x="706"/>
        <item x="289"/>
        <item x="294"/>
        <item x="370"/>
        <item m="1" x="1263"/>
        <item m="1" x="2065"/>
        <item x="344"/>
        <item x="349"/>
        <item x="372"/>
        <item m="1" x="611"/>
        <item x="354"/>
        <item m="1" x="1947"/>
        <item x="357"/>
        <item x="358"/>
        <item m="1" x="1260"/>
        <item x="363"/>
        <item x="366"/>
        <item x="368"/>
        <item x="375"/>
        <item x="381"/>
        <item m="1" x="2210"/>
        <item x="393"/>
        <item m="1" x="755"/>
        <item x="399"/>
        <item x="404"/>
        <item x="409"/>
        <item x="411"/>
        <item x="416"/>
        <item m="1" x="1272"/>
        <item x="423"/>
        <item x="426"/>
        <item x="428"/>
        <item x="430"/>
        <item x="433"/>
        <item x="437"/>
        <item x="441"/>
        <item x="445"/>
        <item m="1" x="1709"/>
        <item x="452"/>
        <item x="457"/>
        <item m="1" x="764"/>
        <item x="460"/>
        <item x="464"/>
        <item m="1" x="1527"/>
        <item x="467"/>
        <item x="469"/>
        <item x="474"/>
        <item x="477"/>
        <item m="1" x="780"/>
        <item x="479"/>
        <item x="484"/>
        <item x="485"/>
        <item x="490"/>
        <item x="493"/>
        <item x="498"/>
        <item m="1" x="2020"/>
        <item x="514"/>
        <item x="518"/>
        <item m="1" x="1059"/>
        <item m="1" x="2074"/>
        <item x="523"/>
        <item x="78"/>
        <item x="528"/>
        <item x="531"/>
        <item m="1" x="1607"/>
        <item x="535"/>
        <item x="532"/>
        <item x="536"/>
        <item x="541"/>
        <item x="546"/>
        <item x="550"/>
        <item x="554"/>
        <item m="1" x="798"/>
        <item x="560"/>
        <item x="564"/>
        <item m="1" x="2276"/>
        <item x="567"/>
        <item m="1" x="1302"/>
        <item x="571"/>
        <item x="573"/>
        <item x="577"/>
        <item x="580"/>
        <item x="582"/>
        <item m="1" x="1309"/>
        <item x="585"/>
        <item m="1" x="1909"/>
        <item x="592"/>
        <item x="599"/>
        <item x="601"/>
        <item x="605"/>
        <item m="1" x="1038"/>
        <item m="1" x="819"/>
        <item m="1" x="1183"/>
        <item m="1" x="1429"/>
        <item m="1" x="2264"/>
        <item m="1" x="1336"/>
        <item m="1" x="2274"/>
        <item m="1" x="1901"/>
        <item m="1" x="630"/>
        <item m="1" x="945"/>
        <item m="1" x="1111"/>
        <item m="1" x="1314"/>
        <item m="1" x="1988"/>
        <item m="1" x="1010"/>
        <item m="1" x="1286"/>
        <item m="1" x="1931"/>
        <item m="1" x="834"/>
        <item m="1" x="1329"/>
        <item m="1" x="1690"/>
        <item m="1" x="1985"/>
        <item m="1" x="1219"/>
        <item m="1" x="1456"/>
        <item m="1" x="1421"/>
        <item m="1" x="1970"/>
        <item m="1" x="1299"/>
        <item m="1" x="1112"/>
        <item m="1" x="1818"/>
        <item m="1" x="2080"/>
        <item m="1" x="854"/>
        <item m="1" x="1515"/>
        <item m="1" x="1944"/>
        <item m="1" x="1489"/>
        <item x="268"/>
        <item x="273"/>
        <item m="1" x="673"/>
        <item m="1" x="1029"/>
        <item m="1" x="1643"/>
        <item m="1" x="2000"/>
        <item m="1" x="686"/>
        <item m="1" x="1391"/>
        <item m="1" x="765"/>
        <item m="1" x="1552"/>
        <item m="1" x="1559"/>
        <item m="1" x="1870"/>
        <item m="1" x="2102"/>
        <item m="1" x="2193"/>
        <item m="1" x="1569"/>
        <item m="1" x="1592"/>
        <item m="1" x="1022"/>
        <item m="1" x="1384"/>
        <item m="1" x="1680"/>
        <item m="1" x="2062"/>
        <item m="1" x="825"/>
        <item m="1" x="1273"/>
        <item m="1" x="1980"/>
        <item m="1" x="767"/>
        <item m="1" x="1011"/>
        <item m="1" x="1167"/>
        <item m="1" x="1898"/>
        <item m="1" x="695"/>
        <item m="1" x="2072"/>
        <item m="1" x="2283"/>
        <item m="1" x="879"/>
        <item m="1" x="1207"/>
        <item m="1" x="2144"/>
        <item m="1" x="628"/>
        <item m="1" x="1534"/>
        <item m="1" x="1838"/>
        <item m="1" x="2130"/>
        <item m="1" x="985"/>
        <item m="1" x="2223"/>
        <item m="1" x="1054"/>
        <item x="1"/>
        <item x="6"/>
        <item m="1" x="1042"/>
        <item m="1" x="1433"/>
        <item m="1" x="1271"/>
        <item m="1" x="1990"/>
        <item x="16"/>
        <item x="364"/>
        <item x="55"/>
        <item x="61"/>
        <item x="116"/>
        <item x="137"/>
        <item m="1" x="1475"/>
        <item m="1" x="1609"/>
        <item m="1" x="1206"/>
        <item m="1" x="784"/>
        <item m="1" x="1590"/>
        <item m="1" x="851"/>
        <item m="1" x="1279"/>
        <item m="1" x="1845"/>
        <item m="1" x="1075"/>
        <item m="1" x="799"/>
        <item m="1" x="1528"/>
        <item m="1" x="1424"/>
        <item m="1" x="1083"/>
        <item m="1" x="1887"/>
        <item m="1" x="1214"/>
        <item m="1" x="1032"/>
        <item m="1" x="1750"/>
        <item m="1" x="1524"/>
        <item m="1" x="2131"/>
        <item m="1" x="807"/>
        <item m="1" x="2058"/>
        <item m="1" x="1476"/>
        <item m="1" x="1404"/>
        <item m="1" x="636"/>
        <item m="1" x="1525"/>
        <item m="1" x="1149"/>
        <item m="1" x="822"/>
        <item m="1" x="909"/>
        <item m="1" x="972"/>
        <item m="1" x="1923"/>
        <item m="1" x="1445"/>
        <item m="1" x="1566"/>
        <item m="1" x="924"/>
        <item m="1" x="1091"/>
        <item m="1" x="1928"/>
        <item m="1" x="1755"/>
        <item m="1" x="1936"/>
        <item m="1" x="763"/>
        <item m="1" x="1538"/>
        <item m="1" x="2069"/>
        <item m="1" x="1696"/>
        <item m="1" x="1804"/>
        <item m="1" x="2187"/>
        <item m="1" x="1246"/>
        <item m="1" x="624"/>
        <item m="1" x="2215"/>
        <item m="1" x="2138"/>
        <item m="1" x="864"/>
        <item m="1" x="1822"/>
        <item m="1" x="1105"/>
        <item m="1" x="1448"/>
        <item m="1" x="1461"/>
        <item m="1" x="1738"/>
        <item m="1" x="2051"/>
        <item m="1" x="902"/>
        <item m="1" x="1265"/>
        <item m="1" x="2043"/>
        <item m="1" x="627"/>
        <item m="1" x="787"/>
        <item m="1" x="939"/>
        <item m="1" x="1961"/>
        <item m="1" x="1363"/>
        <item m="1" x="1630"/>
        <item m="1" x="2076"/>
        <item m="1" x="1211"/>
        <item m="1" x="1803"/>
        <item m="1" x="2086"/>
        <item m="1" x="714"/>
        <item m="1" x="1196"/>
        <item m="1" x="1313"/>
        <item m="1" x="1597"/>
        <item m="1" x="2006"/>
        <item m="1" x="644"/>
        <item m="1" x="1577"/>
        <item m="1" x="831"/>
        <item m="1" x="942"/>
        <item m="1" x="796"/>
        <item m="1" x="1349"/>
        <item m="1" x="1486"/>
        <item m="1" x="1831"/>
        <item m="1" x="856"/>
        <item m="1" x="1730"/>
        <item m="1" x="2196"/>
        <item m="1" x="865"/>
        <item m="1" x="2033"/>
        <item m="1" x="2194"/>
        <item m="1" x="2188"/>
        <item m="1" x="618"/>
        <item m="1" x="2247"/>
        <item m="1" x="1409"/>
        <item m="1" x="1491"/>
        <item m="1" x="2018"/>
        <item m="1" x="1967"/>
        <item m="1" x="670"/>
        <item m="1" x="1232"/>
        <item m="1" x="1395"/>
        <item m="1" x="2143"/>
        <item m="1" x="2150"/>
        <item m="1" x="993"/>
        <item m="1" x="1012"/>
        <item m="1" x="1306"/>
        <item m="1" x="2047"/>
        <item m="1" x="1773"/>
        <item m="1" x="941"/>
        <item m="1" x="1539"/>
        <item m="1" x="1359"/>
        <item m="1" x="1526"/>
        <item m="1" x="2061"/>
        <item m="1" x="652"/>
        <item m="1" x="916"/>
        <item m="1" x="1053"/>
        <item m="1" x="1650"/>
        <item m="1" x="770"/>
        <item m="1" x="728"/>
        <item m="1" x="777"/>
        <item m="1" x="1497"/>
        <item m="1" x="1753"/>
        <item m="1" x="690"/>
        <item m="1" x="2217"/>
        <item m="1" x="722"/>
        <item m="1" x="809"/>
        <item m="1" x="613"/>
        <item m="1" x="1237"/>
        <item m="1" x="1726"/>
        <item m="1" x="989"/>
        <item m="1" x="1184"/>
        <item m="1" x="1062"/>
        <item m="1" x="1910"/>
        <item m="1" x="1751"/>
        <item m="1" x="1691"/>
        <item m="1" x="726"/>
        <item m="1" x="793"/>
        <item m="1" x="1327"/>
        <item m="1" x="886"/>
        <item m="1" x="1963"/>
        <item m="1" x="1235"/>
        <item m="1" x="810"/>
        <item m="1" x="937"/>
        <item m="1" x="1434"/>
        <item m="1" x="1549"/>
        <item m="1" x="1651"/>
        <item m="1" x="1405"/>
        <item m="1" x="2040"/>
        <item m="1" x="2205"/>
        <item m="1" x="791"/>
        <item m="1" x="1698"/>
        <item m="1" x="785"/>
        <item m="1" x="1071"/>
        <item m="1" x="818"/>
        <item m="1" x="2012"/>
        <item m="1" x="2285"/>
        <item m="1" x="1118"/>
        <item m="1" x="1875"/>
        <item m="1" x="2139"/>
        <item m="1" x="639"/>
        <item m="1" x="746"/>
        <item m="1" x="1829"/>
        <item m="1" x="1411"/>
        <item m="1" x="2259"/>
        <item m="1" x="1625"/>
        <item m="1" x="1282"/>
        <item m="1" x="1578"/>
        <item m="1" x="1141"/>
        <item m="1" x="1261"/>
        <item m="1" x="1356"/>
        <item m="1" x="1545"/>
        <item m="1" x="1786"/>
        <item m="1" x="1908"/>
        <item m="1" x="1234"/>
        <item m="1" x="1370"/>
        <item m="1" x="1669"/>
        <item m="1" x="2267"/>
        <item m="1" x="1220"/>
        <item m="1" x="687"/>
        <item m="1" x="751"/>
        <item m="1" x="1020"/>
        <item m="1" x="1102"/>
        <item m="1" x="1464"/>
        <item m="1" x="1494"/>
        <item m="1" x="1826"/>
        <item m="1" x="2257"/>
        <item m="1" x="876"/>
        <item m="1" x="2149"/>
        <item m="1" x="888"/>
        <item m="1" x="1056"/>
        <item m="1" x="761"/>
        <item m="1" x="930"/>
        <item m="1" x="2063"/>
        <item m="1" x="1001"/>
        <item m="1" x="659"/>
        <item m="1" x="2199"/>
        <item m="1" x="629"/>
        <item x="90"/>
        <item x="117"/>
        <item x="140"/>
        <item x="143"/>
        <item x="155"/>
        <item x="159"/>
        <item x="167"/>
        <item x="209"/>
        <item x="215"/>
        <item x="219"/>
        <item x="232"/>
        <item x="248"/>
        <item x="257"/>
        <item x="264"/>
        <item m="1" x="1890"/>
        <item m="1" x="656"/>
        <item m="1" x="2097"/>
        <item m="1" x="2119"/>
        <item m="1" x="2271"/>
        <item m="1" x="633"/>
        <item m="1" x="650"/>
        <item m="1" x="702"/>
        <item m="1" x="712"/>
        <item m="1" x="729"/>
        <item m="1" x="783"/>
        <item m="1" x="845"/>
        <item m="1" x="874"/>
        <item m="1" x="884"/>
        <item m="1" x="938"/>
        <item m="1" x="1028"/>
        <item m="1" x="1087"/>
        <item m="1" x="1103"/>
        <item m="1" x="1109"/>
        <item m="1" x="1138"/>
        <item m="1" x="1157"/>
        <item m="1" x="1241"/>
        <item m="1" x="1289"/>
        <item m="1" x="1295"/>
        <item m="1" x="1379"/>
        <item m="1" x="1408"/>
        <item m="1" x="1415"/>
        <item m="1" x="1438"/>
        <item m="1" x="1447"/>
        <item m="1" x="1570"/>
        <item m="1" x="1674"/>
        <item m="1" x="1714"/>
        <item m="1" x="1734"/>
        <item m="1" x="1782"/>
        <item m="1" x="1865"/>
        <item m="1" x="1929"/>
        <item m="1" x="1951"/>
        <item m="1" x="2134"/>
        <item m="1" x="2146"/>
        <item m="1" x="2164"/>
        <item m="1" x="2270"/>
        <item m="1" x="727"/>
        <item m="1" x="758"/>
        <item m="1" x="870"/>
        <item m="1" x="880"/>
        <item m="1" x="923"/>
        <item m="1" x="1036"/>
        <item m="1" x="1060"/>
        <item m="1" x="1192"/>
        <item m="1" x="1218"/>
        <item m="1" x="1574"/>
        <item m="1" x="1612"/>
        <item m="1" x="1807"/>
        <item m="1" x="1852"/>
        <item m="1" x="2013"/>
        <item m="1" x="2226"/>
        <item m="1" x="1013"/>
        <item x="299"/>
        <item x="557"/>
        <item m="1" x="115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KM final " axis="axisRow" compact="0" outline="0" showAll="0" sortType="ascending" defaultSubtotal="0">
      <items count="2314">
        <item m="1" x="610"/>
        <item m="1" x="1662"/>
        <item m="1" x="2010"/>
        <item m="1" x="1191"/>
        <item m="1" x="1663"/>
        <item m="1" x="2254"/>
        <item m="1" x="1283"/>
        <item m="1" x="2047"/>
        <item x="124"/>
        <item x="131"/>
        <item x="135"/>
        <item x="141"/>
        <item m="1" x="899"/>
        <item x="150"/>
        <item x="526"/>
        <item m="1" x="782"/>
        <item x="529"/>
        <item x="468"/>
        <item m="1" x="659"/>
        <item m="1" x="1655"/>
        <item x="544"/>
        <item x="561"/>
        <item m="1" x="1521"/>
        <item m="1" x="1827"/>
        <item m="1" x="1069"/>
        <item m="1" x="2169"/>
        <item x="463"/>
        <item m="1" x="1359"/>
        <item m="1" x="1463"/>
        <item m="1" x="1184"/>
        <item m="1" x="1664"/>
        <item m="1" x="2175"/>
        <item x="402"/>
        <item m="1" x="1561"/>
        <item m="1" x="1050"/>
        <item m="1" x="713"/>
        <item x="414"/>
        <item x="496"/>
        <item x="505"/>
        <item x="307"/>
        <item x="323"/>
        <item m="1" x="2134"/>
        <item m="1" x="1605"/>
        <item m="1" x="1629"/>
        <item m="1" x="1490"/>
        <item m="1" x="2248"/>
        <item m="1" x="1535"/>
        <item m="1" x="1897"/>
        <item m="1" x="647"/>
        <item m="1" x="1625"/>
        <item m="1" x="1743"/>
        <item m="1" x="838"/>
        <item m="1" x="2129"/>
        <item m="1" x="1741"/>
        <item m="1" x="1621"/>
        <item m="1" x="1261"/>
        <item m="1" x="976"/>
        <item m="1" x="1595"/>
        <item m="1" x="1738"/>
        <item m="1" x="1416"/>
        <item m="1" x="1733"/>
        <item m="1" x="967"/>
        <item m="1" x="2186"/>
        <item m="1" x="686"/>
        <item m="1" x="1826"/>
        <item m="1" x="653"/>
        <item m="1" x="2268"/>
        <item m="1" x="818"/>
        <item m="1" x="1376"/>
        <item m="1" x="1573"/>
        <item m="1" x="1401"/>
        <item m="1" x="2085"/>
        <item m="1" x="1867"/>
        <item m="1" x="1593"/>
        <item m="1" x="1665"/>
        <item m="1" x="1016"/>
        <item m="1" x="1206"/>
        <item m="1" x="701"/>
        <item m="1" x="1846"/>
        <item m="1" x="1377"/>
        <item m="1" x="1421"/>
        <item m="1" x="639"/>
        <item m="1" x="1054"/>
        <item m="1" x="1051"/>
        <item m="1" x="1762"/>
        <item m="1" x="1411"/>
        <item m="1" x="682"/>
        <item m="1" x="2225"/>
        <item m="1" x="1749"/>
        <item m="1" x="618"/>
        <item m="1" x="1457"/>
        <item m="1" x="1114"/>
        <item m="1" x="2007"/>
        <item m="1" x="780"/>
        <item m="1" x="1286"/>
        <item m="1" x="1809"/>
        <item m="1" x="1641"/>
        <item m="1" x="1371"/>
        <item m="1" x="2197"/>
        <item m="1" x="1398"/>
        <item m="1" x="889"/>
        <item m="1" x="1279"/>
        <item m="1" x="1583"/>
        <item m="1" x="768"/>
        <item m="1" x="2269"/>
        <item m="1" x="1092"/>
        <item m="1" x="1233"/>
        <item m="1" x="1353"/>
        <item m="1" x="1323"/>
        <item m="1" x="1675"/>
        <item m="1" x="1773"/>
        <item m="1" x="938"/>
        <item m="1" x="632"/>
        <item m="1" x="1417"/>
        <item m="1" x="1354"/>
        <item m="1" x="1943"/>
        <item m="1" x="1874"/>
        <item m="1" x="2002"/>
        <item m="1" x="809"/>
        <item m="1" x="750"/>
        <item m="1" x="1642"/>
        <item m="1" x="1159"/>
        <item m="1" x="2026"/>
        <item m="1" x="2231"/>
        <item m="1" x="2228"/>
        <item m="1" x="957"/>
        <item m="1" x="1175"/>
        <item m="1" x="1999"/>
        <item m="1" x="2163"/>
        <item m="1" x="1399"/>
        <item m="1" x="1997"/>
        <item m="1" x="2152"/>
        <item m="1" x="1903"/>
        <item m="1" x="985"/>
        <item m="1" x="1182"/>
        <item m="1" x="2138"/>
        <item m="1" x="1300"/>
        <item m="1" x="1330"/>
        <item m="1" x="1455"/>
        <item m="1" x="1916"/>
        <item m="1" x="2206"/>
        <item m="1" x="751"/>
        <item m="1" x="1693"/>
        <item x="277"/>
        <item m="1" x="2257"/>
        <item x="285"/>
        <item m="1" x="1218"/>
        <item x="310"/>
        <item m="1" x="828"/>
        <item m="1" x="687"/>
        <item m="1" x="1183"/>
        <item x="294"/>
        <item m="1" x="2017"/>
        <item m="1" x="2142"/>
        <item x="326"/>
        <item m="1" x="2102"/>
        <item m="1" x="2075"/>
        <item m="1" x="1948"/>
        <item x="391"/>
        <item m="1" x="892"/>
        <item m="1" x="1973"/>
        <item m="1" x="2275"/>
        <item m="1" x="2232"/>
        <item m="1" x="1048"/>
        <item x="448"/>
        <item x="456"/>
        <item x="460"/>
        <item m="1" x="1378"/>
        <item x="72"/>
        <item x="77"/>
        <item m="1" x="1347"/>
        <item x="90"/>
        <item x="93"/>
        <item x="585"/>
        <item x="592"/>
        <item m="1" x="787"/>
        <item x="223"/>
        <item x="227"/>
        <item x="312"/>
        <item x="232"/>
        <item x="241"/>
        <item x="313"/>
        <item x="244"/>
        <item x="317"/>
        <item x="321"/>
        <item x="248"/>
        <item x="253"/>
        <item x="256"/>
        <item x="257"/>
        <item x="331"/>
        <item x="336"/>
        <item x="340"/>
        <item x="263"/>
        <item x="350"/>
        <item x="355"/>
        <item x="364"/>
        <item x="367"/>
        <item x="381"/>
        <item x="386"/>
        <item x="387"/>
        <item x="390"/>
        <item x="393"/>
        <item x="394"/>
        <item x="399"/>
        <item x="405"/>
        <item x="410"/>
        <item x="172"/>
        <item x="182"/>
        <item x="191"/>
        <item x="196"/>
        <item x="199"/>
        <item x="205"/>
        <item x="215"/>
        <item x="219"/>
        <item m="1" x="1291"/>
        <item m="1" x="920"/>
        <item m="1" x="906"/>
        <item m="1" x="1284"/>
        <item m="1" x="1694"/>
        <item m="1" x="1103"/>
        <item m="1" x="1566"/>
        <item m="1" x="1121"/>
        <item m="1" x="1919"/>
        <item m="1" x="1499"/>
        <item m="1" x="2096"/>
        <item m="1" x="1115"/>
        <item m="1" x="1587"/>
        <item m="1" x="2229"/>
        <item m="1" x="1125"/>
        <item m="1" x="2261"/>
        <item m="1" x="685"/>
        <item m="1" x="1166"/>
        <item m="1" x="1451"/>
        <item m="1" x="707"/>
        <item m="1" x="1003"/>
        <item m="1" x="1450"/>
        <item m="1" x="1471"/>
        <item m="1" x="1570"/>
        <item m="1" x="1344"/>
        <item m="1" x="2277"/>
        <item m="1" x="1868"/>
        <item m="1" x="1067"/>
        <item m="1" x="1965"/>
        <item m="1" x="1028"/>
        <item m="1" x="805"/>
        <item m="1" x="1080"/>
        <item m="1" x="1443"/>
        <item m="1" x="1832"/>
        <item m="1" x="2265"/>
        <item m="1" x="689"/>
        <item m="1" x="971"/>
        <item m="1" x="1394"/>
        <item m="1" x="1815"/>
        <item m="1" x="2189"/>
        <item m="1" x="1701"/>
        <item m="1" x="816"/>
        <item m="1" x="1338"/>
        <item m="1" x="1661"/>
        <item m="1" x="1994"/>
        <item m="1" x="966"/>
        <item m="1" x="1061"/>
        <item m="1" x="1731"/>
        <item m="1" x="1904"/>
        <item m="1" x="862"/>
        <item m="1" x="1615"/>
        <item m="1" x="1793"/>
        <item m="1" x="2273"/>
        <item m="1" x="1056"/>
        <item m="1" x="1497"/>
        <item m="1" x="2130"/>
        <item m="1" x="1122"/>
        <item m="1" x="1614"/>
        <item m="1" x="2003"/>
        <item m="1" x="2033"/>
        <item m="1" x="1146"/>
        <item m="1" x="2128"/>
        <item m="1" x="875"/>
        <item m="1" x="1336"/>
        <item m="1" x="1871"/>
        <item m="1" x="1696"/>
        <item m="1" x="2143"/>
        <item m="1" x="1093"/>
        <item m="1" x="1433"/>
        <item m="1" x="1898"/>
        <item m="1" x="869"/>
        <item m="1" x="1432"/>
        <item m="1" x="900"/>
        <item m="1" x="1735"/>
        <item m="1" x="2191"/>
        <item m="1" x="2274"/>
        <item m="1" x="1590"/>
        <item m="1" x="2290"/>
        <item m="1" x="992"/>
        <item m="1" x="1368"/>
        <item m="1" x="1510"/>
        <item m="1" x="1498"/>
        <item m="1" x="1586"/>
        <item m="1" x="1841"/>
        <item m="1" x="771"/>
        <item m="1" x="1214"/>
        <item m="1" x="783"/>
        <item m="1" x="1902"/>
        <item m="1" x="2263"/>
        <item m="1" x="986"/>
        <item m="1" x="1087"/>
        <item m="1" x="1168"/>
        <item m="1" x="2004"/>
        <item m="1" x="2089"/>
        <item m="1" x="1287"/>
        <item m="1" x="1925"/>
        <item m="1" x="1243"/>
        <item m="1" x="1494"/>
        <item m="1" x="1646"/>
        <item m="1" x="2107"/>
        <item m="1" x="999"/>
        <item m="1" x="1334"/>
        <item m="1" x="2045"/>
        <item m="1" x="705"/>
        <item m="1" x="918"/>
        <item m="1" x="1241"/>
        <item m="1" x="1912"/>
        <item m="1" x="2296"/>
        <item m="1" x="732"/>
        <item m="1" x="1238"/>
        <item m="1" x="1957"/>
        <item m="1" x="691"/>
        <item m="1" x="953"/>
        <item m="1" x="1236"/>
        <item m="1" x="1849"/>
        <item m="1" x="2234"/>
        <item m="1" x="1315"/>
        <item m="1" x="1863"/>
        <item x="78"/>
        <item m="1" x="764"/>
        <item m="1" x="1764"/>
        <item m="1" x="947"/>
        <item m="1" x="1186"/>
        <item m="1" x="2013"/>
        <item x="81"/>
        <item m="1" x="832"/>
        <item x="85"/>
        <item m="1" x="1295"/>
        <item m="1" x="1352"/>
        <item m="1" x="1689"/>
        <item m="1" x="982"/>
        <item x="103"/>
        <item m="1" x="2187"/>
        <item m="1" x="2215"/>
        <item m="1" x="627"/>
        <item m="1" x="1063"/>
        <item m="1" x="1155"/>
        <item m="1" x="1201"/>
        <item x="112"/>
        <item m="1" x="2068"/>
        <item m="1" x="2115"/>
        <item m="1" x="663"/>
        <item m="1" x="1266"/>
        <item m="1" x="1637"/>
        <item m="1" x="1842"/>
        <item m="1" x="1980"/>
        <item m="1" x="1136"/>
        <item m="1" x="1391"/>
        <item m="1" x="1648"/>
        <item m="1" x="1956"/>
        <item m="1" x="1113"/>
        <item m="1" x="1388"/>
        <item m="1" x="1961"/>
        <item m="1" x="860"/>
        <item m="1" x="1123"/>
        <item m="1" x="2077"/>
        <item x="125"/>
        <item m="1" x="1276"/>
        <item m="1" x="1671"/>
        <item m="1" x="1872"/>
        <item m="1" x="2280"/>
        <item m="1" x="1071"/>
        <item m="1" x="1163"/>
        <item x="136"/>
        <item m="1" x="2298"/>
        <item m="1" x="1578"/>
        <item m="1" x="1770"/>
        <item m="1" x="2086"/>
        <item x="147"/>
        <item m="1" x="1194"/>
        <item m="1" x="1854"/>
        <item m="1" x="777"/>
        <item m="1" x="1070"/>
        <item x="151"/>
        <item m="1" x="1869"/>
        <item x="167"/>
        <item m="1" x="1222"/>
        <item m="1" x="1609"/>
        <item x="173"/>
        <item m="1" x="1748"/>
        <item m="1" x="1654"/>
        <item x="178"/>
        <item m="1" x="2219"/>
        <item m="1" x="1119"/>
        <item m="1" x="1680"/>
        <item x="188"/>
        <item m="1" x="2245"/>
        <item x="200"/>
        <item m="1" x="2097"/>
        <item m="1" x="760"/>
        <item x="209"/>
        <item x="224"/>
        <item x="228"/>
        <item m="1" x="1351"/>
        <item m="1" x="1710"/>
        <item m="1" x="1843"/>
        <item m="1" x="688"/>
        <item m="1" x="849"/>
        <item m="1" x="1453"/>
        <item x="306"/>
        <item m="1" x="1811"/>
        <item m="1" x="2210"/>
        <item m="1" x="2309"/>
        <item m="1" x="1211"/>
        <item m="1" x="2110"/>
        <item m="1" x="859"/>
        <item m="1" x="1386"/>
        <item x="337"/>
        <item m="1" x="811"/>
        <item m="1" x="1571"/>
        <item m="1" x="2205"/>
        <item m="1" x="894"/>
        <item m="1" x="1620"/>
        <item x="322"/>
        <item m="1" x="2226"/>
        <item m="1" x="917"/>
        <item x="280"/>
        <item m="1" x="1975"/>
        <item m="1" x="1316"/>
        <item x="288"/>
        <item m="1" x="1930"/>
        <item m="1" x="821"/>
        <item x="289"/>
        <item m="1" x="720"/>
        <item m="1" x="915"/>
        <item m="1" x="1807"/>
        <item x="324"/>
        <item m="1" x="788"/>
        <item x="295"/>
        <item x="299"/>
        <item m="1" x="1185"/>
        <item m="1" x="2149"/>
        <item m="1" x="988"/>
        <item m="1" x="1604"/>
        <item m="1" x="2035"/>
        <item x="309"/>
        <item m="1" x="2168"/>
        <item m="1" x="640"/>
        <item x="318"/>
        <item m="1" x="737"/>
        <item m="1" x="1285"/>
        <item m="1" x="1669"/>
        <item m="1" x="668"/>
        <item x="332"/>
        <item m="1" x="1771"/>
        <item m="1" x="2105"/>
        <item m="1" x="1040"/>
        <item m="1" x="1715"/>
        <item m="1" x="2140"/>
        <item x="341"/>
        <item m="1" x="977"/>
        <item m="1" x="1332"/>
        <item m="1" x="1808"/>
        <item m="1" x="2199"/>
        <item m="1" x="822"/>
        <item m="1" x="1189"/>
        <item m="1" x="1865"/>
        <item m="1" x="1819"/>
        <item m="1" x="972"/>
        <item m="1" x="1877"/>
        <item m="1" x="2121"/>
        <item x="373"/>
        <item m="1" x="678"/>
        <item m="1" x="1203"/>
        <item m="1" x="1639"/>
        <item x="376"/>
        <item m="1" x="851"/>
        <item x="382"/>
        <item m="1" x="2172"/>
        <item m="1" x="1309"/>
        <item m="1" x="1782"/>
        <item m="1" x="2310"/>
        <item m="1" x="1147"/>
        <item m="1" x="684"/>
        <item m="1" x="1472"/>
        <item m="1" x="2076"/>
        <item m="1" x="2203"/>
        <item m="1" x="1030"/>
        <item m="1" x="1613"/>
        <item m="1" x="2200"/>
        <item m="1" x="1435"/>
        <item m="1" x="1850"/>
        <item m="1" x="1355"/>
        <item m="1" x="2081"/>
        <item m="1" x="1035"/>
        <item m="1" x="1314"/>
        <item m="1" x="1635"/>
        <item m="1" x="1288"/>
        <item m="1" x="1926"/>
        <item m="1" x="670"/>
        <item m="1" x="1597"/>
        <item m="1" x="954"/>
        <item m="1" x="1036"/>
        <item m="1" x="901"/>
        <item m="1" x="1575"/>
        <item m="1" x="1929"/>
        <item m="1" x="666"/>
        <item m="1" x="1267"/>
        <item m="1" x="1229"/>
        <item m="1" x="2312"/>
        <item m="1" x="1242"/>
        <item m="1" x="1104"/>
        <item m="1" x="891"/>
        <item m="1" x="1237"/>
        <item m="1" x="1785"/>
        <item m="1" x="925"/>
        <item m="1" x="1652"/>
        <item m="1" x="1324"/>
        <item m="1" x="798"/>
        <item m="1" x="676"/>
        <item m="1" x="943"/>
        <item m="1" x="2144"/>
        <item m="1" x="1346"/>
        <item m="1" x="1579"/>
        <item m="1" x="1192"/>
        <item m="1" x="1886"/>
        <item m="1" x="1442"/>
        <item m="1" x="2039"/>
        <item m="1" x="932"/>
        <item m="1" x="675"/>
        <item m="1" x="1167"/>
        <item m="1" x="1176"/>
        <item m="1" x="841"/>
        <item m="1" x="1553"/>
        <item m="1" x="786"/>
        <item x="74"/>
        <item m="1" x="1588"/>
        <item m="1" x="1541"/>
        <item m="1" x="661"/>
        <item x="89"/>
        <item m="1" x="1720"/>
        <item m="1" x="2240"/>
        <item x="95"/>
        <item x="100"/>
        <item x="105"/>
        <item m="1" x="1658"/>
        <item x="109"/>
        <item x="115"/>
        <item m="1" x="823"/>
        <item x="122"/>
        <item x="129"/>
        <item m="1" x="978"/>
        <item m="1" x="1082"/>
        <item x="133"/>
        <item x="138"/>
        <item m="1" x="955"/>
        <item x="140"/>
        <item m="1" x="1958"/>
        <item x="143"/>
        <item m="1" x="667"/>
        <item x="148"/>
        <item m="1" x="1235"/>
        <item m="1" x="949"/>
        <item x="154"/>
        <item m="1" x="1626"/>
        <item x="158"/>
        <item m="1" x="2025"/>
        <item x="162"/>
        <item x="164"/>
        <item m="1" x="1325"/>
        <item m="1" x="2055"/>
        <item m="1" x="2069"/>
        <item x="170"/>
        <item x="175"/>
        <item x="180"/>
        <item x="183"/>
        <item m="1" x="944"/>
        <item x="186"/>
        <item m="1" x="1732"/>
        <item x="190"/>
        <item x="193"/>
        <item m="1" x="1584"/>
        <item m="1" x="2037"/>
        <item x="203"/>
        <item m="1" x="711"/>
        <item x="212"/>
        <item m="1" x="1375"/>
        <item m="1" x="1857"/>
        <item x="222"/>
        <item m="1" x="1227"/>
        <item m="1" x="1888"/>
        <item x="230"/>
        <item x="231"/>
        <item m="1" x="1837"/>
        <item x="235"/>
        <item x="238"/>
        <item m="1" x="939"/>
        <item x="243"/>
        <item x="247"/>
        <item x="251"/>
        <item m="1" x="1516"/>
        <item m="1" x="1949"/>
        <item m="1" x="1822"/>
        <item m="1" x="1932"/>
        <item x="255"/>
        <item m="1" x="1486"/>
        <item x="260"/>
        <item m="1" x="1864"/>
        <item x="268"/>
        <item m="1" x="1139"/>
        <item x="272"/>
        <item m="1" x="719"/>
        <item m="1" x="1130"/>
        <item x="281"/>
        <item m="1" x="2255"/>
        <item x="283"/>
        <item x="293"/>
        <item m="1" x="1270"/>
        <item m="1" x="1711"/>
        <item m="1" x="1906"/>
        <item x="300"/>
        <item x="297"/>
        <item m="1" x="1892"/>
        <item m="1" x="1962"/>
        <item m="1" x="2114"/>
        <item m="1" x="1464"/>
        <item m="1" x="1927"/>
        <item x="303"/>
        <item m="1" x="1792"/>
        <item m="1" x="1247"/>
        <item m="1" x="812"/>
        <item m="1" x="2108"/>
        <item m="1" x="1180"/>
        <item x="311"/>
        <item m="1" x="1950"/>
        <item m="1" x="1384"/>
        <item x="319"/>
        <item x="328"/>
        <item x="334"/>
        <item x="338"/>
        <item m="1" x="692"/>
        <item x="342"/>
        <item m="1" x="1974"/>
        <item x="344"/>
        <item x="345"/>
        <item m="1" x="1820"/>
        <item m="1" x="2072"/>
        <item x="347"/>
        <item m="1" x="679"/>
        <item m="1" x="1014"/>
        <item x="353"/>
        <item x="357"/>
        <item m="1" x="1816"/>
        <item m="1" x="2253"/>
        <item x="361"/>
        <item m="1" x="1217"/>
        <item m="1" x="2117"/>
        <item x="0"/>
        <item x="371"/>
        <item x="5"/>
        <item x="9"/>
        <item x="379"/>
        <item x="11"/>
        <item m="1" x="1875"/>
        <item x="28"/>
        <item x="36"/>
        <item m="1" x="1475"/>
        <item x="37"/>
        <item x="392"/>
        <item x="396"/>
        <item x="403"/>
        <item x="48"/>
        <item m="1" x="1789"/>
        <item x="407"/>
        <item x="416"/>
        <item m="1" x="1108"/>
        <item x="420"/>
        <item x="421"/>
        <item x="422"/>
        <item x="424"/>
        <item x="426"/>
        <item m="1" x="2222"/>
        <item x="429"/>
        <item x="431"/>
        <item m="1" x="903"/>
        <item m="1" x="1766"/>
        <item m="1" x="2027"/>
        <item x="433"/>
        <item x="434"/>
        <item m="1" x="1015"/>
        <item x="436"/>
        <item m="1" x="806"/>
        <item x="441"/>
        <item m="1" x="1172"/>
        <item m="1" x="1255"/>
        <item m="1" x="1884"/>
        <item m="1" x="2266"/>
        <item m="1" x="1395"/>
        <item x="445"/>
        <item x="451"/>
        <item m="1" x="1481"/>
        <item m="1" x="1745"/>
        <item x="457"/>
        <item m="1" x="1127"/>
        <item x="461"/>
        <item m="1" x="1310"/>
        <item x="464"/>
        <item m="1" x="1893"/>
        <item m="1" x="772"/>
        <item x="473"/>
        <item m="1" x="1008"/>
        <item x="477"/>
        <item m="1" x="1074"/>
        <item m="1" x="1248"/>
        <item m="1" x="1989"/>
        <item x="482"/>
        <item x="485"/>
        <item m="1" x="638"/>
        <item m="1" x="1685"/>
        <item x="489"/>
        <item m="1" x="2249"/>
        <item x="502"/>
        <item m="1" x="2164"/>
        <item x="508"/>
        <item m="1" x="1448"/>
        <item m="1" x="871"/>
        <item x="517"/>
        <item m="1" x="950"/>
        <item m="1" x="1747"/>
        <item x="531"/>
        <item m="1" x="789"/>
        <item m="1" x="840"/>
        <item x="540"/>
        <item m="1" x="1776"/>
        <item m="1" x="1984"/>
        <item x="547"/>
        <item m="1" x="1514"/>
        <item m="1" x="776"/>
        <item x="550"/>
        <item m="1" x="946"/>
        <item m="1" x="1271"/>
        <item x="554"/>
        <item m="1" x="1076"/>
        <item m="1" x="1216"/>
        <item x="563"/>
        <item x="568"/>
        <item m="1" x="1213"/>
        <item m="1" x="2078"/>
        <item m="1" x="2091"/>
        <item x="570"/>
        <item m="1" x="2005"/>
        <item m="1" x="2090"/>
        <item x="577"/>
        <item m="1" x="1438"/>
        <item m="1" x="1647"/>
        <item m="1" x="2307"/>
        <item m="1" x="824"/>
        <item m="1" x="1913"/>
        <item m="1" x="2000"/>
        <item x="590"/>
        <item m="1" x="958"/>
        <item m="1" x="2061"/>
        <item x="596"/>
        <item m="1" x="1823"/>
        <item x="599"/>
        <item m="1" x="1037"/>
        <item m="1" x="1899"/>
        <item m="1" x="1921"/>
        <item m="1" x="834"/>
        <item m="1" x="855"/>
        <item x="606"/>
        <item m="1" x="1667"/>
        <item m="1" x="1739"/>
        <item m="1" x="2302"/>
        <item m="1" x="1396"/>
        <item m="1" x="1484"/>
        <item m="1" x="2247"/>
        <item m="1" x="868"/>
        <item m="1" x="1339"/>
        <item m="1" x="865"/>
        <item m="1" x="2153"/>
        <item m="1" x="884"/>
        <item m="1" x="2300"/>
        <item m="1" x="662"/>
        <item m="1" x="1891"/>
        <item m="1" x="1249"/>
        <item m="1" x="1890"/>
        <item m="1" x="919"/>
        <item m="1" x="1506"/>
        <item m="1" x="1935"/>
        <item m="1" x="1318"/>
        <item m="1" x="1536"/>
        <item m="1" x="1797"/>
        <item m="1" x="2227"/>
        <item m="1" x="1343"/>
        <item m="1" x="1568"/>
        <item m="1" x="620"/>
        <item m="1" x="749"/>
        <item m="1" x="1596"/>
        <item m="1" x="2161"/>
        <item m="1" x="904"/>
        <item m="1" x="1081"/>
        <item m="1" x="1174"/>
        <item m="1" x="1617"/>
        <item m="1" x="615"/>
        <item m="1" x="948"/>
        <item m="1" x="1232"/>
        <item m="1" x="2192"/>
        <item m="1" x="1327"/>
        <item m="1" x="1944"/>
        <item m="1" x="1928"/>
        <item m="1" x="628"/>
        <item m="1" x="1393"/>
        <item m="1" x="1427"/>
        <item m="1" x="1531"/>
        <item m="1" x="799"/>
        <item m="1" x="896"/>
        <item m="1" x="1150"/>
        <item m="1" x="2170"/>
        <item m="1" x="1496"/>
        <item m="1" x="2308"/>
        <item m="1" x="1698"/>
        <item m="1" x="895"/>
        <item m="1" x="1924"/>
        <item m="1" x="1725"/>
        <item m="1" x="1505"/>
        <item m="1" x="1567"/>
        <item m="1" x="2137"/>
        <item m="1" x="2220"/>
        <item m="1" x="2154"/>
        <item m="1" x="1939"/>
        <item m="1" x="921"/>
        <item m="1" x="1507"/>
        <item m="1" x="2109"/>
        <item m="1" x="826"/>
        <item m="1" x="1707"/>
        <item m="1" x="808"/>
        <item m="1" x="1610"/>
        <item m="1" x="650"/>
        <item x="19"/>
        <item x="24"/>
        <item m="1" x="923"/>
        <item m="1" x="2188"/>
        <item m="1" x="802"/>
        <item m="1" x="1881"/>
        <item x="32"/>
        <item m="1" x="1126"/>
        <item x="34"/>
        <item x="35"/>
        <item m="1" x="1057"/>
        <item x="40"/>
        <item m="1" x="1148"/>
        <item m="1" x="1408"/>
        <item x="458"/>
        <item x="43"/>
        <item x="470"/>
        <item m="1" x="2279"/>
        <item x="478"/>
        <item x="46"/>
        <item m="1" x="2062"/>
        <item x="480"/>
        <item x="51"/>
        <item x="58"/>
        <item x="494"/>
        <item x="499"/>
        <item x="64"/>
        <item m="1" x="1444"/>
        <item x="504"/>
        <item x="510"/>
        <item x="65"/>
        <item x="512"/>
        <item x="68"/>
        <item m="1" x="800"/>
        <item x="71"/>
        <item x="518"/>
        <item x="75"/>
        <item x="524"/>
        <item m="1" x="1422"/>
        <item m="1" x="1952"/>
        <item m="1" x="941"/>
        <item x="539"/>
        <item x="83"/>
        <item x="542"/>
        <item m="1" x="1966"/>
        <item m="1" x="1923"/>
        <item x="549"/>
        <item x="96"/>
        <item x="101"/>
        <item m="1" x="2135"/>
        <item m="1" x="1833"/>
        <item m="1" x="2023"/>
        <item m="1" x="2057"/>
        <item x="567"/>
        <item x="110"/>
        <item m="1" x="1996"/>
        <item m="1" x="2040"/>
        <item x="116"/>
        <item m="1" x="1712"/>
        <item m="1" x="831"/>
        <item x="574"/>
        <item m="1" x="1783"/>
        <item m="1" x="2313"/>
        <item x="578"/>
        <item m="1" x="1278"/>
        <item m="1" x="1308"/>
        <item x="130"/>
        <item m="1" x="1402"/>
        <item x="589"/>
        <item x="144"/>
        <item m="1" x="1557"/>
        <item m="1" x="1032"/>
        <item x="146"/>
        <item m="1" x="1335"/>
        <item x="600"/>
        <item m="1" x="2166"/>
        <item x="608"/>
        <item x="149"/>
        <item m="1" x="835"/>
        <item m="1" x="2198"/>
        <item x="155"/>
        <item m="1" x="1524"/>
        <item x="159"/>
        <item m="1" x="1140"/>
        <item x="160"/>
        <item m="1" x="762"/>
        <item m="1" x="1512"/>
        <item m="1" x="1982"/>
        <item m="1" x="1679"/>
        <item m="1" x="1814"/>
        <item m="1" x="1268"/>
        <item m="1" x="1623"/>
        <item m="1" x="1010"/>
        <item m="1" x="1292"/>
        <item m="1" x="1529"/>
        <item m="1" x="2184"/>
        <item m="1" x="1528"/>
        <item m="1" x="1699"/>
        <item x="165"/>
        <item x="187"/>
        <item m="1" x="1990"/>
        <item m="1" x="1210"/>
        <item m="1" x="1709"/>
        <item m="1" x="1828"/>
        <item m="1" x="695"/>
        <item m="1" x="1581"/>
        <item m="1" x="825"/>
        <item m="1" x="1372"/>
        <item m="1" x="1598"/>
        <item m="1" x="1333"/>
        <item m="1" x="1767"/>
        <item m="1" x="2258"/>
        <item m="1" x="730"/>
        <item x="194"/>
        <item m="1" x="1706"/>
        <item m="1" x="1834"/>
        <item m="1" x="746"/>
        <item x="198"/>
        <item m="1" x="1713"/>
        <item m="1" x="2015"/>
        <item m="1" x="2195"/>
        <item m="1" x="1466"/>
        <item m="1" x="804"/>
        <item x="208"/>
        <item m="1" x="1532"/>
        <item x="213"/>
        <item m="1" x="2216"/>
        <item m="1" x="1995"/>
        <item m="1" x="612"/>
        <item m="1" x="879"/>
        <item x="239"/>
        <item m="1" x="1088"/>
        <item m="1" x="1423"/>
        <item m="1" x="1728"/>
        <item m="1" x="1917"/>
        <item m="1" x="1169"/>
        <item m="1" x="1110"/>
        <item m="1" x="1033"/>
        <item x="261"/>
        <item m="1" x="1717"/>
        <item m="1" x="1041"/>
        <item x="264"/>
        <item m="1" x="621"/>
        <item m="1" x="1193"/>
        <item x="269"/>
        <item m="1" x="1931"/>
        <item m="1" x="702"/>
        <item x="273"/>
        <item m="1" x="1576"/>
        <item m="1" x="2160"/>
        <item m="1" x="2181"/>
        <item x="278"/>
        <item m="1" x="926"/>
        <item m="1" x="1296"/>
        <item m="1" x="1763"/>
        <item x="282"/>
        <item m="1" x="1415"/>
        <item m="1" x="2244"/>
        <item m="1" x="2070"/>
        <item m="1" x="2079"/>
        <item x="286"/>
        <item m="1" x="629"/>
        <item m="1" x="773"/>
        <item m="1" x="1465"/>
        <item m="1" x="1784"/>
        <item m="1" x="2052"/>
        <item x="298"/>
        <item m="1" x="1649"/>
        <item m="1" x="2066"/>
        <item m="1" x="2242"/>
        <item x="305"/>
        <item m="1" x="1632"/>
        <item m="1" x="672"/>
        <item x="308"/>
        <item m="1" x="940"/>
        <item x="315"/>
        <item m="1" x="723"/>
        <item m="1" x="1319"/>
        <item x="320"/>
        <item m="1" x="2125"/>
        <item x="177"/>
        <item m="1" x="1768"/>
        <item m="1" x="1900"/>
        <item x="184"/>
        <item m="1" x="2223"/>
        <item m="1" x="1357"/>
        <item m="1" x="1469"/>
        <item x="325"/>
        <item m="1" x="2303"/>
        <item m="1" x="1964"/>
        <item x="329"/>
        <item m="1" x="1690"/>
        <item m="1" x="2292"/>
        <item m="1" x="763"/>
        <item m="1" x="1273"/>
        <item m="1" x="1328"/>
        <item x="335"/>
        <item m="1" x="2012"/>
        <item m="1" x="969"/>
        <item x="339"/>
        <item m="1" x="759"/>
        <item m="1" x="1380"/>
        <item m="1" x="1231"/>
        <item m="1" x="1365"/>
        <item m="1" x="1379"/>
        <item x="348"/>
        <item m="1" x="1971"/>
        <item m="1" x="1518"/>
        <item x="354"/>
        <item m="1" x="1574"/>
        <item m="1" x="1073"/>
        <item m="1" x="2106"/>
        <item x="362"/>
        <item m="1" x="807"/>
        <item m="1" x="1178"/>
        <item m="1" x="712"/>
        <item m="1" x="1794"/>
        <item m="1" x="626"/>
        <item x="375"/>
        <item m="1" x="1049"/>
        <item m="1" x="1133"/>
        <item x="384"/>
        <item m="1" x="754"/>
        <item m="1" x="960"/>
        <item x="389"/>
        <item m="1" x="708"/>
        <item m="1" x="1129"/>
        <item m="1" x="1420"/>
        <item x="397"/>
        <item m="1" x="1000"/>
        <item x="404"/>
        <item m="1" x="1542"/>
        <item x="408"/>
        <item m="1" x="2118"/>
        <item x="417"/>
        <item m="1" x="1716"/>
        <item m="1" x="766"/>
        <item m="1" x="1959"/>
        <item m="1" x="1068"/>
        <item m="1" x="1640"/>
        <item m="1" x="2074"/>
        <item m="1" x="1692"/>
        <item x="449"/>
        <item x="446"/>
        <item m="1" x="641"/>
        <item x="452"/>
        <item m="1" x="1482"/>
        <item m="1" x="709"/>
        <item m="1" x="1385"/>
        <item m="1" x="1572"/>
        <item m="1" x="2239"/>
        <item x="472"/>
        <item m="1" x="993"/>
        <item m="1" x="1360"/>
        <item x="488"/>
        <item m="1" x="1381"/>
        <item x="493"/>
        <item x="467"/>
        <item x="497"/>
        <item x="501"/>
        <item m="1" x="727"/>
        <item x="506"/>
        <item x="511"/>
        <item m="1" x="2092"/>
        <item x="513"/>
        <item x="474"/>
        <item x="588"/>
        <item x="483"/>
        <item x="593"/>
        <item x="484"/>
        <item x="528"/>
        <item x="602"/>
        <item x="532"/>
        <item x="604"/>
        <item x="490"/>
        <item x="535"/>
        <item m="1" x="1111"/>
        <item x="498"/>
        <item m="1" x="1889"/>
        <item m="1" x="934"/>
        <item x="551"/>
        <item x="555"/>
        <item x="521"/>
        <item x="558"/>
        <item m="1" x="1202"/>
        <item x="527"/>
        <item m="1" x="956"/>
        <item m="1" x="1682"/>
        <item x="572"/>
        <item m="1" x="2146"/>
        <item m="1" x="1446"/>
        <item x="581"/>
        <item x="583"/>
        <item x="586"/>
        <item m="1" x="1141"/>
        <item x="591"/>
        <item x="597"/>
        <item m="1" x="961"/>
        <item m="1" x="1131"/>
        <item m="1" x="1896"/>
        <item x="576"/>
        <item x="580"/>
        <item x="609"/>
        <item m="1" x="1078"/>
        <item m="1" x="1861"/>
        <item x="595"/>
        <item m="1" x="2103"/>
        <item x="598"/>
        <item m="1" x="2182"/>
        <item m="1" x="1674"/>
        <item m="1" x="1085"/>
        <item m="1" x="1801"/>
        <item m="1" x="1157"/>
        <item m="1" x="1726"/>
        <item m="1" x="2173"/>
        <item m="1" x="2259"/>
        <item m="1" x="1224"/>
        <item m="1" x="778"/>
        <item m="1" x="983"/>
        <item m="1" x="1436"/>
        <item m="1" x="756"/>
        <item m="1" x="1263"/>
        <item m="1" x="624"/>
        <item m="1" x="845"/>
        <item m="1" x="1387"/>
        <item m="1" x="2059"/>
        <item m="1" x="1404"/>
        <item m="1" x="1855"/>
        <item m="1" x="722"/>
        <item m="1" x="748"/>
        <item m="1" x="979"/>
        <item m="1" x="1100"/>
        <item m="1" x="1760"/>
        <item m="1" x="995"/>
        <item m="1" x="1259"/>
        <item m="1" x="2122"/>
        <item m="1" x="1212"/>
        <item m="1" x="1873"/>
        <item m="1" x="657"/>
        <item m="1" x="1383"/>
        <item m="1" x="1774"/>
        <item m="1" x="2193"/>
        <item m="1" x="908"/>
        <item m="1" x="1116"/>
        <item m="1" x="2008"/>
        <item m="1" x="1970"/>
        <item m="1" x="2034"/>
        <item m="1" x="1746"/>
        <item m="1" x="2246"/>
        <item m="1" x="810"/>
        <item x="10"/>
        <item m="1" x="1280"/>
        <item m="1" x="997"/>
        <item m="1" x="1321"/>
        <item m="1" x="1838"/>
        <item m="1" x="1004"/>
        <item m="1" x="1630"/>
        <item m="1" x="1845"/>
        <item m="1" x="1580"/>
        <item m="1" x="2001"/>
        <item m="1" x="844"/>
        <item m="1" x="1053"/>
        <item m="1" x="1345"/>
        <item m="1" x="1795"/>
        <item m="1" x="677"/>
        <item m="1" x="1138"/>
        <item m="1" x="1549"/>
        <item m="1" x="1660"/>
        <item m="1" x="1981"/>
        <item m="1" x="2224"/>
        <item m="1" x="1560"/>
        <item m="1" x="1986"/>
        <item m="1" x="2221"/>
        <item m="1" x="829"/>
        <item m="1" x="1410"/>
        <item m="1" x="1618"/>
        <item m="1" x="616"/>
        <item m="1" x="643"/>
        <item m="1" x="2042"/>
        <item m="1" x="739"/>
        <item m="1" x="833"/>
        <item m="1" x="1445"/>
        <item m="1" x="1937"/>
        <item m="1" x="2014"/>
        <item m="1" x="1013"/>
        <item m="1" x="1043"/>
        <item m="1" x="1373"/>
        <item x="17"/>
        <item x="20"/>
        <item x="50"/>
        <item x="54"/>
        <item m="1" x="1940"/>
        <item m="1" x="2285"/>
        <item m="1" x="645"/>
        <item x="60"/>
        <item m="1" x="2252"/>
        <item m="1" x="1177"/>
        <item m="1" x="2067"/>
        <item m="1" x="2304"/>
        <item m="1" x="847"/>
        <item x="87"/>
        <item m="1" x="1562"/>
        <item m="1" x="1765"/>
        <item m="1" x="1915"/>
        <item m="1" x="631"/>
        <item m="1" x="1467"/>
        <item m="1" x="1024"/>
        <item m="1" x="1788"/>
        <item m="1" x="803"/>
        <item m="1" x="924"/>
        <item x="99"/>
        <item m="1" x="907"/>
        <item m="1" x="1077"/>
        <item m="1" x="1537"/>
        <item m="1" x="1844"/>
        <item m="1" x="1976"/>
        <item x="104"/>
        <item m="1" x="1039"/>
        <item m="1" x="1418"/>
        <item m="1" x="1612"/>
        <item m="1" x="1905"/>
        <item m="1" x="937"/>
        <item m="1" x="996"/>
        <item x="114"/>
        <item m="1" x="1724"/>
        <item m="1" x="842"/>
        <item m="1" x="1220"/>
        <item m="1" x="1878"/>
        <item x="121"/>
        <item m="1" x="2233"/>
        <item m="1" x="680"/>
        <item m="1" x="781"/>
        <item m="1" x="1142"/>
        <item x="128"/>
        <item m="1" x="2065"/>
        <item x="126"/>
        <item x="153"/>
        <item m="1" x="1179"/>
        <item m="1" x="1272"/>
        <item x="185"/>
        <item m="1" x="2031"/>
        <item m="1" x="912"/>
        <item m="1" x="1134"/>
        <item m="1" x="1933"/>
        <item x="197"/>
        <item m="1" x="1476"/>
        <item m="1" x="1546"/>
        <item x="455"/>
        <item x="202"/>
        <item m="1" x="861"/>
        <item m="1" x="973"/>
        <item m="1" x="1198"/>
        <item m="1" x="1356"/>
        <item m="1" x="1835"/>
        <item x="207"/>
        <item m="1" x="2311"/>
        <item m="1" x="870"/>
        <item m="1" x="1112"/>
        <item m="1" x="1187"/>
        <item m="1" x="1297"/>
        <item m="1" x="1473"/>
        <item x="240"/>
        <item m="1" x="2041"/>
        <item m="1" x="2176"/>
        <item m="1" x="655"/>
        <item m="1" x="1195"/>
        <item m="1" x="1207"/>
        <item m="1" x="2174"/>
        <item m="1" x="2243"/>
        <item m="1" x="1251"/>
        <item m="1" x="1412"/>
        <item x="237"/>
        <item m="1" x="1882"/>
        <item m="1" x="1941"/>
        <item m="1" x="1489"/>
        <item m="1" x="1668"/>
        <item m="1" x="1812"/>
        <item m="1" x="611"/>
        <item m="1" x="856"/>
        <item m="1" x="1144"/>
        <item m="1" x="1659"/>
        <item x="4"/>
        <item m="1" x="2147"/>
        <item m="1" x="1058"/>
        <item x="8"/>
        <item x="267"/>
        <item m="1" x="2028"/>
        <item m="1" x="902"/>
        <item x="25"/>
        <item m="1" x="1409"/>
        <item x="13"/>
        <item m="1" x="1691"/>
        <item x="400"/>
        <item m="1" x="710"/>
        <item x="21"/>
        <item x="26"/>
        <item x="30"/>
        <item m="1" x="853"/>
        <item x="302"/>
        <item x="44"/>
        <item x="47"/>
        <item m="1" x="1582"/>
        <item x="55"/>
        <item m="1" x="1099"/>
        <item x="304"/>
        <item x="59"/>
        <item m="1" x="1012"/>
        <item x="61"/>
        <item x="66"/>
        <item m="1" x="1638"/>
        <item x="314"/>
        <item m="1" x="651"/>
        <item x="76"/>
        <item m="1" x="1678"/>
        <item x="438"/>
        <item x="102"/>
        <item m="1" x="2230"/>
        <item x="106"/>
        <item x="327"/>
        <item x="111"/>
        <item m="1" x="1009"/>
        <item m="1" x="1554"/>
        <item x="117"/>
        <item m="1" x="1714"/>
        <item m="1" x="2196"/>
        <item x="333"/>
        <item x="123"/>
        <item m="1" x="797"/>
        <item m="1" x="1066"/>
        <item m="1" x="1197"/>
        <item x="134"/>
        <item m="1" x="1458"/>
        <item m="1" x="2020"/>
        <item m="1" x="2111"/>
        <item x="166"/>
        <item m="1" x="740"/>
        <item x="171"/>
        <item m="1" x="1281"/>
        <item x="176"/>
        <item m="1" x="1244"/>
        <item x="181"/>
        <item m="1" x="2024"/>
        <item m="1" x="984"/>
        <item m="1" x="1208"/>
        <item m="1" x="1684"/>
        <item m="1" x="1718"/>
        <item x="378"/>
        <item m="1" x="1960"/>
        <item x="195"/>
        <item x="204"/>
        <item m="1" x="1252"/>
        <item m="1" x="1413"/>
        <item m="1" x="1744"/>
        <item x="388"/>
        <item m="1" x="2032"/>
        <item m="1" x="2132"/>
        <item m="1" x="733"/>
        <item x="214"/>
        <item x="218"/>
        <item m="1" x="1062"/>
        <item m="1" x="1366"/>
        <item m="1" x="1550"/>
        <item m="1" x="1870"/>
        <item x="226"/>
        <item m="1" x="814"/>
        <item m="1" x="880"/>
        <item m="1" x="1151"/>
        <item m="1" x="1230"/>
        <item m="1" x="1487"/>
        <item m="1" x="1520"/>
        <item m="1" x="1530"/>
        <item m="1" x="1611"/>
        <item m="1" x="1688"/>
        <item m="1" x="1830"/>
        <item x="252"/>
        <item m="1" x="1839"/>
        <item m="1" x="2009"/>
        <item m="1" x="2211"/>
        <item m="1" x="2276"/>
        <item x="262"/>
        <item m="1" x="830"/>
        <item m="1" x="1020"/>
        <item x="415"/>
        <item m="1" x="2073"/>
        <item m="1" x="2082"/>
        <item m="1" x="660"/>
        <item m="1" x="951"/>
        <item x="274"/>
        <item x="419"/>
        <item m="1" x="1777"/>
        <item m="1" x="697"/>
        <item x="279"/>
        <item m="1" x="1188"/>
        <item x="287"/>
        <item m="1" x="1907"/>
        <item m="1" x="2087"/>
        <item x="440"/>
        <item x="290"/>
        <item m="1" x="671"/>
        <item m="1" x="761"/>
        <item x="292"/>
        <item m="1" x="1017"/>
        <item x="316"/>
        <item m="1" x="1055"/>
        <item m="1" x="1340"/>
        <item m="1" x="1591"/>
        <item x="444"/>
        <item x="330"/>
        <item m="1" x="858"/>
        <item x="2"/>
        <item m="1" x="1697"/>
        <item m="1" x="1772"/>
        <item m="1" x="2204"/>
        <item x="450"/>
        <item x="14"/>
        <item m="1" x="1253"/>
        <item x="349"/>
        <item m="1" x="1650"/>
        <item x="343"/>
        <item x="352"/>
        <item m="1" x="2104"/>
        <item x="358"/>
        <item m="1" x="1239"/>
        <item x="363"/>
        <item m="1" x="1778"/>
        <item m="1" x="1852"/>
        <item x="22"/>
        <item x="27"/>
        <item x="369"/>
        <item x="507"/>
        <item m="1" x="1282"/>
        <item x="31"/>
        <item m="1" x="1622"/>
        <item m="1" x="1858"/>
        <item m="1" x="634"/>
        <item m="1" x="703"/>
        <item m="1" x="1290"/>
        <item m="1" x="1389"/>
        <item x="41"/>
        <item x="515"/>
        <item x="45"/>
        <item x="380"/>
        <item m="1" x="790"/>
        <item m="1" x="1517"/>
        <item x="52"/>
        <item x="519"/>
        <item m="1" x="1802"/>
        <item x="385"/>
        <item m="1" x="2136"/>
        <item x="398"/>
        <item m="1" x="1847"/>
        <item x="84"/>
        <item x="97"/>
        <item x="409"/>
        <item m="1" x="819"/>
        <item m="1" x="827"/>
        <item x="107"/>
        <item m="1" x="1543"/>
        <item m="1" x="1599"/>
        <item x="412"/>
        <item m="1" x="2260"/>
        <item m="1" x="2291"/>
        <item m="1" x="1606"/>
        <item m="1" x="1987"/>
        <item m="1" x="2126"/>
        <item m="1" x="1460"/>
        <item m="1" x="1644"/>
        <item m="1" x="714"/>
        <item m="1" x="815"/>
        <item m="1" x="1094"/>
        <item m="1" x="1459"/>
        <item m="1" x="1779"/>
        <item m="1" x="2123"/>
        <item m="1" x="791"/>
        <item m="1" x="836"/>
        <item m="1" x="1160"/>
        <item m="1" x="1477"/>
        <item m="1" x="1676"/>
        <item m="1" x="1756"/>
        <item m="1" x="1972"/>
        <item x="423"/>
        <item m="1" x="952"/>
        <item m="1" x="1390"/>
        <item x="427"/>
        <item m="1" x="1879"/>
        <item m="1" x="625"/>
        <item m="1" x="1289"/>
        <item x="437"/>
        <item m="1" x="1920"/>
        <item m="1" x="2180"/>
        <item x="523"/>
        <item m="1" x="942"/>
        <item m="1" x="1006"/>
        <item m="1" x="1064"/>
        <item m="1" x="1522"/>
        <item m="1" x="1963"/>
        <item m="1" x="614"/>
        <item m="1" x="779"/>
        <item x="442"/>
        <item m="1" x="1164"/>
        <item m="1" x="1456"/>
        <item m="1" x="1500"/>
        <item x="453"/>
        <item m="1" x="1968"/>
        <item m="1" x="2080"/>
        <item m="1" x="717"/>
        <item m="1" x="1083"/>
        <item m="1" x="1109"/>
        <item m="1" x="1117"/>
        <item x="465"/>
        <item m="1" x="1551"/>
        <item m="1" x="2021"/>
        <item m="1" x="1031"/>
        <item m="1" x="1437"/>
        <item m="1" x="1525"/>
        <item x="475"/>
        <item m="1" x="1751"/>
        <item m="1" x="2165"/>
        <item m="1" x="646"/>
        <item m="1" x="774"/>
        <item m="1" x="1152"/>
        <item m="1" x="1350"/>
        <item m="1" x="1569"/>
        <item x="491"/>
        <item m="1" x="1824"/>
        <item m="1" x="1860"/>
        <item m="1" x="2093"/>
        <item m="1" x="863"/>
        <item m="1" x="1060"/>
        <item x="553"/>
        <item m="1" x="1265"/>
        <item x="503"/>
        <item m="1" x="877"/>
        <item x="509"/>
        <item x="514"/>
        <item x="560"/>
        <item x="522"/>
        <item m="1" x="1173"/>
        <item x="565"/>
        <item m="1" x="1592"/>
        <item m="1" x="1848"/>
        <item x="536"/>
        <item m="1" x="2272"/>
        <item m="1" x="622"/>
        <item x="605"/>
        <item m="1" x="1702"/>
        <item x="541"/>
        <item m="1" x="852"/>
        <item m="1" x="1118"/>
        <item m="1" x="1361"/>
        <item m="1" x="1722"/>
        <item m="1" x="1798"/>
        <item m="1" x="1942"/>
        <item x="546"/>
        <item m="1" x="665"/>
        <item m="1" x="716"/>
        <item m="1" x="968"/>
        <item m="1" x="1479"/>
        <item m="1" x="2286"/>
        <item m="1" x="652"/>
        <item m="1" x="1145"/>
        <item m="1" x="1269"/>
        <item m="1" x="2053"/>
        <item m="1" x="2201"/>
        <item m="1" x="698"/>
        <item m="1" x="801"/>
        <item m="1" x="898"/>
        <item m="1" x="928"/>
        <item m="1" x="1439"/>
        <item m="1" x="1628"/>
        <item m="1" x="1840"/>
        <item x="557"/>
        <item m="1" x="965"/>
        <item m="1" x="1370"/>
        <item m="1" x="1434"/>
        <item x="564"/>
        <item m="1" x="1608"/>
        <item m="1" x="1979"/>
        <item m="1" x="2048"/>
        <item m="1" x="617"/>
        <item m="1" x="909"/>
        <item m="1" x="994"/>
        <item m="1" x="1219"/>
        <item m="1" x="1544"/>
        <item m="1" x="1563"/>
        <item m="1" x="1742"/>
        <item m="1" x="1947"/>
        <item x="571"/>
        <item m="1" x="2301"/>
        <item m="1" x="700"/>
        <item m="1" x="1007"/>
        <item m="1" x="1362"/>
        <item m="1" x="1736"/>
        <item m="1" x="1790"/>
        <item m="1" x="1817"/>
        <item m="1" x="2019"/>
        <item m="1" x="2063"/>
        <item m="1" x="839"/>
        <item m="1" x="1165"/>
        <item m="1" x="1306"/>
        <item m="1" x="1538"/>
        <item m="1" x="1600"/>
        <item m="1" x="1666"/>
        <item m="1" x="1983"/>
        <item m="1" x="795"/>
        <item m="1" x="1106"/>
        <item m="1" x="1480"/>
        <item m="1" x="1556"/>
        <item m="1" x="1825"/>
        <item m="1" x="2095"/>
        <item m="1" x="742"/>
        <item m="1" x="1089"/>
        <item m="1" x="1367"/>
        <item m="1" x="1624"/>
        <item m="1" x="1656"/>
        <item m="1" x="1993"/>
        <item m="1" x="2235"/>
        <item m="1" x="2294"/>
        <item m="1" x="910"/>
        <item m="1" x="1021"/>
        <item m="1" x="1301"/>
        <item m="1" x="1358"/>
        <item m="1" x="1488"/>
        <item m="1" x="1859"/>
        <item m="1" x="2113"/>
        <item m="1" x="848"/>
        <item m="1" x="1059"/>
        <item m="1" x="846"/>
        <item m="1" x="1090"/>
        <item m="1" x="1256"/>
        <item m="1" x="1603"/>
        <item m="1" x="1633"/>
        <item m="1" x="2281"/>
        <item m="1" x="2293"/>
        <item m="1" x="658"/>
        <item m="1" x="1101"/>
        <item m="1" x="1558"/>
        <item m="1" x="1914"/>
        <item m="1" x="2177"/>
        <item m="1" x="696"/>
        <item m="1" x="744"/>
        <item m="1" x="1181"/>
        <item m="1" x="1657"/>
        <item m="1" x="1703"/>
        <item m="1" x="1951"/>
        <item m="1" x="2270"/>
        <item m="1" x="706"/>
        <item m="1" x="930"/>
        <item m="1" x="1226"/>
        <item m="1" x="1326"/>
        <item m="1" x="1752"/>
        <item m="1" x="1977"/>
        <item m="1" x="2022"/>
        <item m="1" x="752"/>
        <item m="1" x="1046"/>
        <item m="1" x="1254"/>
        <item m="1" x="1414"/>
        <item m="1" x="1491"/>
        <item m="1" x="1511"/>
        <item m="1" x="2287"/>
        <item m="1" x="681"/>
        <item m="1" x="1095"/>
        <item m="1" x="1153"/>
        <item m="1" x="1260"/>
        <item m="1" x="1515"/>
        <item m="1" x="1758"/>
        <item m="1" x="1769"/>
        <item m="1" x="1775"/>
        <item m="1" x="2185"/>
        <item m="1" x="757"/>
        <item m="1" x="1161"/>
        <item m="1" x="1348"/>
        <item m="1" x="1424"/>
        <item m="1" x="1636"/>
        <item m="1" x="1729"/>
        <item m="1" x="1750"/>
        <item m="1" x="2171"/>
        <item m="1" x="2305"/>
        <item m="1" x="878"/>
        <item m="1" x="927"/>
        <item m="1" x="1171"/>
        <item m="1" x="1555"/>
        <item m="1" x="1991"/>
        <item m="1" x="1998"/>
        <item m="1" x="820"/>
        <item m="1" x="1120"/>
        <item m="1" x="1124"/>
        <item m="1" x="1634"/>
        <item m="1" x="1791"/>
        <item m="1" x="2250"/>
        <item m="1" x="673"/>
        <item m="1" x="962"/>
        <item m="1" x="1246"/>
        <item m="1" x="1369"/>
        <item m="1" x="1672"/>
        <item m="1" x="1754"/>
        <item m="1" x="1946"/>
        <item m="1" x="2178"/>
        <item m="1" x="2194"/>
        <item m="1" x="2256"/>
        <item m="1" x="1025"/>
        <item m="1" x="1429"/>
        <item m="1" x="1547"/>
        <item m="1" x="1601"/>
        <item m="1" x="1894"/>
        <item m="1" x="753"/>
        <item m="1" x="1079"/>
        <item m="1" x="1405"/>
        <item m="1" x="1708"/>
        <item m="1" x="2127"/>
        <item m="1" x="2264"/>
        <item x="545"/>
        <item m="1" x="893"/>
        <item m="1" x="1042"/>
        <item m="1" x="1225"/>
        <item m="1" x="1492"/>
        <item m="1" x="1786"/>
        <item m="1" x="1804"/>
        <item m="1" x="792"/>
        <item m="1" x="1011"/>
        <item m="1" x="1853"/>
        <item x="3"/>
        <item m="1" x="2060"/>
        <item x="7"/>
        <item x="12"/>
        <item m="1" x="989"/>
        <item x="15"/>
        <item m="1" x="1200"/>
        <item x="18"/>
        <item m="1" x="2049"/>
        <item x="23"/>
        <item m="1" x="872"/>
        <item x="29"/>
        <item m="1" x="1564"/>
        <item m="1" x="2299"/>
        <item x="33"/>
        <item m="1" x="1027"/>
        <item m="1" x="1158"/>
        <item x="38"/>
        <item x="39"/>
        <item x="42"/>
        <item m="1" x="963"/>
        <item m="1" x="1880"/>
        <item m="1" x="1885"/>
        <item x="49"/>
        <item x="53"/>
        <item x="57"/>
        <item x="63"/>
        <item m="1" x="1156"/>
        <item m="1" x="1936"/>
        <item m="1" x="2278"/>
        <item x="67"/>
        <item x="70"/>
        <item x="73"/>
        <item m="1" x="1250"/>
        <item x="79"/>
        <item x="82"/>
        <item m="1" x="987"/>
        <item m="1" x="1258"/>
        <item x="86"/>
        <item x="88"/>
        <item x="91"/>
        <item x="94"/>
        <item x="98"/>
        <item x="108"/>
        <item m="1" x="1909"/>
        <item x="113"/>
        <item m="1" x="1430"/>
        <item x="120"/>
        <item m="1" x="736"/>
        <item x="127"/>
        <item x="132"/>
        <item x="137"/>
        <item x="152"/>
        <item x="156"/>
        <item x="163"/>
        <item m="1" x="743"/>
        <item m="1" x="998"/>
        <item x="168"/>
        <item x="174"/>
        <item m="1" x="2050"/>
        <item x="179"/>
        <item m="1" x="1740"/>
        <item m="1" x="1910"/>
        <item x="189"/>
        <item m="1" x="770"/>
        <item x="192"/>
        <item m="1" x="2006"/>
        <item x="201"/>
        <item x="206"/>
        <item m="1" x="1026"/>
        <item x="210"/>
        <item x="216"/>
        <item x="220"/>
        <item x="225"/>
        <item x="229"/>
        <item x="233"/>
        <item m="1" x="1461"/>
        <item x="236"/>
        <item x="242"/>
        <item x="245"/>
        <item x="246"/>
        <item x="249"/>
        <item x="254"/>
        <item x="258"/>
        <item x="265"/>
        <item m="1" x="1803"/>
        <item m="1" x="890"/>
        <item x="271"/>
        <item m="1" x="1337"/>
        <item x="276"/>
        <item m="1" x="1485"/>
        <item m="1" x="1810"/>
        <item m="1" x="2099"/>
        <item x="284"/>
        <item x="291"/>
        <item x="296"/>
        <item m="1" x="1018"/>
        <item x="372"/>
        <item m="1" x="2046"/>
        <item x="346"/>
        <item x="351"/>
        <item m="1" x="2237"/>
        <item m="1" x="735"/>
        <item x="374"/>
        <item x="356"/>
        <item x="359"/>
        <item m="1" x="1075"/>
        <item x="360"/>
        <item x="365"/>
        <item x="368"/>
        <item x="370"/>
        <item x="377"/>
        <item m="1" x="1821"/>
        <item x="383"/>
        <item m="1" x="674"/>
        <item x="395"/>
        <item x="401"/>
        <item x="406"/>
        <item x="411"/>
        <item x="413"/>
        <item m="1" x="1096"/>
        <item x="418"/>
        <item m="1" x="2158"/>
        <item x="425"/>
        <item x="428"/>
        <item x="430"/>
        <item x="432"/>
        <item x="435"/>
        <item x="439"/>
        <item x="443"/>
        <item x="447"/>
        <item x="454"/>
        <item m="1" x="2139"/>
        <item x="459"/>
        <item m="1" x="911"/>
        <item x="462"/>
        <item x="466"/>
        <item x="469"/>
        <item x="471"/>
        <item m="1" x="619"/>
        <item x="476"/>
        <item x="479"/>
        <item m="1" x="1091"/>
        <item x="481"/>
        <item x="486"/>
        <item x="487"/>
        <item x="492"/>
        <item x="495"/>
        <item x="500"/>
        <item m="1" x="1908"/>
        <item m="1" x="2207"/>
        <item x="516"/>
        <item m="1" x="2056"/>
        <item x="520"/>
        <item x="525"/>
        <item x="530"/>
        <item x="80"/>
        <item m="1" x="1616"/>
        <item x="533"/>
        <item x="537"/>
        <item x="534"/>
        <item x="538"/>
        <item x="543"/>
        <item x="548"/>
        <item m="1" x="2030"/>
        <item x="552"/>
        <item x="556"/>
        <item x="562"/>
        <item x="566"/>
        <item m="1" x="1143"/>
        <item x="569"/>
        <item x="573"/>
        <item x="575"/>
        <item m="1" x="2241"/>
        <item x="579"/>
        <item x="582"/>
        <item x="584"/>
        <item m="1" x="1829"/>
        <item m="1" x="2098"/>
        <item x="587"/>
        <item x="594"/>
        <item x="601"/>
        <item x="603"/>
        <item x="607"/>
        <item m="1" x="1454"/>
        <item m="1" x="1102"/>
        <item m="1" x="1277"/>
        <item m="1" x="725"/>
        <item m="1" x="1440"/>
        <item m="1" x="1504"/>
        <item m="1" x="1474"/>
        <item m="1" x="2190"/>
        <item m="1" x="933"/>
        <item m="1" x="1107"/>
        <item m="1" x="2011"/>
        <item m="1" x="1805"/>
        <item m="1" x="2271"/>
        <item m="1" x="1294"/>
        <item m="1" x="1761"/>
        <item m="1" x="2167"/>
        <item m="1" x="1304"/>
        <item m="1" x="1695"/>
        <item m="1" x="1967"/>
        <item m="1" x="2288"/>
        <item m="1" x="1470"/>
        <item m="1" x="1700"/>
        <item m="1" x="1757"/>
        <item m="1" x="2282"/>
        <item m="1" x="1594"/>
        <item m="1" x="1806"/>
        <item m="1" x="2064"/>
        <item m="1" x="648"/>
        <item m="1" x="1313"/>
        <item m="1" x="1533"/>
        <item m="1" x="1513"/>
        <item m="1" x="1723"/>
        <item x="270"/>
        <item x="275"/>
        <item m="1" x="683"/>
        <item m="1" x="1023"/>
        <item m="1" x="1651"/>
        <item m="1" x="2214"/>
        <item m="1" x="693"/>
        <item m="1" x="990"/>
        <item m="1" x="1403"/>
        <item m="1" x="1911"/>
        <item m="1" x="1331"/>
        <item m="1" x="1866"/>
        <item m="1" x="2083"/>
        <item m="1" x="2212"/>
        <item m="1" x="897"/>
        <item m="1" x="1341"/>
        <item m="1" x="1400"/>
        <item m="1" x="2101"/>
        <item m="1" x="1397"/>
        <item m="1" x="1503"/>
        <item m="1" x="1686"/>
        <item m="1" x="2043"/>
        <item m="1" x="2262"/>
        <item m="1" x="1275"/>
        <item m="1" x="1945"/>
        <item m="1" x="767"/>
        <item m="1" x="837"/>
        <item m="1" x="1001"/>
        <item m="1" x="1162"/>
        <item m="1" x="1887"/>
        <item m="1" x="699"/>
        <item m="1" x="2054"/>
        <item m="1" x="2306"/>
        <item m="1" x="881"/>
        <item m="1" x="1205"/>
        <item m="1" x="2148"/>
        <item m="1" x="635"/>
        <item m="1" x="1545"/>
        <item m="1" x="1836"/>
        <item m="1" x="2131"/>
        <item m="1" x="980"/>
        <item m="1" x="1299"/>
        <item m="1" x="1044"/>
        <item m="1" x="1329"/>
        <item x="1"/>
        <item x="6"/>
        <item m="1" x="1034"/>
        <item m="1" x="1449"/>
        <item m="1" x="1274"/>
        <item m="1" x="1969"/>
        <item x="16"/>
        <item x="366"/>
        <item x="56"/>
        <item x="62"/>
        <item x="69"/>
        <item x="118"/>
        <item x="139"/>
        <item m="1" x="1523"/>
        <item m="1" x="1135"/>
        <item m="1" x="738"/>
        <item m="1" x="1602"/>
        <item m="1" x="1704"/>
        <item m="1" x="1128"/>
        <item m="1" x="613"/>
        <item m="1" x="637"/>
        <item m="1" x="784"/>
        <item m="1" x="1317"/>
        <item m="1" x="1364"/>
        <item m="1" x="916"/>
        <item m="1" x="1705"/>
        <item m="1" x="690"/>
        <item m="1" x="1005"/>
        <item m="1" x="1727"/>
        <item m="1" x="1382"/>
        <item m="1" x="2119"/>
        <item m="1" x="2155"/>
        <item m="1" x="2038"/>
        <item m="1" x="2202"/>
        <item m="1" x="2051"/>
        <item m="1" x="644"/>
        <item m="1" x="1539"/>
        <item m="1" x="1065"/>
        <item m="1" x="866"/>
        <item m="1" x="2159"/>
        <item m="1" x="970"/>
        <item m="1" x="1883"/>
        <item m="1" x="1441"/>
        <item m="1" x="793"/>
        <item m="1" x="991"/>
        <item m="1" x="1901"/>
        <item m="1" x="2150"/>
        <item m="1" x="1045"/>
        <item m="1" x="1922"/>
        <item m="1" x="765"/>
        <item m="1" x="1548"/>
        <item m="1" x="2036"/>
        <item m="1" x="813"/>
        <item m="1" x="1796"/>
        <item m="1" x="2208"/>
        <item m="1" x="1245"/>
        <item m="1" x="630"/>
        <item m="1" x="2238"/>
        <item m="1" x="2141"/>
        <item m="1" x="864"/>
        <item m="1" x="1813"/>
        <item m="1" x="1302"/>
        <item m="1" x="1478"/>
        <item m="1" x="1677"/>
        <item m="1" x="2029"/>
        <item m="1" x="905"/>
        <item m="1" x="1264"/>
        <item m="1" x="1565"/>
        <item m="1" x="633"/>
        <item m="1" x="747"/>
        <item m="1" x="936"/>
        <item m="1" x="1953"/>
        <item m="1" x="1374"/>
        <item m="1" x="1631"/>
        <item m="1" x="2058"/>
        <item m="1" x="1209"/>
        <item m="1" x="1495"/>
        <item m="1" x="2018"/>
        <item m="1" x="656"/>
        <item m="1" x="718"/>
        <item m="1" x="1196"/>
        <item m="1" x="1607"/>
        <item m="1" x="1645"/>
        <item m="1" x="654"/>
        <item m="1" x="1589"/>
        <item m="1" x="1787"/>
        <item m="1" x="843"/>
        <item m="1" x="1303"/>
        <item m="1" x="1730"/>
        <item m="1" x="1221"/>
        <item m="1" x="1508"/>
        <item m="1" x="1687"/>
        <item m="1" x="1985"/>
        <item m="1" x="1734"/>
        <item m="1" x="2217"/>
        <item m="1" x="857"/>
        <item m="1" x="1425"/>
        <item m="1" x="2213"/>
        <item m="1" x="1320"/>
        <item m="1" x="623"/>
        <item m="1" x="2088"/>
        <item m="1" x="959"/>
        <item m="1" x="1501"/>
        <item m="1" x="1719"/>
        <item m="1" x="1856"/>
        <item m="1" x="1934"/>
        <item m="1" x="2124"/>
        <item m="1" x="1407"/>
        <item m="1" x="2145"/>
        <item m="1" x="2016"/>
        <item m="1" x="1988"/>
        <item m="1" x="2120"/>
        <item m="1" x="1305"/>
        <item m="1" x="1493"/>
        <item m="1" x="1759"/>
        <item m="1" x="1780"/>
        <item m="1" x="1137"/>
        <item m="1" x="721"/>
        <item m="1" x="1527"/>
        <item m="1" x="1673"/>
        <item m="1" x="649"/>
        <item m="1" x="724"/>
        <item m="1" x="1019"/>
        <item m="1" x="1204"/>
        <item m="1" x="775"/>
        <item m="1" x="728"/>
        <item m="1" x="785"/>
        <item m="1" x="1199"/>
        <item m="1" x="1755"/>
        <item m="1" x="1534"/>
        <item m="1" x="1670"/>
        <item m="1" x="694"/>
        <item m="1" x="817"/>
        <item m="1" x="1223"/>
        <item m="1" x="2084"/>
        <item m="1" x="1519"/>
        <item m="1" x="1954"/>
        <item m="1" x="1149"/>
        <item m="1" x="931"/>
        <item m="1" x="1262"/>
        <item m="1" x="1753"/>
        <item m="1" x="886"/>
        <item m="1" x="1876"/>
        <item m="1" x="796"/>
        <item m="1" x="882"/>
        <item m="1" x="887"/>
        <item m="1" x="1955"/>
        <item m="1" x="1234"/>
        <item m="1" x="2236"/>
        <item m="1" x="929"/>
        <item m="1" x="1052"/>
        <item m="1" x="1509"/>
        <item m="1" x="1653"/>
        <item m="1" x="975"/>
        <item m="1" x="1447"/>
        <item m="1" x="2209"/>
        <item m="1" x="755"/>
        <item m="1" x="1540"/>
        <item m="1" x="769"/>
        <item m="1" x="888"/>
        <item m="1" x="2284"/>
        <item m="1" x="1799"/>
        <item m="1" x="2162"/>
        <item m="1" x="974"/>
        <item m="1" x="1831"/>
        <item m="1" x="1293"/>
        <item m="1" x="1312"/>
        <item m="1" x="2289"/>
        <item m="1" x="734"/>
        <item m="1" x="1526"/>
        <item m="1" x="1426"/>
        <item m="1" x="2283"/>
        <item m="1" x="1627"/>
        <item m="1" x="964"/>
        <item m="1" x="1428"/>
        <item m="1" x="945"/>
        <item m="1" x="1228"/>
        <item m="1" x="1363"/>
        <item m="1" x="1552"/>
        <item m="1" x="1072"/>
        <item m="1" x="1895"/>
        <item m="1" x="981"/>
        <item m="1" x="1257"/>
        <item m="1" x="2100"/>
        <item m="1" x="2218"/>
        <item m="1" x="1406"/>
        <item m="1" x="1322"/>
        <item m="1" x="745"/>
        <item m="1" x="854"/>
        <item m="1" x="1097"/>
        <item m="1" x="1483"/>
        <item m="1" x="1818"/>
        <item m="1" x="2094"/>
        <item m="1" x="876"/>
        <item m="1" x="913"/>
        <item m="1" x="1038"/>
        <item m="1" x="669"/>
        <item m="1" x="1084"/>
        <item m="1" x="2156"/>
        <item m="1" x="874"/>
        <item m="1" x="2044"/>
        <item m="1" x="2116"/>
        <item m="1" x="2071"/>
        <item m="1" x="1978"/>
        <item m="1" x="636"/>
        <item m="1" x="731"/>
        <item x="92"/>
        <item x="119"/>
        <item x="142"/>
        <item x="145"/>
        <item x="157"/>
        <item x="161"/>
        <item x="169"/>
        <item x="211"/>
        <item x="217"/>
        <item x="221"/>
        <item x="234"/>
        <item x="250"/>
        <item x="259"/>
        <item x="266"/>
        <item m="1" x="2157"/>
        <item m="1" x="1170"/>
        <item m="1" x="2112"/>
        <item m="1" x="2297"/>
        <item m="1" x="642"/>
        <item m="1" x="664"/>
        <item m="1" x="704"/>
        <item m="1" x="715"/>
        <item m="1" x="729"/>
        <item m="1" x="741"/>
        <item m="1" x="794"/>
        <item m="1" x="850"/>
        <item m="1" x="873"/>
        <item m="1" x="885"/>
        <item m="1" x="935"/>
        <item m="1" x="1022"/>
        <item m="1" x="1086"/>
        <item m="1" x="1098"/>
        <item m="1" x="1105"/>
        <item m="1" x="1132"/>
        <item m="1" x="1154"/>
        <item m="1" x="1240"/>
        <item m="1" x="1298"/>
        <item m="1" x="1311"/>
        <item m="1" x="1392"/>
        <item m="1" x="1419"/>
        <item m="1" x="1431"/>
        <item m="1" x="1452"/>
        <item m="1" x="1462"/>
        <item m="1" x="1559"/>
        <item m="1" x="1577"/>
        <item m="1" x="1643"/>
        <item m="1" x="1681"/>
        <item m="1" x="1683"/>
        <item m="1" x="1721"/>
        <item m="1" x="1737"/>
        <item m="1" x="1781"/>
        <item m="1" x="1862"/>
        <item m="1" x="1918"/>
        <item m="1" x="1938"/>
        <item m="1" x="2133"/>
        <item m="1" x="2151"/>
        <item m="1" x="2179"/>
        <item m="1" x="2267"/>
        <item m="1" x="2295"/>
        <item m="1" x="726"/>
        <item m="1" x="758"/>
        <item m="1" x="867"/>
        <item m="1" x="883"/>
        <item m="1" x="922"/>
        <item m="1" x="1029"/>
        <item m="1" x="1047"/>
        <item m="1" x="1190"/>
        <item m="1" x="1215"/>
        <item m="1" x="1307"/>
        <item m="1" x="1349"/>
        <item m="1" x="1502"/>
        <item m="1" x="1585"/>
        <item m="1" x="1619"/>
        <item m="1" x="1800"/>
        <item m="1" x="1851"/>
        <item m="1" x="1992"/>
        <item m="1" x="2183"/>
        <item m="1" x="2251"/>
        <item m="1" x="1002"/>
        <item m="1" x="1342"/>
        <item m="1" x="1468"/>
        <item x="301"/>
        <item m="1" x="914"/>
        <item x="55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16">
        <item x="105"/>
        <item x="98"/>
        <item x="66"/>
        <item x="89"/>
        <item m="1" x="318"/>
        <item x="16"/>
        <item x="202"/>
        <item x="107"/>
        <item x="150"/>
        <item x="161"/>
        <item x="222"/>
        <item x="121"/>
        <item x="73"/>
        <item x="44"/>
        <item x="119"/>
        <item m="1" x="328"/>
        <item x="216"/>
        <item x="42"/>
        <item x="62"/>
        <item x="26"/>
        <item x="69"/>
        <item x="156"/>
        <item x="108"/>
        <item x="39"/>
        <item x="74"/>
        <item x="64"/>
        <item x="63"/>
        <item x="153"/>
        <item x="35"/>
        <item x="188"/>
        <item x="36"/>
        <item x="67"/>
        <item x="6"/>
        <item x="79"/>
        <item x="129"/>
        <item x="57"/>
        <item x="183"/>
        <item x="217"/>
        <item m="1" x="252"/>
        <item x="76"/>
        <item x="203"/>
        <item x="8"/>
        <item m="1" x="409"/>
        <item x="144"/>
        <item x="149"/>
        <item x="15"/>
        <item x="33"/>
        <item x="155"/>
        <item x="34"/>
        <item x="95"/>
        <item x="178"/>
        <item x="25"/>
        <item x="177"/>
        <item x="52"/>
        <item x="53"/>
        <item x="174"/>
        <item x="240"/>
        <item x="228"/>
        <item x="175"/>
        <item x="123"/>
        <item x="31"/>
        <item x="7"/>
        <item x="180"/>
        <item x="80"/>
        <item x="4"/>
        <item x="138"/>
        <item x="43"/>
        <item x="158"/>
        <item x="88"/>
        <item x="13"/>
        <item x="127"/>
        <item x="45"/>
        <item m="1" x="305"/>
        <item x="120"/>
        <item x="231"/>
        <item m="1" x="319"/>
        <item m="1" x="308"/>
        <item x="159"/>
        <item x="122"/>
        <item m="1" x="250"/>
        <item x="224"/>
        <item x="171"/>
        <item x="147"/>
        <item x="114"/>
        <item x="213"/>
        <item x="142"/>
        <item x="244"/>
        <item m="1" x="331"/>
        <item m="1" x="389"/>
        <item x="21"/>
        <item m="1" x="410"/>
        <item x="166"/>
        <item m="1" x="368"/>
        <item m="1" x="351"/>
        <item x="28"/>
        <item x="204"/>
        <item m="1" x="259"/>
        <item x="97"/>
        <item x="133"/>
        <item m="1" x="329"/>
        <item x="210"/>
        <item m="1" x="307"/>
        <item x="205"/>
        <item x="86"/>
        <item x="100"/>
        <item x="148"/>
        <item x="111"/>
        <item x="145"/>
        <item x="84"/>
        <item x="154"/>
        <item x="82"/>
        <item m="1" x="284"/>
        <item m="1" x="327"/>
        <item m="1" x="372"/>
        <item m="1" x="336"/>
        <item x="72"/>
        <item x="118"/>
        <item x="135"/>
        <item x="56"/>
        <item x="51"/>
        <item x="189"/>
        <item m="1" x="290"/>
        <item x="140"/>
        <item m="1" x="404"/>
        <item x="225"/>
        <item x="146"/>
        <item x="20"/>
        <item x="58"/>
        <item x="96"/>
        <item x="11"/>
        <item x="186"/>
        <item m="1" x="387"/>
        <item x="193"/>
        <item x="38"/>
        <item x="1"/>
        <item x="168"/>
        <item x="2"/>
        <item m="1" x="411"/>
        <item x="68"/>
        <item x="77"/>
        <item x="5"/>
        <item x="23"/>
        <item m="1" x="256"/>
        <item m="1" x="253"/>
        <item x="3"/>
        <item x="103"/>
        <item m="1" x="335"/>
        <item x="94"/>
        <item x="92"/>
        <item m="1" x="401"/>
        <item x="91"/>
        <item x="162"/>
        <item x="238"/>
        <item x="110"/>
        <item m="1" x="267"/>
        <item x="117"/>
        <item m="1" x="309"/>
        <item x="12"/>
        <item m="1" x="357"/>
        <item x="65"/>
        <item x="22"/>
        <item x="41"/>
        <item x="226"/>
        <item m="1" x="388"/>
        <item x="90"/>
        <item x="112"/>
        <item x="172"/>
        <item x="131"/>
        <item m="1" x="405"/>
        <item m="1" x="380"/>
        <item x="116"/>
        <item x="190"/>
        <item x="248"/>
        <item m="1" x="394"/>
        <item x="208"/>
        <item x="27"/>
        <item m="1" x="361"/>
        <item x="152"/>
        <item m="1" x="377"/>
        <item m="1" x="269"/>
        <item x="29"/>
        <item x="167"/>
        <item x="104"/>
        <item x="173"/>
        <item m="1" x="344"/>
        <item x="164"/>
        <item x="192"/>
        <item x="59"/>
        <item x="136"/>
        <item x="83"/>
        <item m="1" x="382"/>
        <item x="229"/>
        <item x="18"/>
        <item x="165"/>
        <item x="181"/>
        <item m="1" x="296"/>
        <item m="1" x="300"/>
        <item x="54"/>
        <item m="1" x="369"/>
        <item x="48"/>
        <item m="1" x="323"/>
        <item x="30"/>
        <item m="1" x="363"/>
        <item m="1" x="311"/>
        <item x="179"/>
        <item m="1" x="298"/>
        <item m="1" x="326"/>
        <item x="187"/>
        <item x="196"/>
        <item x="40"/>
        <item m="1" x="385"/>
        <item m="1" x="262"/>
        <item m="1" x="349"/>
        <item x="9"/>
        <item m="1" x="400"/>
        <item x="32"/>
        <item m="1" x="332"/>
        <item x="125"/>
        <item m="1" x="283"/>
        <item m="1" x="306"/>
        <item x="239"/>
        <item x="75"/>
        <item m="1" x="345"/>
        <item m="1" x="317"/>
        <item m="1" x="254"/>
        <item m="1" x="355"/>
        <item x="223"/>
        <item m="1" x="395"/>
        <item m="1" x="396"/>
        <item x="157"/>
        <item x="14"/>
        <item x="70"/>
        <item m="1" x="391"/>
        <item m="1" x="264"/>
        <item m="1" x="360"/>
        <item x="46"/>
        <item m="1" x="255"/>
        <item x="37"/>
        <item m="1" x="263"/>
        <item m="1" x="379"/>
        <item m="1" x="316"/>
        <item x="234"/>
        <item m="1" x="352"/>
        <item m="1" x="381"/>
        <item x="163"/>
        <item x="85"/>
        <item x="0"/>
        <item m="1" x="273"/>
        <item m="1" x="370"/>
        <item x="182"/>
        <item x="106"/>
        <item m="1" x="371"/>
        <item m="1" x="310"/>
        <item m="1" x="399"/>
        <item x="194"/>
        <item m="1" x="343"/>
        <item x="169"/>
        <item x="81"/>
        <item m="1" x="287"/>
        <item x="215"/>
        <item m="1" x="397"/>
        <item m="1" x="293"/>
        <item x="221"/>
        <item x="134"/>
        <item x="47"/>
        <item m="1" x="393"/>
        <item m="1" x="373"/>
        <item m="1" x="314"/>
        <item m="1" x="374"/>
        <item x="126"/>
        <item x="201"/>
        <item x="184"/>
        <item x="219"/>
        <item m="1" x="340"/>
        <item m="1" x="268"/>
        <item m="1" x="251"/>
        <item m="1" x="350"/>
        <item x="209"/>
        <item m="1" x="364"/>
        <item m="1" x="346"/>
        <item m="1" x="279"/>
        <item m="1" x="299"/>
        <item m="1" x="362"/>
        <item x="141"/>
        <item x="132"/>
        <item x="137"/>
        <item x="115"/>
        <item x="61"/>
        <item m="1" x="398"/>
        <item x="71"/>
        <item m="1" x="365"/>
        <item m="1" x="358"/>
        <item m="1" x="376"/>
        <item m="1" x="383"/>
        <item m="1" x="272"/>
        <item m="1" x="367"/>
        <item m="1" x="297"/>
        <item m="1" x="338"/>
        <item m="1" x="303"/>
        <item m="1" x="412"/>
        <item m="1" x="403"/>
        <item m="1" x="278"/>
        <item m="1" x="402"/>
        <item m="1" x="260"/>
        <item m="1" x="312"/>
        <item x="50"/>
        <item m="1" x="386"/>
        <item x="160"/>
        <item m="1" x="325"/>
        <item x="176"/>
        <item x="206"/>
        <item m="1" x="330"/>
        <item x="218"/>
        <item x="130"/>
        <item m="1" x="304"/>
        <item m="1" x="313"/>
        <item m="1" x="414"/>
        <item x="128"/>
        <item m="1" x="258"/>
        <item m="1" x="289"/>
        <item x="151"/>
        <item m="1" x="282"/>
        <item m="1" x="270"/>
        <item m="1" x="294"/>
        <item x="124"/>
        <item m="1" x="378"/>
        <item m="1" x="324"/>
        <item m="1" x="353"/>
        <item x="191"/>
        <item x="212"/>
        <item m="1" x="406"/>
        <item m="1" x="354"/>
        <item m="1" x="274"/>
        <item x="245"/>
        <item m="1" x="295"/>
        <item x="139"/>
        <item m="1" x="341"/>
        <item x="242"/>
        <item x="170"/>
        <item x="233"/>
        <item m="1" x="366"/>
        <item m="1" x="407"/>
        <item x="109"/>
        <item m="1" x="356"/>
        <item m="1" x="390"/>
        <item x="78"/>
        <item m="1" x="333"/>
        <item m="1" x="375"/>
        <item m="1" x="359"/>
        <item m="1" x="413"/>
        <item m="1" x="288"/>
        <item m="1" x="301"/>
        <item m="1" x="266"/>
        <item m="1" x="384"/>
        <item m="1" x="280"/>
        <item m="1" x="321"/>
        <item m="1" x="337"/>
        <item m="1" x="320"/>
        <item m="1" x="339"/>
        <item m="1" x="257"/>
        <item m="1" x="275"/>
        <item m="1" x="392"/>
        <item m="1" x="281"/>
        <item x="143"/>
        <item m="1" x="348"/>
        <item m="1" x="408"/>
        <item x="17"/>
        <item m="1" x="286"/>
        <item x="49"/>
        <item m="1" x="285"/>
        <item x="10"/>
        <item x="24"/>
        <item x="19"/>
        <item x="55"/>
        <item x="60"/>
        <item x="87"/>
        <item x="93"/>
        <item x="101"/>
        <item x="99"/>
        <item x="102"/>
        <item m="1" x="347"/>
        <item x="113"/>
        <item x="227"/>
        <item m="1" x="261"/>
        <item m="1" x="277"/>
        <item x="185"/>
        <item m="1" x="315"/>
        <item x="195"/>
        <item x="198"/>
        <item x="200"/>
        <item x="197"/>
        <item m="1" x="271"/>
        <item x="199"/>
        <item x="207"/>
        <item m="1" x="302"/>
        <item m="1" x="292"/>
        <item x="214"/>
        <item x="211"/>
        <item m="1" x="342"/>
        <item m="1" x="276"/>
        <item x="220"/>
        <item m="1" x="265"/>
        <item m="1" x="334"/>
        <item x="230"/>
        <item x="232"/>
        <item x="235"/>
        <item x="236"/>
        <item m="1" x="322"/>
        <item x="237"/>
        <item x="243"/>
        <item m="1" x="291"/>
        <item x="241"/>
        <item x="247"/>
        <item x="249"/>
        <item x="24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4">
        <item h="1" x="1"/>
        <item x="0"/>
        <item h="1" m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38">
        <item h="1" x="0"/>
        <item h="1" x="1"/>
        <item h="1" x="2"/>
        <item h="1" x="3"/>
        <item h="1" m="1" x="26"/>
        <item h="1" m="1" x="31"/>
        <item h="1" m="1" x="17"/>
        <item h="1" m="1" x="35"/>
        <item h="1" m="1" x="19"/>
        <item h="1" m="1" x="29"/>
        <item h="1" m="1" x="16"/>
        <item h="1" m="1" x="11"/>
        <item h="1" m="1" x="24"/>
        <item h="1" x="4"/>
        <item h="1" x="5"/>
        <item h="1" x="6"/>
        <item h="1" x="7"/>
        <item x="8"/>
        <item h="1" m="1" x="20"/>
        <item h="1" m="1" x="32"/>
        <item h="1" m="1" x="22"/>
        <item h="1" m="1" x="9"/>
        <item h="1" m="1" x="30"/>
        <item h="1" m="1" x="34"/>
        <item h="1" m="1" x="18"/>
        <item h="1" m="1" x="13"/>
        <item h="1" m="1" x="28"/>
        <item h="1" m="1" x="15"/>
        <item h="1" m="1" x="33"/>
        <item h="1" m="1" x="10"/>
        <item h="1" m="1" x="23"/>
        <item h="1" m="1" x="12"/>
        <item h="1" m="1" x="25"/>
        <item h="1" m="1" x="27"/>
        <item h="1" m="1" x="14"/>
        <item h="1" m="1" x="36"/>
        <item h="1" m="1" x="2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2"/>
    <field x="4"/>
    <field x="5"/>
    <field x="7"/>
    <field x="20"/>
  </rowFields>
  <rowItems count="45">
    <i>
      <x v="9"/>
      <x v="460"/>
      <x v="1134"/>
      <x v="1134"/>
      <x v="414"/>
    </i>
    <i r="1">
      <x v="461"/>
      <x v="1137"/>
      <x v="1135"/>
      <x v="78"/>
    </i>
    <i r="1">
      <x v="462"/>
      <x v="1139"/>
      <x v="1136"/>
      <x v="73"/>
    </i>
    <i r="1">
      <x v="463"/>
      <x v="1140"/>
      <x v="1138"/>
      <x v="167"/>
    </i>
    <i r="1">
      <x v="464"/>
      <x v="1141"/>
      <x v="1139"/>
      <x v="102"/>
    </i>
    <i r="1">
      <x v="469"/>
      <x v="1147"/>
      <x v="1145"/>
      <x v="135"/>
    </i>
    <i t="default">
      <x v="9"/>
    </i>
    <i>
      <x v="21"/>
      <x v="459"/>
      <x v="1929"/>
      <x v="1936"/>
      <x v="229"/>
    </i>
    <i r="1">
      <x v="460"/>
      <x v="1930"/>
      <x v="1938"/>
      <x v="69"/>
    </i>
    <i r="1">
      <x v="461"/>
      <x v="1931"/>
      <x v="1939"/>
      <x v="48"/>
    </i>
    <i r="1">
      <x v="462"/>
      <x v="1932"/>
      <x v="1940"/>
      <x v="162"/>
    </i>
    <i r="1">
      <x v="463"/>
      <x v="1934"/>
      <x v="1943"/>
      <x v="412"/>
    </i>
    <i r="1">
      <x v="464"/>
      <x v="1936"/>
      <x v="1944"/>
      <x v="69"/>
    </i>
    <i r="1">
      <x v="466"/>
      <x v="1937"/>
      <x v="1945"/>
      <x v="62"/>
    </i>
    <i r="1">
      <x v="467"/>
      <x v="1938"/>
      <x v="1946"/>
      <x v="23"/>
    </i>
    <i r="1">
      <x v="469"/>
      <x v="1939"/>
      <x v="1947"/>
      <x v="68"/>
    </i>
    <i t="default">
      <x v="21"/>
    </i>
    <i>
      <x v="29"/>
      <x v="469"/>
      <x v="1579"/>
      <x v="1587"/>
      <x v="324"/>
    </i>
    <i t="default">
      <x v="29"/>
    </i>
    <i>
      <x v="31"/>
      <x v="463"/>
      <x v="1111"/>
      <x v="1109"/>
      <x v="107"/>
    </i>
    <i r="1">
      <x v="464"/>
      <x v="1112"/>
      <x v="1111"/>
      <x v="269"/>
    </i>
    <i r="1">
      <x v="466"/>
      <x v="1116"/>
      <x v="1114"/>
      <x v="45"/>
    </i>
    <i r="1">
      <x v="468"/>
      <x v="1119"/>
      <x v="1116"/>
      <x v="11"/>
    </i>
    <i t="default">
      <x v="31"/>
    </i>
    <i>
      <x v="36"/>
      <x v="459"/>
      <x v="1145"/>
      <x v="1143"/>
      <x v="12"/>
    </i>
    <i r="1">
      <x v="460"/>
      <x v="1146"/>
      <x v="1144"/>
      <x v="43"/>
    </i>
    <i r="1">
      <x v="464"/>
      <x v="1150"/>
      <x v="1148"/>
      <x v="25"/>
    </i>
    <i r="1">
      <x v="465"/>
      <x v="1152"/>
      <x v="1150"/>
      <x v="74"/>
    </i>
    <i t="default">
      <x v="36"/>
    </i>
    <i>
      <x v="38"/>
      <x v="462"/>
      <x v="174"/>
      <x v="173"/>
      <x v="305"/>
    </i>
    <i r="1">
      <x v="464"/>
      <x v="176"/>
      <x v="174"/>
      <x v="413"/>
    </i>
    <i t="default">
      <x v="38"/>
    </i>
    <i>
      <x v="39"/>
      <x v="459"/>
      <x v="760"/>
      <x v="756"/>
      <x v="125"/>
    </i>
    <i r="1">
      <x v="463"/>
      <x v="765"/>
      <x v="763"/>
      <x v="107"/>
    </i>
    <i r="1">
      <x v="464"/>
      <x v="767"/>
      <x v="766"/>
      <x v="148"/>
    </i>
    <i r="1">
      <x v="465"/>
      <x v="768"/>
      <x v="768"/>
      <x v="180"/>
    </i>
    <i r="1">
      <x v="469"/>
      <x v="774"/>
      <x v="774"/>
      <x v="161"/>
    </i>
    <i t="default">
      <x v="39"/>
    </i>
    <i>
      <x v="43"/>
      <x v="459"/>
      <x v="903"/>
      <x v="903"/>
      <x v="250"/>
    </i>
    <i r="1">
      <x v="460"/>
      <x v="906"/>
      <x v="906"/>
      <x/>
    </i>
    <i r="1">
      <x v="463"/>
      <x v="911"/>
      <x v="911"/>
      <x v="172"/>
    </i>
    <i r="1">
      <x v="466"/>
      <x v="914"/>
      <x v="917"/>
      <x v="285"/>
    </i>
    <i r="1">
      <x v="469"/>
      <x v="920"/>
      <x v="919"/>
      <x v="105"/>
    </i>
    <i t="default">
      <x v="4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27" hier="-1"/>
    <pageField fld="26" hier="-1"/>
  </pageFields>
  <dataFields count="6">
    <dataField name=" Valor KM" fld="21" baseField="0" baseItem="0" numFmtId="44"/>
    <dataField name=" Pedágio $" fld="22" baseField="0" baseItem="0" numFmtId="44"/>
    <dataField name=" Estacionamento $" fld="23" baseField="0" baseItem="0" numFmtId="44"/>
    <dataField name=" Diversas $" fld="24" baseField="0" baseItem="0" numFmtId="44"/>
    <dataField name=" Valor reembolsavel" fld="29" baseField="0" baseItem="0" numFmtId="44"/>
    <dataField name=" Hospedagem $" fld="25" baseField="0" baseItem="0" numFmtId="44"/>
  </dataFields>
  <formats count="8">
    <format dxfId="75">
      <pivotArea dataOnly="0" outline="0" fieldPosition="0">
        <references count="1">
          <reference field="2" count="0" defaultSubtotal="1"/>
        </references>
      </pivotArea>
    </format>
    <format dxfId="74">
      <pivotArea dataOnly="0" labelOnly="1" outline="0" fieldPosition="0">
        <references count="1">
          <reference field="20" count="0"/>
        </references>
      </pivotArea>
    </format>
    <format dxfId="73">
      <pivotArea outline="0" fieldPosition="0">
        <references count="6">
          <reference field="4294967294" count="1" selected="0">
            <x v="4"/>
          </reference>
          <reference field="2" count="1" selected="0">
            <x v="34"/>
          </reference>
          <reference field="4" count="1" selected="0">
            <x v="239"/>
          </reference>
          <reference field="5" count="1" selected="0">
            <x v="1986"/>
          </reference>
          <reference field="7" count="1" selected="0">
            <x v="1997"/>
          </reference>
          <reference field="20" count="1" selected="0">
            <x v="182"/>
          </reference>
        </references>
      </pivotArea>
    </format>
    <format dxfId="72">
      <pivotArea outline="0" fieldPosition="0">
        <references count="6">
          <reference field="4294967294" count="1" selected="0">
            <x v="4"/>
          </reference>
          <reference field="2" count="1" selected="0">
            <x v="21"/>
          </reference>
          <reference field="4" count="7" selected="0">
            <x v="230"/>
            <x v="231"/>
            <x v="232"/>
            <x v="233"/>
            <x v="235"/>
            <x v="236"/>
            <x v="237"/>
          </reference>
          <reference field="5" count="7" selected="0">
            <x v="1694"/>
            <x v="1696"/>
            <x v="1697"/>
            <x v="1701"/>
            <x v="1703"/>
            <x v="1705"/>
            <x v="1706"/>
          </reference>
          <reference field="7" count="7" selected="0">
            <x v="1698"/>
            <x v="1699"/>
            <x v="1703"/>
            <x v="1704"/>
            <x v="1707"/>
            <x v="1708"/>
            <x v="1711"/>
          </reference>
          <reference field="20" count="5" selected="0">
            <x v="29"/>
            <x v="61"/>
            <x v="100"/>
            <x v="119"/>
            <x v="276"/>
          </reference>
        </references>
      </pivotArea>
    </format>
    <format dxfId="71">
      <pivotArea outline="0" fieldPosition="0">
        <references count="6">
          <reference field="4294967294" count="1" selected="0">
            <x v="4"/>
          </reference>
          <reference field="2" count="1" selected="0">
            <x v="29"/>
          </reference>
          <reference field="4" count="4" selected="0">
            <x v="233"/>
            <x v="235"/>
            <x v="236"/>
            <x v="237"/>
          </reference>
          <reference field="5" count="4" selected="0">
            <x v="23"/>
            <x v="24"/>
            <x v="1196"/>
            <x v="1197"/>
          </reference>
          <reference field="7" count="4" selected="0">
            <x v="22"/>
            <x v="23"/>
            <x v="1194"/>
            <x v="1195"/>
          </reference>
          <reference field="20" count="4" selected="0">
            <x v="169"/>
            <x v="170"/>
            <x v="238"/>
            <x v="359"/>
          </reference>
        </references>
      </pivotArea>
    </format>
    <format dxfId="70">
      <pivotArea outline="0" fieldPosition="0">
        <references count="6">
          <reference field="4294967294" count="1" selected="0">
            <x v="4"/>
          </reference>
          <reference field="2" count="1" selected="0">
            <x v="30"/>
          </reference>
          <reference field="4" count="4" selected="0">
            <x v="229"/>
            <x v="234"/>
            <x v="235"/>
            <x v="236"/>
          </reference>
          <reference field="5" count="3" selected="0">
            <x v="633"/>
            <x v="636"/>
            <x v="637"/>
          </reference>
          <reference field="7" count="3" selected="0">
            <x v="633"/>
            <x v="634"/>
            <x v="636"/>
          </reference>
          <reference field="20" count="3" selected="0">
            <x v="0"/>
            <x v="150"/>
            <x v="254"/>
          </reference>
        </references>
      </pivotArea>
    </format>
    <format dxfId="69">
      <pivotArea outline="0" fieldPosition="0">
        <references count="6">
          <reference field="4294967294" count="1" selected="0">
            <x v="4"/>
          </reference>
          <reference field="2" count="1" selected="0">
            <x v="31"/>
          </reference>
          <reference field="4" count="3" selected="0">
            <x v="230"/>
            <x v="231"/>
            <x v="233"/>
          </reference>
          <reference field="5" count="3" selected="0">
            <x v="1275"/>
            <x v="1276"/>
            <x v="1277"/>
          </reference>
          <reference field="7" count="3" selected="0">
            <x v="1273"/>
            <x v="1274"/>
            <x v="1275"/>
          </reference>
          <reference field="20" count="3" selected="0">
            <x v="2"/>
            <x v="16"/>
            <x v="91"/>
          </reference>
        </references>
      </pivotArea>
    </format>
    <format dxfId="68">
      <pivotArea dataOnly="0" labelOnly="1" outline="0" fieldPosition="0">
        <references count="2">
          <reference field="2" count="0" selected="0"/>
          <reference field="4" count="1">
            <x v="29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8" indent="0" compact="0" compactData="0" multipleFieldFilters="0">
  <location ref="A3:H89" firstHeaderRow="0" firstDataRow="1" firstDataCol="2"/>
  <pivotFields count="31">
    <pivotField compact="0" numFmtId="22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SM" axis="axisRow" compact="0" outline="0" showAll="0">
      <items count="45">
        <item x="5"/>
        <item m="1" x="29"/>
        <item m="1" x="32"/>
        <item x="7"/>
        <item m="1" x="18"/>
        <item x="13"/>
        <item m="1" x="42"/>
        <item m="1" x="23"/>
        <item m="1" x="34"/>
        <item m="1" x="17"/>
        <item m="1" x="15"/>
        <item m="1" x="35"/>
        <item m="1" x="41"/>
        <item m="1" x="36"/>
        <item m="1" x="27"/>
        <item m="1" x="30"/>
        <item m="1" x="24"/>
        <item m="1" x="43"/>
        <item m="1" x="28"/>
        <item m="1" x="26"/>
        <item x="12"/>
        <item x="3"/>
        <item m="1" x="21"/>
        <item m="1" x="31"/>
        <item m="1" x="19"/>
        <item m="1" x="16"/>
        <item m="1" x="25"/>
        <item m="1" x="38"/>
        <item m="1" x="39"/>
        <item x="6"/>
        <item x="0"/>
        <item x="4"/>
        <item m="1" x="20"/>
        <item m="1" x="40"/>
        <item x="1"/>
        <item x="2"/>
        <item x="8"/>
        <item x="10"/>
        <item x="11"/>
        <item x="9"/>
        <item m="1" x="37"/>
        <item m="1" x="22"/>
        <item m="1" x="33"/>
        <item x="1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8">
        <item x="0"/>
        <item x="1"/>
        <item x="2"/>
        <item x="3"/>
        <item m="1" x="26"/>
        <item m="1" x="31"/>
        <item m="1" x="17"/>
        <item m="1" x="35"/>
        <item m="1" x="19"/>
        <item m="1" x="29"/>
        <item m="1" x="16"/>
        <item m="1" x="11"/>
        <item m="1" x="24"/>
        <item x="4"/>
        <item x="5"/>
        <item x="6"/>
        <item x="7"/>
        <item x="8"/>
        <item m="1" x="20"/>
        <item m="1" x="32"/>
        <item m="1" x="22"/>
        <item m="1" x="9"/>
        <item m="1" x="30"/>
        <item m="1" x="34"/>
        <item m="1" x="18"/>
        <item m="1" x="13"/>
        <item m="1" x="28"/>
        <item m="1" x="15"/>
        <item m="1" x="33"/>
        <item m="1" x="10"/>
        <item m="1" x="23"/>
        <item m="1" x="12"/>
        <item m="1" x="25"/>
        <item m="1" x="27"/>
        <item m="1" x="14"/>
        <item m="1" x="36"/>
        <item m="1" x="2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7"/>
    <field x="2"/>
  </rowFields>
  <rowItems count="86">
    <i>
      <x/>
      <x/>
    </i>
    <i r="1">
      <x v="3"/>
    </i>
    <i r="1">
      <x v="21"/>
    </i>
    <i r="1">
      <x v="29"/>
    </i>
    <i r="1">
      <x v="30"/>
    </i>
    <i r="1">
      <x v="31"/>
    </i>
    <i r="1">
      <x v="34"/>
    </i>
    <i r="1">
      <x v="35"/>
    </i>
    <i r="1">
      <x v="36"/>
    </i>
    <i t="default">
      <x/>
    </i>
    <i>
      <x v="1"/>
      <x v="20"/>
    </i>
    <i r="1">
      <x v="21"/>
    </i>
    <i r="1">
      <x v="29"/>
    </i>
    <i r="1">
      <x v="31"/>
    </i>
    <i r="1">
      <x v="35"/>
    </i>
    <i r="1">
      <x v="36"/>
    </i>
    <i r="1">
      <x v="37"/>
    </i>
    <i r="1">
      <x v="38"/>
    </i>
    <i r="1">
      <x v="39"/>
    </i>
    <i t="default">
      <x v="1"/>
    </i>
    <i>
      <x v="2"/>
      <x v="21"/>
    </i>
    <i r="1">
      <x v="29"/>
    </i>
    <i r="1">
      <x v="31"/>
    </i>
    <i r="1">
      <x v="35"/>
    </i>
    <i r="1">
      <x v="36"/>
    </i>
    <i r="1">
      <x v="37"/>
    </i>
    <i r="1">
      <x v="38"/>
    </i>
    <i r="1">
      <x v="39"/>
    </i>
    <i t="default">
      <x v="2"/>
    </i>
    <i>
      <x v="3"/>
      <x v="21"/>
    </i>
    <i r="1">
      <x v="29"/>
    </i>
    <i r="1">
      <x v="31"/>
    </i>
    <i r="1">
      <x v="35"/>
    </i>
    <i r="1">
      <x v="36"/>
    </i>
    <i r="1">
      <x v="37"/>
    </i>
    <i r="1">
      <x v="38"/>
    </i>
    <i r="1">
      <x v="39"/>
    </i>
    <i t="default">
      <x v="3"/>
    </i>
    <i>
      <x v="13"/>
      <x v="21"/>
    </i>
    <i r="1">
      <x v="29"/>
    </i>
    <i r="1">
      <x v="31"/>
    </i>
    <i r="1">
      <x v="35"/>
    </i>
    <i r="1">
      <x v="36"/>
    </i>
    <i r="1">
      <x v="37"/>
    </i>
    <i r="1">
      <x v="38"/>
    </i>
    <i r="1">
      <x v="39"/>
    </i>
    <i t="default">
      <x v="13"/>
    </i>
    <i>
      <x v="14"/>
      <x v="20"/>
    </i>
    <i r="1">
      <x v="21"/>
    </i>
    <i r="1">
      <x v="29"/>
    </i>
    <i r="1">
      <x v="31"/>
    </i>
    <i r="1">
      <x v="35"/>
    </i>
    <i r="1">
      <x v="36"/>
    </i>
    <i r="1">
      <x v="37"/>
    </i>
    <i r="1">
      <x v="38"/>
    </i>
    <i r="1">
      <x v="39"/>
    </i>
    <i t="default">
      <x v="14"/>
    </i>
    <i>
      <x v="15"/>
      <x v="5"/>
    </i>
    <i r="1">
      <x v="20"/>
    </i>
    <i r="1">
      <x v="21"/>
    </i>
    <i r="1">
      <x v="29"/>
    </i>
    <i r="1">
      <x v="31"/>
    </i>
    <i r="1">
      <x v="36"/>
    </i>
    <i r="1">
      <x v="38"/>
    </i>
    <i r="1">
      <x v="39"/>
    </i>
    <i r="1">
      <x v="43"/>
    </i>
    <i t="default">
      <x v="15"/>
    </i>
    <i>
      <x v="16"/>
      <x v="5"/>
    </i>
    <i r="1">
      <x v="21"/>
    </i>
    <i r="1">
      <x v="29"/>
    </i>
    <i r="1">
      <x v="31"/>
    </i>
    <i r="1">
      <x v="36"/>
    </i>
    <i r="1">
      <x v="38"/>
    </i>
    <i r="1">
      <x v="39"/>
    </i>
    <i r="1">
      <x v="43"/>
    </i>
    <i t="default">
      <x v="16"/>
    </i>
    <i>
      <x v="17"/>
      <x v="5"/>
    </i>
    <i r="1">
      <x v="21"/>
    </i>
    <i r="1">
      <x v="29"/>
    </i>
    <i r="1">
      <x v="31"/>
    </i>
    <i r="1">
      <x v="36"/>
    </i>
    <i r="1">
      <x v="38"/>
    </i>
    <i r="1">
      <x v="39"/>
    </i>
    <i r="1">
      <x v="43"/>
    </i>
    <i t="default">
      <x v="1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 Valor KM" fld="21" baseField="0" baseItem="0" numFmtId="44"/>
    <dataField name=" Pedágio $" fld="22" baseField="0" baseItem="0" numFmtId="44"/>
    <dataField name=" Estacionamento $" fld="23" baseField="0" baseItem="0" numFmtId="44"/>
    <dataField name=" Diversas $" fld="24" baseField="0" baseItem="0" numFmtId="44"/>
    <dataField name=" Hospedagem $" fld="25" baseField="0" baseItem="0" numFmtId="44"/>
    <dataField name=" TT Gasto" fld="30" baseField="0" baseItem="0" numFmtId="44"/>
  </dataFields>
  <formats count="5">
    <format dxfId="32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3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30">
      <pivotArea field="27" grandRow="1" outline="0" axis="axisRow" fieldPosition="0">
        <references count="1">
          <reference field="4294967294" count="1" selected="0">
            <x v="5"/>
          </reference>
        </references>
      </pivotArea>
    </format>
    <format dxfId="29">
      <pivotArea field="27" grandRow="1" outline="0" axis="axisRow" fieldPosition="0">
        <references count="1">
          <reference field="4294967294" count="1" selected="0">
            <x v="5"/>
          </reference>
        </references>
      </pivotArea>
    </format>
    <format dxfId="28">
      <pivotArea outline="0" fieldPosition="0">
        <references count="2">
          <reference field="4294967294" count="1" selected="0">
            <x v="5"/>
          </reference>
          <reference field="27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elecione_o_Usuário" sourceName="Selecione o Usuário">
  <pivotTables>
    <pivotTable tabId="3" name="Tabela dinâmica1"/>
  </pivotTables>
  <data>
    <tabular pivotCacheId="492088582">
      <items count="44">
        <i x="3" s="1"/>
        <i x="11" s="1"/>
        <i x="13" s="1"/>
        <i x="6" s="1"/>
        <i x="9" s="1"/>
        <i x="8" s="1"/>
        <i x="4" s="1"/>
        <i x="14" s="1"/>
        <i x="10" s="1" nd="1"/>
        <i x="21" s="1" nd="1"/>
        <i x="26" s="1" nd="1"/>
        <i x="5" s="1" nd="1"/>
        <i x="12" s="1" nd="1"/>
        <i x="29" s="1" nd="1"/>
        <i x="35" s="1" nd="1"/>
        <i x="32" s="1" nd="1"/>
        <i x="7" s="1" nd="1"/>
        <i x="24" s="1" nd="1"/>
        <i x="18" s="1" nd="1"/>
        <i x="31" s="1" nd="1"/>
        <i x="16" s="1" nd="1"/>
        <i x="20" s="1" nd="1"/>
        <i x="43" s="1" nd="1"/>
        <i x="36" s="1" nd="1"/>
        <i x="39" s="1" nd="1"/>
        <i x="42" s="1" nd="1"/>
        <i x="41" s="1" nd="1"/>
        <i x="23" s="1" nd="1"/>
        <i x="28" s="1" nd="1"/>
        <i x="34" s="1" nd="1"/>
        <i x="38" s="1" nd="1"/>
        <i x="25" s="1" nd="1"/>
        <i x="30" s="1" nd="1"/>
        <i x="27" s="1" nd="1"/>
        <i x="2" s="1" nd="1"/>
        <i x="19" s="1" nd="1"/>
        <i x="0" s="1" nd="1"/>
        <i x="17" s="1" nd="1"/>
        <i x="33" s="1" nd="1"/>
        <i x="22" s="1" nd="1"/>
        <i x="37" s="1" nd="1"/>
        <i x="40" s="1" nd="1"/>
        <i x="1" s="1" nd="1"/>
        <i x="1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Mês" sourceName="Mês">
  <pivotTables>
    <pivotTable tabId="6" name="Tabela dinâmica2"/>
  </pivotTables>
  <data>
    <tabular pivotCacheId="492088582" showMissing="0">
      <items count="37">
        <i x="0" s="1"/>
        <i x="1" s="1"/>
        <i x="2" s="1"/>
        <i x="3" s="1"/>
        <i x="4" s="1"/>
        <i x="5" s="1"/>
        <i x="6" s="1"/>
        <i x="7" s="1"/>
        <i x="8" s="1"/>
        <i x="20" s="1" nd="1"/>
        <i x="32" s="1" nd="1"/>
        <i x="19" s="1" nd="1"/>
        <i x="26" s="1" nd="1"/>
        <i x="30" s="1" nd="1"/>
        <i x="31" s="1" nd="1"/>
        <i x="17" s="1" nd="1"/>
        <i x="34" s="1" nd="1"/>
        <i x="35" s="1" nd="1"/>
        <i x="18" s="1" nd="1"/>
        <i x="13" s="1" nd="1"/>
        <i x="28" s="1" nd="1"/>
        <i x="29" s="1" nd="1"/>
        <i x="15" s="1" nd="1"/>
        <i x="16" s="1" nd="1"/>
        <i x="33" s="1" nd="1"/>
        <i x="10" s="1" nd="1"/>
        <i x="11" s="1" nd="1"/>
        <i x="23" s="1" nd="1"/>
        <i x="24" s="1" nd="1"/>
        <i x="12" s="1" nd="1"/>
        <i x="25" s="1" nd="1"/>
        <i x="22" s="1" nd="1"/>
        <i x="9" s="1" nd="1"/>
        <i x="27" s="1" nd="1"/>
        <i x="14" s="1" nd="1"/>
        <i x="36" s="1" nd="1"/>
        <i x="21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Quinzena" sourceName="Quinzena">
  <pivotTables>
    <pivotTable tabId="3" name="Tabela dinâmica1"/>
  </pivotTables>
  <data>
    <tabular pivotCacheId="492088582">
      <items count="3">
        <i x="0" s="1"/>
        <i x="1" nd="1"/>
        <i x="2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Mês1" sourceName="Mês">
  <pivotTables>
    <pivotTable tabId="3" name="Tabela dinâmica1"/>
  </pivotTables>
  <data>
    <tabular pivotCacheId="492088582" showMissing="0">
      <items count="37">
        <i x="0"/>
        <i x="1"/>
        <i x="2"/>
        <i x="3"/>
        <i x="4"/>
        <i x="5"/>
        <i x="6"/>
        <i x="7"/>
        <i x="8" s="1"/>
        <i x="20" nd="1"/>
        <i x="32" nd="1"/>
        <i x="19" nd="1"/>
        <i x="26" nd="1"/>
        <i x="30" nd="1"/>
        <i x="31" nd="1"/>
        <i x="17" nd="1"/>
        <i x="34" nd="1"/>
        <i x="35" nd="1"/>
        <i x="18" nd="1"/>
        <i x="13" nd="1"/>
        <i x="28" nd="1"/>
        <i x="29" nd="1"/>
        <i x="15" nd="1"/>
        <i x="16" nd="1"/>
        <i x="33" nd="1"/>
        <i x="10" nd="1"/>
        <i x="11" nd="1"/>
        <i x="23" nd="1"/>
        <i x="24" nd="1"/>
        <i x="12" nd="1"/>
        <i x="25" nd="1"/>
        <i x="22" nd="1"/>
        <i x="9" nd="1"/>
        <i x="27" nd="1"/>
        <i x="14" nd="1"/>
        <i x="36" nd="1"/>
        <i x="2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lecione_o_Usuário1" xr10:uid="{0181DFF7-019A-402F-8BCE-796F5AAFB21F}" sourceName="Selecione o Usuário">
  <extLst>
    <x:ext xmlns:x15="http://schemas.microsoft.com/office/spreadsheetml/2010/11/main" uri="{2F2917AC-EB37-4324-AD4E-5DD8C200BD13}">
      <x15:tableSlicerCache tableId="1" column="3"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Quinzena1" xr10:uid="{E667BA60-5487-40DF-A168-047096262A72}" sourceName="Quinzena">
  <extLst>
    <x:ext xmlns:x15="http://schemas.microsoft.com/office/spreadsheetml/2010/11/main" uri="{2F2917AC-EB37-4324-AD4E-5DD8C200BD13}">
      <x15:tableSlicerCache tableId="1" column="26"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2" xr10:uid="{779884F9-3FF1-45DA-8F54-ACCF925A06DF}" sourceName="Mês">
  <extLst>
    <x:ext xmlns:x15="http://schemas.microsoft.com/office/spreadsheetml/2010/11/main" uri="{2F2917AC-EB37-4324-AD4E-5DD8C200BD13}">
      <x15:tableSlicerCache tableId="1" column="27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lecione o Usuário" cache="SegmentaçãodeDados_Selecione_o_Usuário" caption="Selecione o Usuário" rowHeight="257175"/>
  <slicer name="Quinzena" cache="SegmentaçãodeDados_Quinzena" caption="Quinzena" rowHeight="257175"/>
  <slicer name="Mês 1" cache="SegmentaçãodeDados_Mês1" caption="Mês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lecione o Usuário 1" xr10:uid="{67FE7119-CD6C-4571-9C34-A55932BC7113}" cache="SegmentaçãodeDados_Selecione_o_Usuário1" caption="Selecione o Usuário" rowHeight="257175"/>
  <slicer name="Quinzena 1" xr10:uid="{9A309A1E-FB82-4753-A2FF-2AC724D2B9DA}" cache="SegmentaçãodeDados_Quinzena1" caption="Quinzena" rowHeight="257175"/>
  <slicer name="Mês 2" xr10:uid="{4C9D2646-F414-4290-B768-57485D620F17}" cache="SegmentaçãodeDados_Mês2" caption="Mês" rowHeight="25717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ês" cache="SegmentaçãodeDados_Mês" caption="Mês" rowHeight="257175"/>
</slicers>
</file>

<file path=xl/tables/table1.xml><?xml version="1.0" encoding="utf-8"?>
<table xmlns="http://schemas.openxmlformats.org/spreadsheetml/2006/main" id="2" name="Tabela2" displayName="Tabela2" ref="B4:N17" totalsRowCount="1">
  <autoFilter ref="B4:N16">
    <filterColumn colId="11">
      <filters>
        <filter val="R$ 0,00"/>
        <filter val="R$ 1.084,60"/>
        <filter val="R$ 1.089,20"/>
        <filter val="R$ 1.558,00"/>
        <filter val="R$ 241,70"/>
        <filter val="R$ 663,30"/>
        <filter val="R$ 743,60"/>
      </filters>
    </filterColumn>
  </autoFilter>
  <tableColumns count="13">
    <tableColumn id="1" name="Matricula" dataDxfId="97"/>
    <tableColumn id="2" name="Nome"/>
    <tableColumn id="9" name="FUNÇÃO" dataDxfId="96"/>
    <tableColumn id="7" name="C.Custo" dataDxfId="95" totalsRowDxfId="94"/>
    <tableColumn id="3" name="Valor KM" dataDxfId="93" totalsRowDxfId="92" dataCellStyle="Moeda">
      <calculatedColumnFormula>SUMIFS('Por Supervisor'!F:F,'Por Supervisor'!$A:$A,Tabela2[[#This Row],[Nome]])</calculatedColumnFormula>
    </tableColumn>
    <tableColumn id="4" name="Pedagio" dataDxfId="91" totalsRowDxfId="90" dataCellStyle="Moeda">
      <calculatedColumnFormula>SUMIFS('Por Supervisor'!G:G,'Por Supervisor'!$A:$A,Tabela2[[#This Row],[Nome]])</calculatedColumnFormula>
    </tableColumn>
    <tableColumn id="5" name="Estacionamento" dataDxfId="89" totalsRowDxfId="88" dataCellStyle="Moeda">
      <calculatedColumnFormula>SUMIFS('Por Supervisor'!H:H,'Por Supervisor'!$A:$A,Tabela2[[#This Row],[Nome]])</calculatedColumnFormula>
    </tableColumn>
    <tableColumn id="6" name="Diversas" dataDxfId="87" totalsRowDxfId="86" dataCellStyle="Moeda">
      <calculatedColumnFormula>SUMIFS('Por Supervisor'!I:I,'Por Supervisor'!$A:$A,Tabela2[[#This Row],[Nome]])</calculatedColumnFormula>
    </tableColumn>
    <tableColumn id="12" name="TT Reembolsavel" totalsRowFunction="sum" dataDxfId="85" totalsRowDxfId="84" dataCellStyle="Moeda">
      <calculatedColumnFormula>SUM(Tabela2[[#This Row],[Valor KM]:[Diversas]])</calculatedColumnFormula>
    </tableColumn>
    <tableColumn id="13" name="Hotel*" dataDxfId="83" totalsRowDxfId="82" dataCellStyle="Moeda">
      <calculatedColumnFormula>SUMIFS('Por Supervisor'!K:K,'Por Supervisor'!$A:$A,Tabela2[[#This Row],[Nome]])</calculatedColumnFormula>
    </tableColumn>
    <tableColumn id="8" name="Adiantamento / Saldo" dataDxfId="81" totalsRowDxfId="80" dataCellStyle="Moeda"/>
    <tableColumn id="11" name="Valor a depositar" totalsRowFunction="sum" dataDxfId="79" totalsRowDxfId="78">
      <calculatedColumnFormula>IF(AND(J5=0,Tabela2[[#This Row],[Adiantamento / Saldo]]=""),"-",(Tabela2[[#This Row],[TT Reembolsavel]]+Tabela2[[#This Row],[Adiantamento / Saldo]]))</calculatedColumnFormula>
    </tableColumn>
    <tableColumn id="10" name="Ob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1" name="Tabela1" displayName="Tabela1" ref="A1:AC620" totalsRowShown="0" headerRowDxfId="66" dataDxfId="64" headerRowBorderDxfId="65" tableBorderDxfId="63" totalsRowBorderDxfId="62">
  <autoFilter ref="A1:AC620"/>
  <sortState ref="A2:AC623">
    <sortCondition ref="E1:E623"/>
  </sortState>
  <tableColumns count="29">
    <tableColumn id="1" name="Carimbo de data/hora" dataDxfId="61"/>
    <tableColumn id="2" name="Endereço de e-mail" dataDxfId="60"/>
    <tableColumn id="3" name="Selecione o Usuário" dataDxfId="59"/>
    <tableColumn id="4" name="Informe a placa do veículo" dataDxfId="58"/>
    <tableColumn id="5" name="Informe a data" dataDxfId="57"/>
    <tableColumn id="6" name="Informe o KM inicial do dia" dataDxfId="56"/>
    <tableColumn id="7" name="Insira a foto do hodômetro inicial" dataDxfId="55"/>
    <tableColumn id="8" name="Informe o KM final do dia" dataDxfId="54"/>
    <tableColumn id="9" name="Insira a foto do hodômetro final" dataDxfId="53"/>
    <tableColumn id="10" name="Quais lojas você visitou?" dataDxfId="52"/>
    <tableColumn id="11" name="Caso tenha rodado particular alguma parte do trajeto, informe o total de KM a ser deduzido." dataDxfId="51"/>
    <tableColumn id="12" name="Possui despesas a serem lançadas" dataDxfId="50"/>
    <tableColumn id="13" name="Pedágio" dataDxfId="49"/>
    <tableColumn id="14" name="Insira as fotos dos recibos de pedágio" dataDxfId="48"/>
    <tableColumn id="15" name="Estacionamento" dataDxfId="47"/>
    <tableColumn id="16" name="Insira as fotos dos recibos de estacionamento" dataDxfId="46"/>
    <tableColumn id="17" name="Despesas Diversas _x000a_(Jantar em viagem, Impressões, Etc)" dataDxfId="45"/>
    <tableColumn id="18" name="Insira as fotos das notas de outras despesas" dataDxfId="44"/>
    <tableColumn id="19" name="Hospedagem" dataDxfId="43"/>
    <tableColumn id="29" name="Caso possua alguma observação sobre as despesas favor informar" dataDxfId="42"/>
    <tableColumn id="20" name="KM Rodado" dataDxfId="41">
      <calculatedColumnFormula>(Tabela1[[#This Row],[Informe o KM final do dia]]-Tabela1[[#This Row],[Informe o KM inicial do dia]])-Tabela1[[#This Row],[Caso tenha rodado particular alguma parte do trajeto, informe o total de KM a ser deduzido.]]</calculatedColumnFormula>
    </tableColumn>
    <tableColumn id="21" name="Valor KM" dataDxfId="40" dataCellStyle="Moeda">
      <calculatedColumnFormula>IF(Tabela1[[#This Row],[Informe a data]]&lt;DATE(2026,3,16), Tabela1[[#This Row],[KM Rodado]]*1.1, Tabela1[[#This Row],[KM Rodado]]*1.23)</calculatedColumnFormula>
    </tableColumn>
    <tableColumn id="22" name="Pedágio $" dataDxfId="39" dataCellStyle="Moeda">
      <calculatedColumnFormula>IFERROR(SUBSTITUTE(Tabela1[[#This Row],[Pedágio]],".",",",1)*1,0)</calculatedColumnFormula>
    </tableColumn>
    <tableColumn id="23" name="Estacionamento $" dataDxfId="38" dataCellStyle="Moeda">
      <calculatedColumnFormula>IFERROR(SUBSTITUTE(Tabela1[[#This Row],[Estacionamento]],".",",",1)*1,0)</calculatedColumnFormula>
    </tableColumn>
    <tableColumn id="24" name="Diversas $" dataDxfId="37" dataCellStyle="Moeda">
      <calculatedColumnFormula>IFERROR(SUBSTITUTE(Tabela1[[#This Row],[Despesas Diversas 
(Jantar em viagem, Impressões, Etc)]],".",",",1)*1,0)</calculatedColumnFormula>
    </tableColumn>
    <tableColumn id="25" name="Hospedagem $" dataDxfId="36" dataCellStyle="Moeda">
      <calculatedColumnFormula>IFERROR(SUBSTITUTE(Tabela1[[#This Row],[Hospedagem]],".",",",1)*1,0)</calculatedColumnFormula>
    </tableColumn>
    <tableColumn id="26" name="Quinzena" dataDxfId="35" dataCellStyle="Moeda">
      <calculatedColumnFormula>IF(DAY(Tabela1[[#This Row],[Informe a data]])&lt;=15,"1ª Quinzena","2ª Quinzena")</calculatedColumnFormula>
    </tableColumn>
    <tableColumn id="27" name="Mês" dataDxfId="34" dataCellStyle="Moeda">
      <calculatedColumnFormula>UPPER(TEXT(Tabela1[[#This Row],[Informe a data]],"mmmm"))</calculatedColumnFormula>
    </tableColumn>
    <tableColumn id="28" name="Filtro mês dia" dataDxfId="33" dataCellStyle="Moeda">
      <calculatedColumnFormula>_xlfn.CONCAT(Tabela1[[#This Row],[Selecione o Usuário]]," - ",TEXT(Tabela1[[#This Row],[Informe a data]],"dd-mm-aa"))</calculatedColumnFormula>
    </tableColumn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5" name="Tabela46" displayName="Tabela46" ref="B27:N46" totalsRowCount="1" totalsRowDxfId="26">
  <autoFilter ref="B27:N45"/>
  <tableColumns count="13">
    <tableColumn id="1" name="Nome" totalsRowLabel="TOTAL GASTO" totalsRowDxfId="25"/>
    <tableColumn id="2" name="JANEIRO" totalsRowFunction="sum" dataDxfId="24" totalsRowDxfId="23">
      <calculatedColumnFormula>SUMIFS('Consolidado gerencial'!$H:$H,'Consolidado gerencial'!$B:$B,$B28,'Consolidado gerencial'!$A:$A,C$27)</calculatedColumnFormula>
    </tableColumn>
    <tableColumn id="3" name="FEVEREIRO" totalsRowFunction="sum" totalsRowDxfId="22">
      <calculatedColumnFormula>SUMIFS('Consolidado gerencial'!$H:$H,'Consolidado gerencial'!$B:$B,$B28,'Consolidado gerencial'!$A:$A,D$27)</calculatedColumnFormula>
    </tableColumn>
    <tableColumn id="4" name="MARÇO" totalsRowFunction="sum" totalsRowDxfId="21">
      <calculatedColumnFormula>SUMIFS('Consolidado gerencial'!$H:$H,'Consolidado gerencial'!$B:$B,$B28,'Consolidado gerencial'!$A:$A,E$27)</calculatedColumnFormula>
    </tableColumn>
    <tableColumn id="5" name="ABRIL" totalsRowFunction="sum" totalsRowDxfId="20">
      <calculatedColumnFormula>SUMIFS('Consolidado gerencial'!$H:$H,'Consolidado gerencial'!$B:$B,$B28,'Consolidado gerencial'!$A:$A,F$27)</calculatedColumnFormula>
    </tableColumn>
    <tableColumn id="6" name="MAIO" totalsRowFunction="sum" totalsRowDxfId="19">
      <calculatedColumnFormula>SUMIFS('Consolidado gerencial'!$H:$H,'Consolidado gerencial'!$B:$B,$B28,'Consolidado gerencial'!$A:$A,G$27)</calculatedColumnFormula>
    </tableColumn>
    <tableColumn id="7" name="JUNHO" totalsRowFunction="sum" totalsRowDxfId="18">
      <calculatedColumnFormula>SUMIFS('Consolidado gerencial'!$H:$H,'Consolidado gerencial'!$B:$B,$B28,'Consolidado gerencial'!$A:$A,H$27)</calculatedColumnFormula>
    </tableColumn>
    <tableColumn id="8" name="JULHO" totalsRowFunction="sum" totalsRowDxfId="17">
      <calculatedColumnFormula>SUMIFS('Consolidado gerencial'!$H:$H,'Consolidado gerencial'!$B:$B,$B28,'Consolidado gerencial'!$A:$A,I$27)</calculatedColumnFormula>
    </tableColumn>
    <tableColumn id="9" name="AGOSTO" totalsRowFunction="sum" totalsRowDxfId="16">
      <calculatedColumnFormula>SUMIFS('Consolidado gerencial'!$H:$H,'Consolidado gerencial'!$B:$B,$B28,'Consolidado gerencial'!$A:$A,J$27)</calculatedColumnFormula>
    </tableColumn>
    <tableColumn id="10" name="SETEMBRO" totalsRowFunction="sum" totalsRowDxfId="15">
      <calculatedColumnFormula>SUMIFS('Consolidado gerencial'!$H:$H,'Consolidado gerencial'!$B:$B,$B28,'Consolidado gerencial'!$A:$A,K$27)</calculatedColumnFormula>
    </tableColumn>
    <tableColumn id="11" name="OUTUBRO" totalsRowFunction="sum" totalsRowDxfId="14">
      <calculatedColumnFormula>SUMIFS('Consolidado gerencial'!$H:$H,'Consolidado gerencial'!$B:$B,$B28,'Consolidado gerencial'!$A:$A,L$27)</calculatedColumnFormula>
    </tableColumn>
    <tableColumn id="12" name="NOVEMBRO" totalsRowFunction="sum" totalsRowDxfId="13">
      <calculatedColumnFormula>SUMIFS('Consolidado gerencial'!$H:$H,'Consolidado gerencial'!$B:$B,$B28,'Consolidado gerencial'!$A:$A,M$27)</calculatedColumnFormula>
    </tableColumn>
    <tableColumn id="13" name="DEZEMBRO" totalsRowFunction="sum" totalsRowDxfId="12">
      <calculatedColumnFormula>SUMIFS('Consolidado gerencial'!$H:$H,'Consolidado gerencial'!$B:$B,$B28,'Consolidado gerencial'!$A:$A,N$27)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3" name="Tabela44" displayName="Tabela44" ref="B4:N22" totalsRowCount="1">
  <autoFilter ref="B4:N21">
    <filterColumn colId="1">
      <customFilters>
        <customFilter operator="notEqual" val=" "/>
      </customFilters>
    </filterColumn>
  </autoFilter>
  <tableColumns count="13">
    <tableColumn id="1" name="Nome" totalsRowLabel="TT ORÇAMENTO"/>
    <tableColumn id="2" name="JANEIRO" totalsRowFunction="custom" totalsRowDxfId="11" dataCellStyle="Moeda">
      <totalsRowFormula>SUM(Tabela44[JANEIRO])</totalsRowFormula>
    </tableColumn>
    <tableColumn id="3" name="FEVEREIRO" totalsRowFunction="custom" totalsRowDxfId="10" dataCellStyle="Moeda">
      <totalsRowFormula>SUM(Tabela44[FEVEREIRO])</totalsRowFormula>
    </tableColumn>
    <tableColumn id="4" name="MARÇO" totalsRowFunction="custom" totalsRowDxfId="9" dataCellStyle="Moeda">
      <totalsRowFormula>SUM(Tabela44[MARÇO])</totalsRowFormula>
    </tableColumn>
    <tableColumn id="5" name="ABRIL" totalsRowFunction="custom" totalsRowDxfId="8" dataCellStyle="Moeda">
      <totalsRowFormula>SUM(Tabela44[ABRIL])</totalsRowFormula>
    </tableColumn>
    <tableColumn id="6" name="MAIO" totalsRowFunction="custom" totalsRowDxfId="7" dataCellStyle="Moeda">
      <totalsRowFormula>SUM(Tabela44[MAIO])</totalsRowFormula>
    </tableColumn>
    <tableColumn id="7" name="JUNHO" totalsRowFunction="custom" totalsRowDxfId="6" dataCellStyle="Moeda">
      <totalsRowFormula>SUM(Tabela44[JUNHO])</totalsRowFormula>
    </tableColumn>
    <tableColumn id="8" name="JULHO" totalsRowFunction="custom" totalsRowDxfId="5" dataCellStyle="Moeda">
      <totalsRowFormula>SUM(Tabela44[JULHO])</totalsRowFormula>
    </tableColumn>
    <tableColumn id="9" name="AGOSTO" totalsRowFunction="custom" totalsRowDxfId="4" dataCellStyle="Moeda">
      <totalsRowFormula>SUM(Tabela44[AGOSTO])</totalsRowFormula>
    </tableColumn>
    <tableColumn id="10" name="SETEMBRO" totalsRowFunction="custom" totalsRowDxfId="3" dataCellStyle="Moeda">
      <totalsRowFormula>SUM(Tabela44[SETEMBRO])</totalsRowFormula>
    </tableColumn>
    <tableColumn id="11" name="OUTUBRO" totalsRowFunction="custom" totalsRowDxfId="2" dataCellStyle="Moeda">
      <totalsRowFormula>SUM(Tabela44[OUTUBRO])</totalsRowFormula>
    </tableColumn>
    <tableColumn id="12" name="NOVEMBRO" totalsRowFunction="custom" totalsRowDxfId="1" dataCellStyle="Moeda">
      <totalsRowFormula>SUM(Tabela44[NOVEMBRO])</totalsRowFormula>
    </tableColumn>
    <tableColumn id="13" name="DEZEMBRO" totalsRowFunction="custom" totalsRowDxfId="0" dataCellStyle="Moeda">
      <totalsRowFormula>SUM(Tabela44[DEZEMBRO])</totalsRow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" dT="2026-01-16T11:47:03.34" personId="{6DB63894-4CC0-4299-A446-326849128624}" id="{B0C3817A-7854-4762-ACB1-60DB3B766599}">
    <text>Férias até 05/01 - Considerado assim 25 dias</text>
  </threadedComment>
  <threadedComment ref="C7" dT="2026-01-16T11:47:18.06" personId="{6DB63894-4CC0-4299-A446-326849128624}" id="{51060DEF-30AF-4C18-97E9-6EBAA9131A36}">
    <text>Admitido em 15/01 - Considerado 15 dias</text>
  </threadedComment>
  <threadedComment ref="C11" dT="2026-02-02T14:33:32.01" personId="{6DB63894-4CC0-4299-A446-326849128624}" id="{A9649F5A-B013-4DB4-BAFA-543B1ADA7948}">
    <text>Desligada em 27/01 - Considerado 27 dias</text>
  </threadedComment>
  <threadedComment ref="C12" dT="2026-01-16T11:46:41.32" personId="{6DB63894-4CC0-4299-A446-326849128624}" id="{B6740CBF-4479-4DA5-97E7-7BA37892E50F}">
    <text>Demitido em 08/01</text>
  </threadedComment>
  <threadedComment ref="C31" dT="2026-01-16T11:54:46.57" personId="{6DB63894-4CC0-4299-A446-326849128624}" id="{C1961926-CEB3-4D30-98C3-5841D5BEE943}">
    <text>KM devido a Apoio ao Direta</text>
  </threadedComment>
  <threadedComment ref="C32" dT="2026-01-16T11:55:06.18" personId="{6DB63894-4CC0-4299-A446-326849128624}" id="{AE235D4D-2A2F-40A3-9714-C96B7245D636}">
    <text>Envio uniformes SC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2" dT="2025-01-28T15:17:52.51" personId="{6DB63894-4CC0-4299-A446-326849128624}" id="{12A6F6AF-1F8E-4B4B-A71A-E1CCD3543270}">
    <text>Adicionar manualmente os dados</text>
  </threadedComment>
  <threadedComment ref="K18" dT="2025-01-28T15:17:52.51" personId="{6DB63894-4CC0-4299-A446-326849128624}" id="{2CA0245F-3416-4546-9E4F-05BC318BC0F3}">
    <text>Adicionar manualmente os dados</text>
  </threadedComment>
  <threadedComment ref="K36" dT="2025-01-28T15:17:52.51" personId="{6DB63894-4CC0-4299-A446-326849128624}" id="{128B9A33-C959-4F8A-9D63-5358E43E731B}">
    <text>Adicionar manualmente os dados</text>
  </threadedComment>
  <threadedComment ref="K54" dT="2025-01-28T15:17:52.51" personId="{6DB63894-4CC0-4299-A446-326849128624}" id="{D56244BB-7006-480A-B951-C2BF59A205CA}">
    <text>Adicionar manualmente os dados</text>
  </threadedComment>
  <threadedComment ref="K71" dT="2025-01-28T15:17:52.51" personId="{6DB63894-4CC0-4299-A446-326849128624}" id="{3FC0ADBB-5731-4869-82E6-0C06B7D44B33}">
    <text>Adicionar manualmente os dados</text>
  </threadedComment>
  <threadedComment ref="K87" dT="2025-01-28T15:17:52.51" personId="{6DB63894-4CC0-4299-A446-326849128624}" id="{C5EE05CE-0D8D-4D68-9A6B-574BE1C0AF72}">
    <text>Adicionar manualmente os dados</text>
  </threadedComment>
  <threadedComment ref="K104" dT="2025-01-28T15:17:52.51" personId="{6DB63894-4CC0-4299-A446-326849128624}" id="{F3805114-F96F-4139-897C-594DF70DF6B5}">
    <text>Adicionar manualmente os dados</text>
  </threadedComment>
  <threadedComment ref="K142" dT="2025-01-28T15:17:52.51" personId="{6DB63894-4CC0-4299-A446-326849128624}" id="{13386D89-EA1A-45B1-8E65-1989C331B577}">
    <text>Adicionar manualmente os dados</text>
  </threadedComment>
  <threadedComment ref="K162" dT="2025-01-28T15:17:52.51" personId="{6DB63894-4CC0-4299-A446-326849128624}" id="{155F9753-5A23-417F-B949-7994CB77362B}">
    <text>Adicionar manualmente os dados</text>
  </threadedComment>
  <threadedComment ref="K202" dT="2025-01-28T15:17:52.51" personId="{6DB63894-4CC0-4299-A446-326849128624}" id="{C5F7FCA1-B126-4F81-9E54-D7F4A1A9C4A4}">
    <text>Adicionar manualmente os dados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open?id=1VwiV4njNBoTq_hitT6Kwv2abKdFoIyil" TargetMode="External"/><Relationship Id="rId671" Type="http://schemas.openxmlformats.org/officeDocument/2006/relationships/hyperlink" Target="https://drive.google.com/open?id=1UtetwO4232dutdChRlDUFDArvrIA3_XT" TargetMode="External"/><Relationship Id="rId769" Type="http://schemas.openxmlformats.org/officeDocument/2006/relationships/hyperlink" Target="https://drive.google.com/open?id=1LdlI6AowTB7fchFEUZCOshXiKFcHjz0A" TargetMode="External"/><Relationship Id="rId976" Type="http://schemas.openxmlformats.org/officeDocument/2006/relationships/hyperlink" Target="https://drive.google.com/open?id=1DZJ1KkzfXy8e-IhznyWCieJ6SJqPUteO" TargetMode="External"/><Relationship Id="rId21" Type="http://schemas.openxmlformats.org/officeDocument/2006/relationships/hyperlink" Target="https://drive.google.com/open?id=1I4B6mE9VpvAIn1Q-XeZWOaEjjW0GOKP-" TargetMode="External"/><Relationship Id="rId324" Type="http://schemas.openxmlformats.org/officeDocument/2006/relationships/hyperlink" Target="https://drive.google.com/open?id=1eFIwaGu9S8-8ftHMjOtjMPq7GRVQ2B-M" TargetMode="External"/><Relationship Id="rId531" Type="http://schemas.openxmlformats.org/officeDocument/2006/relationships/hyperlink" Target="https://drive.google.com/open?id=1jug9FENALIgN5iQ8zINAAGbfBrZJ6aGX" TargetMode="External"/><Relationship Id="rId629" Type="http://schemas.openxmlformats.org/officeDocument/2006/relationships/hyperlink" Target="https://drive.google.com/open?id=1Uprz4T2wPQb2P1bWmok5v9kSJf511TdS" TargetMode="External"/><Relationship Id="rId170" Type="http://schemas.openxmlformats.org/officeDocument/2006/relationships/hyperlink" Target="https://drive.google.com/open?id=1FL6WOCzxpBEx6L69CHlp3E-EBXrbKUcZ" TargetMode="External"/><Relationship Id="rId836" Type="http://schemas.openxmlformats.org/officeDocument/2006/relationships/hyperlink" Target="https://drive.google.com/open?id=1aMXuHy9_3LKrY_cPWzfz_CTc589hjSxb" TargetMode="External"/><Relationship Id="rId268" Type="http://schemas.openxmlformats.org/officeDocument/2006/relationships/hyperlink" Target="https://drive.google.com/open?id=1qfbajAAzpp4HH-lOD3dFIiWNvKlPh5-7" TargetMode="External"/><Relationship Id="rId475" Type="http://schemas.openxmlformats.org/officeDocument/2006/relationships/hyperlink" Target="https://drive.google.com/open?id=1oz5yLX3Ojm7yuY4W5H9fseBeMl0l_LQi" TargetMode="External"/><Relationship Id="rId682" Type="http://schemas.openxmlformats.org/officeDocument/2006/relationships/hyperlink" Target="https://drive.google.com/open?id=1jHOq0iScSTE938wkVYYUdo9myyihSUml" TargetMode="External"/><Relationship Id="rId903" Type="http://schemas.openxmlformats.org/officeDocument/2006/relationships/hyperlink" Target="https://drive.google.com/open?id=1TCr0fxa8ZOGdTpiLjSmv6ULemkBd-Nh_" TargetMode="External"/><Relationship Id="rId32" Type="http://schemas.openxmlformats.org/officeDocument/2006/relationships/hyperlink" Target="https://drive.google.com/open?id=1-f7955OG0uaumVr8w7khA3GOTTXXexJc" TargetMode="External"/><Relationship Id="rId128" Type="http://schemas.openxmlformats.org/officeDocument/2006/relationships/hyperlink" Target="https://drive.google.com/open?id=1SZgYawic6ki5uWNtKceHnL3Q84GyKLJG" TargetMode="External"/><Relationship Id="rId335" Type="http://schemas.openxmlformats.org/officeDocument/2006/relationships/hyperlink" Target="https://drive.google.com/open?id=1aGJZx374CR8nQjFBT7h1qfvSNKsqEDn0" TargetMode="External"/><Relationship Id="rId542" Type="http://schemas.openxmlformats.org/officeDocument/2006/relationships/hyperlink" Target="https://drive.google.com/open?id=12p_EM8p320QZRS6_HKwgAVM7Zw6z0pty" TargetMode="External"/><Relationship Id="rId987" Type="http://schemas.openxmlformats.org/officeDocument/2006/relationships/hyperlink" Target="https://drive.google.com/open?id=1Cvq8Qndns54B-8SNTllIOkYIMeUM2T3f" TargetMode="External"/><Relationship Id="rId181" Type="http://schemas.openxmlformats.org/officeDocument/2006/relationships/hyperlink" Target="https://drive.google.com/open?id=1KAj8slaG8HzsnAsKKwoaOPvAhGqb4KL7" TargetMode="External"/><Relationship Id="rId402" Type="http://schemas.openxmlformats.org/officeDocument/2006/relationships/hyperlink" Target="https://drive.google.com/open?id=1ixB_iSZ5r1GIRXpHAFvAFdlZQ0FSR9TW" TargetMode="External"/><Relationship Id="rId847" Type="http://schemas.openxmlformats.org/officeDocument/2006/relationships/hyperlink" Target="https://drive.google.com/open?id=1qiZlXmRb_XnqH8FB6ChIgzgFTZKg33j2" TargetMode="External"/><Relationship Id="rId279" Type="http://schemas.openxmlformats.org/officeDocument/2006/relationships/hyperlink" Target="https://drive.google.com/open?id=1GCcV46IcnSGRFJQasnH-L8H1Cp0NTNsb" TargetMode="External"/><Relationship Id="rId486" Type="http://schemas.openxmlformats.org/officeDocument/2006/relationships/hyperlink" Target="https://drive.google.com/open?id=1G03WTeiTwJuHPNBAi7gwvkSmXVu32VBu" TargetMode="External"/><Relationship Id="rId693" Type="http://schemas.openxmlformats.org/officeDocument/2006/relationships/hyperlink" Target="https://drive.google.com/open?id=1_eH-LEtjfI4Qqz3yYTfI6sEfAjJGgayw" TargetMode="External"/><Relationship Id="rId707" Type="http://schemas.openxmlformats.org/officeDocument/2006/relationships/hyperlink" Target="https://drive.google.com/open?id=1d2Vv0dTs14ImzIjbmPpg4Vu17Ll902e8" TargetMode="External"/><Relationship Id="rId914" Type="http://schemas.openxmlformats.org/officeDocument/2006/relationships/hyperlink" Target="https://drive.google.com/open?id=1og1ojyk8rX3eKR2lB_E4rVbwwwl6Xnm4" TargetMode="External"/><Relationship Id="rId43" Type="http://schemas.openxmlformats.org/officeDocument/2006/relationships/hyperlink" Target="https://drive.google.com/open?id=1w_iJKC_zWZ2qf5ahUQ4E57MkoIphorsf" TargetMode="External"/><Relationship Id="rId139" Type="http://schemas.openxmlformats.org/officeDocument/2006/relationships/hyperlink" Target="https://drive.google.com/open?id=1X05iDPwfMC3AFYYygVQ7gcTKjNZhgQPM" TargetMode="External"/><Relationship Id="rId346" Type="http://schemas.openxmlformats.org/officeDocument/2006/relationships/hyperlink" Target="https://drive.google.com/open?id=172726aiYZVzEZetPX4-5QZdS8VTyQQqn" TargetMode="External"/><Relationship Id="rId553" Type="http://schemas.openxmlformats.org/officeDocument/2006/relationships/hyperlink" Target="https://drive.google.com/open?id=1cfa4sZtNLuRC9Yt2dqywt4oga507rkH3" TargetMode="External"/><Relationship Id="rId760" Type="http://schemas.openxmlformats.org/officeDocument/2006/relationships/hyperlink" Target="https://drive.google.com/open?id=1jH-4iRv1V5oYCYXVQ-8jWZsmjHUq8S7s" TargetMode="External"/><Relationship Id="rId998" Type="http://schemas.openxmlformats.org/officeDocument/2006/relationships/hyperlink" Target="https://drive.google.com/open?id=11VX_IZDtcWQbkkYrnbvifQ9nHEDsyeVk" TargetMode="External"/><Relationship Id="rId192" Type="http://schemas.openxmlformats.org/officeDocument/2006/relationships/hyperlink" Target="https://drive.google.com/open?id=1uRgvtMKxTCJxXxAYngEbZMTJeGPd1HNf" TargetMode="External"/><Relationship Id="rId206" Type="http://schemas.openxmlformats.org/officeDocument/2006/relationships/hyperlink" Target="https://drive.google.com/open?id=1KRuuooH5NgG7CDvObfZgcghv_-s1mWNl" TargetMode="External"/><Relationship Id="rId413" Type="http://schemas.openxmlformats.org/officeDocument/2006/relationships/hyperlink" Target="https://drive.google.com/open?id=1SI2uNgUceYtySNnFexE2VTX3zBI232TT" TargetMode="External"/><Relationship Id="rId858" Type="http://schemas.openxmlformats.org/officeDocument/2006/relationships/hyperlink" Target="https://drive.google.com/open?id=1SotrpoGK7L3kK8kZmPkR9NtoNX8SAbCn" TargetMode="External"/><Relationship Id="rId497" Type="http://schemas.openxmlformats.org/officeDocument/2006/relationships/hyperlink" Target="https://drive.google.com/open?id=1kNNdNjrUPmhZ4ukfvkHUkblxBTSiO2x2" TargetMode="External"/><Relationship Id="rId620" Type="http://schemas.openxmlformats.org/officeDocument/2006/relationships/hyperlink" Target="https://drive.google.com/open?id=1Yk8xRJmbKzRQNl6JQwxt6rp0VGYsJT2g" TargetMode="External"/><Relationship Id="rId718" Type="http://schemas.openxmlformats.org/officeDocument/2006/relationships/hyperlink" Target="https://drive.google.com/open?id=1T5LDJRletG5BSEVVvk3zIvpdRfBDOO8E" TargetMode="External"/><Relationship Id="rId925" Type="http://schemas.openxmlformats.org/officeDocument/2006/relationships/hyperlink" Target="https://drive.google.com/open?id=11QS9tEEtFjkl7cVo8fa-fifbfKC9r8TG" TargetMode="External"/><Relationship Id="rId357" Type="http://schemas.openxmlformats.org/officeDocument/2006/relationships/hyperlink" Target="https://drive.google.com/open?id=1MyZ611kd_FFQ5a6MRAkDgYFHfmQdA3K2" TargetMode="External"/><Relationship Id="rId54" Type="http://schemas.openxmlformats.org/officeDocument/2006/relationships/hyperlink" Target="https://drive.google.com/open?id=1o79MAgYGHtyUrEVorBEnYoHP5IbNa7u6" TargetMode="External"/><Relationship Id="rId217" Type="http://schemas.openxmlformats.org/officeDocument/2006/relationships/hyperlink" Target="https://drive.google.com/open?id=1Wfewjwv5dorg7QGZ4Tk_k7j-6Yi7r_0P" TargetMode="External"/><Relationship Id="rId564" Type="http://schemas.openxmlformats.org/officeDocument/2006/relationships/hyperlink" Target="https://drive.google.com/open?id=1i9KPTcr6XuOpl5kiX9xdXjzV5okAcHUH" TargetMode="External"/><Relationship Id="rId771" Type="http://schemas.openxmlformats.org/officeDocument/2006/relationships/hyperlink" Target="https://drive.google.com/open?id=14BiaEaZjwkgoriyKVhQ2Z18_bbezT_rn" TargetMode="External"/><Relationship Id="rId869" Type="http://schemas.openxmlformats.org/officeDocument/2006/relationships/hyperlink" Target="https://drive.google.com/open?id=1wbcQqy10NOlo0ItEqKma-xrlCKYYnvP9" TargetMode="External"/><Relationship Id="rId424" Type="http://schemas.openxmlformats.org/officeDocument/2006/relationships/hyperlink" Target="https://drive.google.com/open?id=1hY3l_pkG7EKaSFGgUGle8f-7EukmVKGM" TargetMode="External"/><Relationship Id="rId631" Type="http://schemas.openxmlformats.org/officeDocument/2006/relationships/hyperlink" Target="https://drive.google.com/open?id=1yIYbpOJE19GDOL76BLUmnPPkKvxCHawR" TargetMode="External"/><Relationship Id="rId729" Type="http://schemas.openxmlformats.org/officeDocument/2006/relationships/hyperlink" Target="https://drive.google.com/open?id=1joU_mmnAmvfnqCqinmHRwnQX_DLA9lXF" TargetMode="External"/><Relationship Id="rId270" Type="http://schemas.openxmlformats.org/officeDocument/2006/relationships/hyperlink" Target="https://drive.google.com/open?id=1Zf_Sw7cLvlhLj9cqFl88_O5zKDyxgB8c" TargetMode="External"/><Relationship Id="rId936" Type="http://schemas.openxmlformats.org/officeDocument/2006/relationships/hyperlink" Target="https://drive.google.com/open?id=1DPiH5CYAX_C3p5_AQUkX-T2mhgjmpPNc" TargetMode="External"/><Relationship Id="rId65" Type="http://schemas.openxmlformats.org/officeDocument/2006/relationships/hyperlink" Target="https://drive.google.com/open?id=1Xdyi31juGN1FUxaYchsMhuYc1pOsbANN" TargetMode="External"/><Relationship Id="rId130" Type="http://schemas.openxmlformats.org/officeDocument/2006/relationships/hyperlink" Target="https://drive.google.com/open?id=1cFIMjaaXCyJE4td5zg6Gqpc8FTTa2Kqi" TargetMode="External"/><Relationship Id="rId368" Type="http://schemas.openxmlformats.org/officeDocument/2006/relationships/hyperlink" Target="https://drive.google.com/open?id=1VjImCWPAvalpSEYwTd2mz3kOwpHx3r4k" TargetMode="External"/><Relationship Id="rId575" Type="http://schemas.openxmlformats.org/officeDocument/2006/relationships/hyperlink" Target="https://drive.google.com/open?id=1rXQ2ZzDjMs_Bdul_mduKDBfoz-GaFmxi" TargetMode="External"/><Relationship Id="rId782" Type="http://schemas.openxmlformats.org/officeDocument/2006/relationships/hyperlink" Target="https://drive.google.com/open?id=1I2eXzyjCJOS35_PldKFgnc1Mbp7exNDd" TargetMode="External"/><Relationship Id="rId228" Type="http://schemas.openxmlformats.org/officeDocument/2006/relationships/hyperlink" Target="https://drive.google.com/open?id=1XCN0fNt7SznnZEHFpesRBlMJyQm_8qM3" TargetMode="External"/><Relationship Id="rId435" Type="http://schemas.openxmlformats.org/officeDocument/2006/relationships/hyperlink" Target="https://drive.google.com/open?id=1TCFKHYnfXfmDOw7-pTDm6nNaNDc1pmH0" TargetMode="External"/><Relationship Id="rId642" Type="http://schemas.openxmlformats.org/officeDocument/2006/relationships/hyperlink" Target="https://drive.google.com/open?id=19_mzkFa1_x4l70nhcQtabtyluuF-tyEA" TargetMode="External"/><Relationship Id="rId281" Type="http://schemas.openxmlformats.org/officeDocument/2006/relationships/hyperlink" Target="https://drive.google.com/open?id=1cHsnvZE1M-9tUNAe7hQ-NNhsjp2WXy8j" TargetMode="External"/><Relationship Id="rId502" Type="http://schemas.openxmlformats.org/officeDocument/2006/relationships/hyperlink" Target="https://drive.google.com/open?id=1IBJ823PfzING6dTVRhz1tidYyHNWEkp6" TargetMode="External"/><Relationship Id="rId947" Type="http://schemas.openxmlformats.org/officeDocument/2006/relationships/hyperlink" Target="https://drive.google.com/open?id=1-sWAM2mog_Q6rfN1wuyQQoB-RXIShsdy" TargetMode="External"/><Relationship Id="rId76" Type="http://schemas.openxmlformats.org/officeDocument/2006/relationships/hyperlink" Target="https://drive.google.com/open?id=1YioKpiUWwiycyK5iUcNZLrHtR1UPDiPA" TargetMode="External"/><Relationship Id="rId141" Type="http://schemas.openxmlformats.org/officeDocument/2006/relationships/hyperlink" Target="https://drive.google.com/open?id=1-hbOErrCabJ47g1FG2rLXNaJqipNb7ix" TargetMode="External"/><Relationship Id="rId379" Type="http://schemas.openxmlformats.org/officeDocument/2006/relationships/hyperlink" Target="https://drive.google.com/open?id=1l7v1vllPoqE_YgD255eTAqpjB2RSql8b" TargetMode="External"/><Relationship Id="rId586" Type="http://schemas.openxmlformats.org/officeDocument/2006/relationships/hyperlink" Target="https://drive.google.com/open?id=1SYDcyMjRrhH6hlnHVFF0iKd8ERDDmHeW" TargetMode="External"/><Relationship Id="rId793" Type="http://schemas.openxmlformats.org/officeDocument/2006/relationships/hyperlink" Target="https://drive.google.com/open?id=1O1-fuTVOR9uMrOYVAAH-m1K5E2XGalZd" TargetMode="External"/><Relationship Id="rId807" Type="http://schemas.openxmlformats.org/officeDocument/2006/relationships/hyperlink" Target="https://drive.google.com/open?id=1YWWP5AtMxYuBEskuXJ9mff0MJTL8ByN5" TargetMode="External"/><Relationship Id="rId7" Type="http://schemas.openxmlformats.org/officeDocument/2006/relationships/hyperlink" Target="https://drive.google.com/open?id=1wqYUSFnUT-TLos4LwY1y68XdXl5nviPe" TargetMode="External"/><Relationship Id="rId239" Type="http://schemas.openxmlformats.org/officeDocument/2006/relationships/hyperlink" Target="https://drive.google.com/open?id=1AMhJyFGCBqnLsVsLbGB-CgI2qahDRSqd" TargetMode="External"/><Relationship Id="rId446" Type="http://schemas.openxmlformats.org/officeDocument/2006/relationships/hyperlink" Target="https://drive.google.com/open?id=1l2w_IVv39Pj4TKBU-EPRUQpGFWNrK9P_" TargetMode="External"/><Relationship Id="rId653" Type="http://schemas.openxmlformats.org/officeDocument/2006/relationships/hyperlink" Target="https://drive.google.com/open?id=1gZ37z0L--mUyMYoXIF0ByCHNBklQmHv2" TargetMode="External"/><Relationship Id="rId292" Type="http://schemas.openxmlformats.org/officeDocument/2006/relationships/hyperlink" Target="https://drive.google.com/open?id=1Q6lEakcMqN-PjJTWVbuSS9xe-kAfDZyV" TargetMode="External"/><Relationship Id="rId306" Type="http://schemas.openxmlformats.org/officeDocument/2006/relationships/hyperlink" Target="https://drive.google.com/open?id=1DX05ObKYvM7TqZHLnsrQJvy0ICywTl4x" TargetMode="External"/><Relationship Id="rId860" Type="http://schemas.openxmlformats.org/officeDocument/2006/relationships/hyperlink" Target="https://drive.google.com/open?id=1-s8XzlPsJP6KtrCmLmVnqn7xci3_mLA4" TargetMode="External"/><Relationship Id="rId958" Type="http://schemas.openxmlformats.org/officeDocument/2006/relationships/hyperlink" Target="https://drive.google.com/open?id=1x6yApBv0mUxQpOZN9W5mNcMpUztVB0sU" TargetMode="External"/><Relationship Id="rId87" Type="http://schemas.openxmlformats.org/officeDocument/2006/relationships/hyperlink" Target="https://drive.google.com/open?id=1dGpOQvV_A6HeF6omrsMugzOVUq-UocFy" TargetMode="External"/><Relationship Id="rId513" Type="http://schemas.openxmlformats.org/officeDocument/2006/relationships/hyperlink" Target="https://drive.google.com/open?id=1DuBwxJOii_ExN1RGDFTJormpqycm6Sr7" TargetMode="External"/><Relationship Id="rId597" Type="http://schemas.openxmlformats.org/officeDocument/2006/relationships/hyperlink" Target="https://drive.google.com/open?id=1w0jQaF4uOtWOV2eUYWqv9B1Df6g3swUd" TargetMode="External"/><Relationship Id="rId720" Type="http://schemas.openxmlformats.org/officeDocument/2006/relationships/hyperlink" Target="https://drive.google.com/open?id=1I-VXz-xeJNYiL8u-5bUyeY0erbtLbT1k" TargetMode="External"/><Relationship Id="rId818" Type="http://schemas.openxmlformats.org/officeDocument/2006/relationships/hyperlink" Target="https://drive.google.com/open?id=1gV52EGYyxw5K9sa_PC48YtMM4OzWq-Kf" TargetMode="External"/><Relationship Id="rId152" Type="http://schemas.openxmlformats.org/officeDocument/2006/relationships/hyperlink" Target="https://drive.google.com/open?id=1YciWGkdOft5x-Wdwl6z0metNX15BmroF" TargetMode="External"/><Relationship Id="rId457" Type="http://schemas.openxmlformats.org/officeDocument/2006/relationships/hyperlink" Target="https://drive.google.com/open?id=1ECJBM0WWxnn2xWhAZvE2mx70jWSgAsvk" TargetMode="External"/><Relationship Id="rId664" Type="http://schemas.openxmlformats.org/officeDocument/2006/relationships/hyperlink" Target="https://drive.google.com/open?id=1Z9o9mEhE2522bIZ1pFUxz3BAH67c7wnz" TargetMode="External"/><Relationship Id="rId871" Type="http://schemas.openxmlformats.org/officeDocument/2006/relationships/hyperlink" Target="https://drive.google.com/open?id=1r0TFuAvIQ6LBWUt0P-gXLeThXTMOwfu8" TargetMode="External"/><Relationship Id="rId969" Type="http://schemas.openxmlformats.org/officeDocument/2006/relationships/hyperlink" Target="https://drive.google.com/open?id=1U7FwGbjOTs9AHY205ydkOLjJ4XdVoNpd" TargetMode="External"/><Relationship Id="rId14" Type="http://schemas.openxmlformats.org/officeDocument/2006/relationships/hyperlink" Target="https://drive.google.com/open?id=1Dg8cSzPgDQgSBLDMUXjV9_u8lRSUqPJ6" TargetMode="External"/><Relationship Id="rId317" Type="http://schemas.openxmlformats.org/officeDocument/2006/relationships/hyperlink" Target="https://drive.google.com/open?id=1Y-dc1hxtFs1Vm7XO5aWiorKNbCIwPds2" TargetMode="External"/><Relationship Id="rId524" Type="http://schemas.openxmlformats.org/officeDocument/2006/relationships/hyperlink" Target="https://drive.google.com/open?id=15hQGiB3xcy2jyHhcuaeP3G9YhSSI52Lw" TargetMode="External"/><Relationship Id="rId731" Type="http://schemas.openxmlformats.org/officeDocument/2006/relationships/hyperlink" Target="https://drive.google.com/open?id=1hKSG6ThcJRGMBZCB3YHERcOxTEbMtSex" TargetMode="External"/><Relationship Id="rId98" Type="http://schemas.openxmlformats.org/officeDocument/2006/relationships/hyperlink" Target="https://drive.google.com/open?id=1Zs94G6XMRD8ed-Q0H2Nztr3Q9jFDYK3N" TargetMode="External"/><Relationship Id="rId163" Type="http://schemas.openxmlformats.org/officeDocument/2006/relationships/hyperlink" Target="https://drive.google.com/open?id=1pXm69yixAtlnnYXjAdklQ-9jbBjP_J7q" TargetMode="External"/><Relationship Id="rId370" Type="http://schemas.openxmlformats.org/officeDocument/2006/relationships/hyperlink" Target="https://drive.google.com/open?id=15vPFn7HW_Mb18hRfCloRz9MAOvgRRPZ5" TargetMode="External"/><Relationship Id="rId829" Type="http://schemas.openxmlformats.org/officeDocument/2006/relationships/hyperlink" Target="https://drive.google.com/open?id=1IMmUVypFjyd2hp7rijdOAsvrcPiCYH5R" TargetMode="External"/><Relationship Id="rId230" Type="http://schemas.openxmlformats.org/officeDocument/2006/relationships/hyperlink" Target="https://drive.google.com/open?id=1jzUZs3Zgl1ZXeB3gQlb2fVJqrXJxITuC" TargetMode="External"/><Relationship Id="rId468" Type="http://schemas.openxmlformats.org/officeDocument/2006/relationships/hyperlink" Target="https://drive.google.com/open?id=1tVtH7Enef6QakuRtwOoYY9TXWxSNIoKV" TargetMode="External"/><Relationship Id="rId675" Type="http://schemas.openxmlformats.org/officeDocument/2006/relationships/hyperlink" Target="https://drive.google.com/open?id=1DBcy-1KUnOyGJwSA6NYyY8nKwWb6J3oZ" TargetMode="External"/><Relationship Id="rId882" Type="http://schemas.openxmlformats.org/officeDocument/2006/relationships/hyperlink" Target="https://drive.google.com/open?id=1m2Hl3ojJ8zBugOkLlA_54NkkdG-lyBQG" TargetMode="External"/><Relationship Id="rId25" Type="http://schemas.openxmlformats.org/officeDocument/2006/relationships/hyperlink" Target="https://drive.google.com/open?id=1OB8HtjgnhJNEOJzgxVtkMj5G99Qs73W7" TargetMode="External"/><Relationship Id="rId328" Type="http://schemas.openxmlformats.org/officeDocument/2006/relationships/hyperlink" Target="https://drive.google.com/open?id=1biHbCAv1pP6lpNDX_cCT3C2lQs3j7SGD" TargetMode="External"/><Relationship Id="rId535" Type="http://schemas.openxmlformats.org/officeDocument/2006/relationships/hyperlink" Target="https://drive.google.com/open?id=1CV8Xtl-4wpSlmGhd1erSX1dAijJ6LdtH" TargetMode="External"/><Relationship Id="rId742" Type="http://schemas.openxmlformats.org/officeDocument/2006/relationships/hyperlink" Target="https://drive.google.com/open?id=1lUvcN8wG7gJsAjSqwis22bRNw83KzNOT" TargetMode="External"/><Relationship Id="rId174" Type="http://schemas.openxmlformats.org/officeDocument/2006/relationships/hyperlink" Target="https://drive.google.com/open?id=1ZT53ENWi0Kv8ITw_Mj3K5SaM-a7SB613" TargetMode="External"/><Relationship Id="rId381" Type="http://schemas.openxmlformats.org/officeDocument/2006/relationships/hyperlink" Target="https://drive.google.com/open?id=1fN2GB1Ypcja3ZA2km0oAJ51orh2W_1ZX" TargetMode="External"/><Relationship Id="rId602" Type="http://schemas.openxmlformats.org/officeDocument/2006/relationships/hyperlink" Target="https://drive.google.com/open?id=1Xc43CXHmEUzm4t4ePHO-RvGZo4u3BLDm" TargetMode="External"/><Relationship Id="rId241" Type="http://schemas.openxmlformats.org/officeDocument/2006/relationships/hyperlink" Target="https://drive.google.com/open?id=1cVNmUdpeIy8OxqHhTe8btNDEctm8AFXh" TargetMode="External"/><Relationship Id="rId479" Type="http://schemas.openxmlformats.org/officeDocument/2006/relationships/hyperlink" Target="https://drive.google.com/open?id=1UDpleaRGMtac9sr3vPac--sm0nIlkaY2" TargetMode="External"/><Relationship Id="rId686" Type="http://schemas.openxmlformats.org/officeDocument/2006/relationships/hyperlink" Target="https://drive.google.com/open?id=12t51mNz9EUID0kTFIsh-kxiqTAQ_NV3q" TargetMode="External"/><Relationship Id="rId893" Type="http://schemas.openxmlformats.org/officeDocument/2006/relationships/hyperlink" Target="https://drive.google.com/open?id=1L4cmLM-KBGXcdwX08dMCuusxHYg2ZQJi" TargetMode="External"/><Relationship Id="rId907" Type="http://schemas.openxmlformats.org/officeDocument/2006/relationships/hyperlink" Target="https://drive.google.com/open?id=1-PNOGkgpZtN1J1yS2PVHFKcq4lyKxF9y" TargetMode="External"/><Relationship Id="rId36" Type="http://schemas.openxmlformats.org/officeDocument/2006/relationships/hyperlink" Target="https://drive.google.com/open?id=12ACsP5IqVOsyNaLhds7oKARdkimeeH7J" TargetMode="External"/><Relationship Id="rId339" Type="http://schemas.openxmlformats.org/officeDocument/2006/relationships/hyperlink" Target="https://drive.google.com/open?id=1C4-hcyW8SFJWQjFJQ8QtEDah4oxlu82d" TargetMode="External"/><Relationship Id="rId546" Type="http://schemas.openxmlformats.org/officeDocument/2006/relationships/hyperlink" Target="https://drive.google.com/open?id=1bXLHY3pcLOEG0AaxmR1RaP5HIeO4zCsC" TargetMode="External"/><Relationship Id="rId753" Type="http://schemas.openxmlformats.org/officeDocument/2006/relationships/hyperlink" Target="https://drive.google.com/open?id=1naPkBNnZcV2Wnzuqo3AtC_w8IWVX68hp" TargetMode="External"/><Relationship Id="rId101" Type="http://schemas.openxmlformats.org/officeDocument/2006/relationships/hyperlink" Target="https://drive.google.com/open?id=1AHKZslYPw0xjl_QIqQBjdQ_RcN0U7z6J" TargetMode="External"/><Relationship Id="rId185" Type="http://schemas.openxmlformats.org/officeDocument/2006/relationships/hyperlink" Target="https://drive.google.com/open?id=1w1xj0oPYYt7WNvhyLKol3v9RLPNF5LDm" TargetMode="External"/><Relationship Id="rId406" Type="http://schemas.openxmlformats.org/officeDocument/2006/relationships/hyperlink" Target="https://drive.google.com/open?id=13y3QdHvZFhEK_z9rXEDddUOJ5KlwnGwF" TargetMode="External"/><Relationship Id="rId960" Type="http://schemas.openxmlformats.org/officeDocument/2006/relationships/hyperlink" Target="https://drive.google.com/open?id=1JSI18jPLuzLIETTDCVFSqrjArc8SUnVm" TargetMode="External"/><Relationship Id="rId392" Type="http://schemas.openxmlformats.org/officeDocument/2006/relationships/hyperlink" Target="https://drive.google.com/open?id=1whswN1zDOH9cMHSIDqLCPC42FTRb8QxA" TargetMode="External"/><Relationship Id="rId613" Type="http://schemas.openxmlformats.org/officeDocument/2006/relationships/hyperlink" Target="https://drive.google.com/open?id=1FEovxm8mpMUrghvjzNshFaHhVoyQa-J1" TargetMode="External"/><Relationship Id="rId697" Type="http://schemas.openxmlformats.org/officeDocument/2006/relationships/hyperlink" Target="https://drive.google.com/open?id=156ATPjlktc3YUC9BgYewB6DEcN_kPtK8" TargetMode="External"/><Relationship Id="rId820" Type="http://schemas.openxmlformats.org/officeDocument/2006/relationships/hyperlink" Target="https://drive.google.com/open?id=11qM-PzAalNbChSc0C2egwtTliPVuS1P0" TargetMode="External"/><Relationship Id="rId918" Type="http://schemas.openxmlformats.org/officeDocument/2006/relationships/hyperlink" Target="https://drive.google.com/open?id=1XRNuogJlnxNTmZ0LkoIoEzoHwy_NrTMu" TargetMode="External"/><Relationship Id="rId252" Type="http://schemas.openxmlformats.org/officeDocument/2006/relationships/hyperlink" Target="https://drive.google.com/open?id=1pdigEqYuqP1Y7WzFbXvMnFgB2VhlcwEx" TargetMode="External"/><Relationship Id="rId47" Type="http://schemas.openxmlformats.org/officeDocument/2006/relationships/hyperlink" Target="https://drive.google.com/open?id=1j_XARqxjjPzZOYorBk_foeNERyZZuDqf" TargetMode="External"/><Relationship Id="rId112" Type="http://schemas.openxmlformats.org/officeDocument/2006/relationships/hyperlink" Target="https://drive.google.com/open?id=1YZ5bDcH79zUpZSUp5ueHt1WuVfkTDwxd" TargetMode="External"/><Relationship Id="rId557" Type="http://schemas.openxmlformats.org/officeDocument/2006/relationships/hyperlink" Target="https://drive.google.com/open?id=1M9n80mFku8-dTBmKy1UKiseGmQJsAQxG" TargetMode="External"/><Relationship Id="rId764" Type="http://schemas.openxmlformats.org/officeDocument/2006/relationships/hyperlink" Target="https://drive.google.com/open?id=1jNDReZqReD8P3lB_tpwD136JXqF4e7SM" TargetMode="External"/><Relationship Id="rId971" Type="http://schemas.openxmlformats.org/officeDocument/2006/relationships/hyperlink" Target="https://drive.google.com/open?id=1pzm8IDmaJKKx1O0q4XiyNCTNLVGZ_0t_" TargetMode="External"/><Relationship Id="rId196" Type="http://schemas.openxmlformats.org/officeDocument/2006/relationships/hyperlink" Target="https://drive.google.com/open?id=1WfM0Hs-imKhtaR-y139kwmy_3zEMO0v1" TargetMode="External"/><Relationship Id="rId417" Type="http://schemas.openxmlformats.org/officeDocument/2006/relationships/hyperlink" Target="https://drive.google.com/open?id=1sHOr68hRf9vpK9BVg4a4jDbbvJ2P5ALs" TargetMode="External"/><Relationship Id="rId624" Type="http://schemas.openxmlformats.org/officeDocument/2006/relationships/hyperlink" Target="https://drive.google.com/open?id=1U0KyyOrE3SkwDBfgO8UrBtm9-x-UOOuI" TargetMode="External"/><Relationship Id="rId831" Type="http://schemas.openxmlformats.org/officeDocument/2006/relationships/hyperlink" Target="https://drive.google.com/open?id=1kz5724htosXA3Wkx8xfa7mgRI526XL5y" TargetMode="External"/><Relationship Id="rId263" Type="http://schemas.openxmlformats.org/officeDocument/2006/relationships/hyperlink" Target="https://drive.google.com/open?id=1oK5NbaB9x0GMMHKye2kQiWcmaHFUzl9N" TargetMode="External"/><Relationship Id="rId470" Type="http://schemas.openxmlformats.org/officeDocument/2006/relationships/hyperlink" Target="https://drive.google.com/open?id=1w0bXeWyIYCLIHvgE3J29LN4Qhyc3haWQ" TargetMode="External"/><Relationship Id="rId929" Type="http://schemas.openxmlformats.org/officeDocument/2006/relationships/hyperlink" Target="https://drive.google.com/open?id=1efLm0D-qvclsTW4in_dyhv_Yks_nTOfr" TargetMode="External"/><Relationship Id="rId58" Type="http://schemas.openxmlformats.org/officeDocument/2006/relationships/hyperlink" Target="https://drive.google.com/open?id=13bmfQD2ACPir59SNxdS7d3rd_b7BEhiL" TargetMode="External"/><Relationship Id="rId123" Type="http://schemas.openxmlformats.org/officeDocument/2006/relationships/hyperlink" Target="https://drive.google.com/open?id=1v7sUKJDmGpWx1CNXHR0tHhcEgmLy2bwV" TargetMode="External"/><Relationship Id="rId330" Type="http://schemas.openxmlformats.org/officeDocument/2006/relationships/hyperlink" Target="https://drive.google.com/open?id=1EVFOmfI_puzPf0S1annrI6reTwNIjRrG" TargetMode="External"/><Relationship Id="rId568" Type="http://schemas.openxmlformats.org/officeDocument/2006/relationships/hyperlink" Target="https://drive.google.com/open?id=12V_c3XIVsFt__xVIBY2_kjvXRtt1CY52" TargetMode="External"/><Relationship Id="rId775" Type="http://schemas.openxmlformats.org/officeDocument/2006/relationships/hyperlink" Target="https://drive.google.com/open?id=1XtDUadLSyHWPHWaJ6-pwzL8ny29hnvvy" TargetMode="External"/><Relationship Id="rId982" Type="http://schemas.openxmlformats.org/officeDocument/2006/relationships/hyperlink" Target="https://drive.google.com/open?id=1YTL67MODeAJvADGeT5K5C-X1DrcISN2u" TargetMode="External"/><Relationship Id="rId428" Type="http://schemas.openxmlformats.org/officeDocument/2006/relationships/hyperlink" Target="https://drive.google.com/open?id=1qHXlUza9B4y6lrGoq4j3T3lsjiZASCj7" TargetMode="External"/><Relationship Id="rId635" Type="http://schemas.openxmlformats.org/officeDocument/2006/relationships/hyperlink" Target="https://drive.google.com/open?id=1Ga7XFWtsKv97LltAAQHXUtAcpG5lkkUv" TargetMode="External"/><Relationship Id="rId842" Type="http://schemas.openxmlformats.org/officeDocument/2006/relationships/hyperlink" Target="https://drive.google.com/open?id=1LEjCDAyAJSuYlXiG-GcWl77_cJ1jTfVo" TargetMode="External"/><Relationship Id="rId274" Type="http://schemas.openxmlformats.org/officeDocument/2006/relationships/hyperlink" Target="https://drive.google.com/open?id=1i3arKquQ5B4XCKSQYJW2fiUJ923hYv_Z" TargetMode="External"/><Relationship Id="rId481" Type="http://schemas.openxmlformats.org/officeDocument/2006/relationships/hyperlink" Target="https://drive.google.com/open?id=1YkEEpN4fo7X4hPipsdTHeKV4rCtWdXUr" TargetMode="External"/><Relationship Id="rId702" Type="http://schemas.openxmlformats.org/officeDocument/2006/relationships/hyperlink" Target="https://drive.google.com/open?id=1nNTHxGOxDtcOb-e_LGo7GE-PEwkR1LwB" TargetMode="External"/><Relationship Id="rId69" Type="http://schemas.openxmlformats.org/officeDocument/2006/relationships/hyperlink" Target="https://drive.google.com/open?id=1dZHqN4ZitjysKuzofaNLcnGf02g3KmY6" TargetMode="External"/><Relationship Id="rId134" Type="http://schemas.openxmlformats.org/officeDocument/2006/relationships/hyperlink" Target="https://drive.google.com/open?id=1cuv2ueX-7wnyOetD6Gn1PH3K3y3pn1y6" TargetMode="External"/><Relationship Id="rId579" Type="http://schemas.openxmlformats.org/officeDocument/2006/relationships/hyperlink" Target="https://drive.google.com/open?id=1OrSu4zR7VD3paJu-GhzSCWLyBp3nrJvx" TargetMode="External"/><Relationship Id="rId786" Type="http://schemas.openxmlformats.org/officeDocument/2006/relationships/hyperlink" Target="https://drive.google.com/open?id=1ZgoobAS9P7PUCTkV67xpS1FCcpvWPzeP" TargetMode="External"/><Relationship Id="rId993" Type="http://schemas.openxmlformats.org/officeDocument/2006/relationships/hyperlink" Target="https://drive.google.com/open?id=1qO1sqkES7c4QgqPgt_Han93oAFhB5oLo" TargetMode="External"/><Relationship Id="rId341" Type="http://schemas.openxmlformats.org/officeDocument/2006/relationships/hyperlink" Target="https://drive.google.com/open?id=12YWtyM1cTgRgyjVgwstFXYmxr5rUDNxX" TargetMode="External"/><Relationship Id="rId439" Type="http://schemas.openxmlformats.org/officeDocument/2006/relationships/hyperlink" Target="https://drive.google.com/open?id=1i54LP8qkhCqk9K_7BPBUa7YjGIDMWlWd" TargetMode="External"/><Relationship Id="rId646" Type="http://schemas.openxmlformats.org/officeDocument/2006/relationships/hyperlink" Target="https://drive.google.com/open?id=1YsDm1zPagLRN5CPkJiAxo6fojTn6rZvC" TargetMode="External"/><Relationship Id="rId201" Type="http://schemas.openxmlformats.org/officeDocument/2006/relationships/hyperlink" Target="https://drive.google.com/open?id=1rZcllbw3PY9ljXG2gr2yMPO-EZP60cjp" TargetMode="External"/><Relationship Id="rId285" Type="http://schemas.openxmlformats.org/officeDocument/2006/relationships/hyperlink" Target="https://drive.google.com/open?id=1d0lU9waf9Tb6ob56VeqHZkuN1nFOt2iv" TargetMode="External"/><Relationship Id="rId506" Type="http://schemas.openxmlformats.org/officeDocument/2006/relationships/hyperlink" Target="https://drive.google.com/open?id=15LVLe31BzvSSMyx4c832s85npWHy2XMt" TargetMode="External"/><Relationship Id="rId853" Type="http://schemas.openxmlformats.org/officeDocument/2006/relationships/hyperlink" Target="https://drive.google.com/open?id=1DaWSKOIdeHvJImN6nheklqUmWiMwVs2V" TargetMode="External"/><Relationship Id="rId492" Type="http://schemas.openxmlformats.org/officeDocument/2006/relationships/hyperlink" Target="https://drive.google.com/open?id=1vnyJqD6E-UTRqOENta9lq7vrirsDvoN-" TargetMode="External"/><Relationship Id="rId713" Type="http://schemas.openxmlformats.org/officeDocument/2006/relationships/hyperlink" Target="https://drive.google.com/open?id=18Z9WYlzo4IZOYG6nXMJUV6YpXCHpUDLT" TargetMode="External"/><Relationship Id="rId797" Type="http://schemas.openxmlformats.org/officeDocument/2006/relationships/hyperlink" Target="https://drive.google.com/open?id=1k5r0dPbKwdytahnbL88F_zMC0e5z3pJB" TargetMode="External"/><Relationship Id="rId920" Type="http://schemas.openxmlformats.org/officeDocument/2006/relationships/hyperlink" Target="https://drive.google.com/open?id=12xpo6JHu4yMYbbQ_QCQvENkJEbi9Ud7z" TargetMode="External"/><Relationship Id="rId145" Type="http://schemas.openxmlformats.org/officeDocument/2006/relationships/hyperlink" Target="https://drive.google.com/open?id=1PMnf9rKq763vobprb5gjSQAEtbhkl5JF" TargetMode="External"/><Relationship Id="rId352" Type="http://schemas.openxmlformats.org/officeDocument/2006/relationships/hyperlink" Target="https://drive.google.com/open?id=1FEEtf64Z1ek7Wk2G8R_kI3v631VT73Zz" TargetMode="External"/><Relationship Id="rId212" Type="http://schemas.openxmlformats.org/officeDocument/2006/relationships/hyperlink" Target="https://drive.google.com/open?id=1LzNaYQQKmjcp5Pk_dNNNxcNC2ttd9c3J" TargetMode="External"/><Relationship Id="rId657" Type="http://schemas.openxmlformats.org/officeDocument/2006/relationships/hyperlink" Target="https://drive.google.com/open?id=1_jeAgSZi4WhtprjGmyYR9cm3Oha9u1lh" TargetMode="External"/><Relationship Id="rId864" Type="http://schemas.openxmlformats.org/officeDocument/2006/relationships/hyperlink" Target="https://drive.google.com/open?id=1hM_bkNqKlW75ulPW2fvxy9EUwezJ8kYi" TargetMode="External"/><Relationship Id="rId296" Type="http://schemas.openxmlformats.org/officeDocument/2006/relationships/hyperlink" Target="https://drive.google.com/open?id=1zSIwAvmetmLq9qXn38WG5C4yG2V_Nxc_" TargetMode="External"/><Relationship Id="rId517" Type="http://schemas.openxmlformats.org/officeDocument/2006/relationships/hyperlink" Target="https://drive.google.com/open?id=1j7v15ZXitoRrpjUkum_LCGWu8BvPMLGE" TargetMode="External"/><Relationship Id="rId724" Type="http://schemas.openxmlformats.org/officeDocument/2006/relationships/hyperlink" Target="https://drive.google.com/open?id=1qyr5TiFAKzhQPdP-DR0WpoTrkSQFphTr" TargetMode="External"/><Relationship Id="rId931" Type="http://schemas.openxmlformats.org/officeDocument/2006/relationships/hyperlink" Target="https://drive.google.com/open?id=1zxI2_bAWyJBn6CWx6F7fSfHcHljzxO3k" TargetMode="External"/><Relationship Id="rId60" Type="http://schemas.openxmlformats.org/officeDocument/2006/relationships/hyperlink" Target="https://drive.google.com/open?id=1wB-WtAMpVEaGNVHPtcM1RBbzJJeg03SG" TargetMode="External"/><Relationship Id="rId156" Type="http://schemas.openxmlformats.org/officeDocument/2006/relationships/hyperlink" Target="https://drive.google.com/open?id=11GinyXb_p6BVNGOgjcLAih-i-YTppAKz" TargetMode="External"/><Relationship Id="rId363" Type="http://schemas.openxmlformats.org/officeDocument/2006/relationships/hyperlink" Target="https://drive.google.com/open?id=1sjNn8DL4dqQnBm0H9xzOwxU2CjhRgpoc" TargetMode="External"/><Relationship Id="rId570" Type="http://schemas.openxmlformats.org/officeDocument/2006/relationships/hyperlink" Target="https://drive.google.com/open?id=1eoPIa-h7a9BrrgBXfxUDVuUjZiXiIjyc" TargetMode="External"/><Relationship Id="rId223" Type="http://schemas.openxmlformats.org/officeDocument/2006/relationships/hyperlink" Target="https://drive.google.com/open?id=1zxA3ATrimwoSwcBJJSrEsqsPKEvyuEFF" TargetMode="External"/><Relationship Id="rId430" Type="http://schemas.openxmlformats.org/officeDocument/2006/relationships/hyperlink" Target="https://drive.google.com/open?id=1P6ve18SRRoqwZY-gzLx_VMT2AENFe_4F" TargetMode="External"/><Relationship Id="rId668" Type="http://schemas.openxmlformats.org/officeDocument/2006/relationships/hyperlink" Target="https://drive.google.com/open?id=1kZpOryV16OZElYcmUe3A6Ja7KxtXlGga" TargetMode="External"/><Relationship Id="rId875" Type="http://schemas.openxmlformats.org/officeDocument/2006/relationships/hyperlink" Target="https://drive.google.com/open?id=1NcHH4B--HRC0Uw2svrIgC4L68b9ROUqE" TargetMode="External"/><Relationship Id="rId18" Type="http://schemas.openxmlformats.org/officeDocument/2006/relationships/hyperlink" Target="https://drive.google.com/open?id=1BRfafYKZvSfTZX2_LUSuFBvMavUR99d-" TargetMode="External"/><Relationship Id="rId528" Type="http://schemas.openxmlformats.org/officeDocument/2006/relationships/hyperlink" Target="https://drive.google.com/open?id=15L-jrNEKXO3RGjYLppq42SSR9TU1-7lH" TargetMode="External"/><Relationship Id="rId735" Type="http://schemas.openxmlformats.org/officeDocument/2006/relationships/hyperlink" Target="https://drive.google.com/open?id=1ITfGS86VmcVxadlX6FDXUUtLcaSEDxf-" TargetMode="External"/><Relationship Id="rId942" Type="http://schemas.openxmlformats.org/officeDocument/2006/relationships/hyperlink" Target="https://drive.google.com/open?id=1VXBVDgy4peTi4uTcpjhwJOGArbPtJV_a" TargetMode="External"/><Relationship Id="rId167" Type="http://schemas.openxmlformats.org/officeDocument/2006/relationships/hyperlink" Target="https://drive.google.com/open?id=1tL0xdLmkWIrJzE6K3l25mcAj3AhYGhlA" TargetMode="External"/><Relationship Id="rId374" Type="http://schemas.openxmlformats.org/officeDocument/2006/relationships/hyperlink" Target="https://drive.google.com/open?id=1uJVBjOb0kgXui0_ds72dXrDuMb8aMZ7r" TargetMode="External"/><Relationship Id="rId581" Type="http://schemas.openxmlformats.org/officeDocument/2006/relationships/hyperlink" Target="https://drive.google.com/open?id=1p3XxFKpWq--517ZfqnX6xP4qAeTu9HYn" TargetMode="External"/><Relationship Id="rId71" Type="http://schemas.openxmlformats.org/officeDocument/2006/relationships/hyperlink" Target="https://drive.google.com/open?id=1YGAP6nk-XSf4_FbKeCo4qdb7bJWUYEGM" TargetMode="External"/><Relationship Id="rId234" Type="http://schemas.openxmlformats.org/officeDocument/2006/relationships/hyperlink" Target="https://drive.google.com/open?id=1MReDOWUJsfsiCxvM0NDSgk2snk24PAGS" TargetMode="External"/><Relationship Id="rId679" Type="http://schemas.openxmlformats.org/officeDocument/2006/relationships/hyperlink" Target="https://drive.google.com/open?id=1NiU8D-ijyUB1GPLdPyWvhI_ofK-iG_W3" TargetMode="External"/><Relationship Id="rId802" Type="http://schemas.openxmlformats.org/officeDocument/2006/relationships/hyperlink" Target="https://drive.google.com/open?id=1TkpVZQid20nKQsaw5v2lQs-zlrkKf0fU" TargetMode="External"/><Relationship Id="rId886" Type="http://schemas.openxmlformats.org/officeDocument/2006/relationships/hyperlink" Target="https://drive.google.com/open?id=1oYjyVAe4uqudARGMBAN8A7eGAYue18OV" TargetMode="External"/><Relationship Id="rId2" Type="http://schemas.openxmlformats.org/officeDocument/2006/relationships/hyperlink" Target="https://drive.google.com/open?id=1wBpp45W-5EXCo1uAT4ENJgNdsy8iFZVv" TargetMode="External"/><Relationship Id="rId29" Type="http://schemas.openxmlformats.org/officeDocument/2006/relationships/hyperlink" Target="https://drive.google.com/open?id=14w-MQ4jGIKJRR-vLXV-36aIrIeQwcGVW" TargetMode="External"/><Relationship Id="rId441" Type="http://schemas.openxmlformats.org/officeDocument/2006/relationships/hyperlink" Target="https://drive.google.com/open?id=1V-RB9xZB_UIPNkBnVK0rT3qq0S3VDFuC" TargetMode="External"/><Relationship Id="rId539" Type="http://schemas.openxmlformats.org/officeDocument/2006/relationships/hyperlink" Target="https://drive.google.com/open?id=13roGGvhZy9yCPckgPF7FVHoMVdhbgWqA" TargetMode="External"/><Relationship Id="rId746" Type="http://schemas.openxmlformats.org/officeDocument/2006/relationships/hyperlink" Target="https://drive.google.com/open?id=13HkQbaEn8pPnpAEZ4vs5wMucwlD5VHy0" TargetMode="External"/><Relationship Id="rId178" Type="http://schemas.openxmlformats.org/officeDocument/2006/relationships/hyperlink" Target="https://drive.google.com/open?id=1deK5U8gGowPhpNiWuSLHoHhEVHzu_-kB" TargetMode="External"/><Relationship Id="rId301" Type="http://schemas.openxmlformats.org/officeDocument/2006/relationships/hyperlink" Target="https://drive.google.com/open?id=1VjxNhSTk4G71JV7Dx2eQDyPSSXjJKszR" TargetMode="External"/><Relationship Id="rId953" Type="http://schemas.openxmlformats.org/officeDocument/2006/relationships/hyperlink" Target="https://drive.google.com/open?id=16HbtRpzBwI58eHc2e4N7YgBBxdkQGNHk" TargetMode="External"/><Relationship Id="rId82" Type="http://schemas.openxmlformats.org/officeDocument/2006/relationships/hyperlink" Target="https://drive.google.com/open?id=1t4FoRMI9VR0CeTfFZGI8doPZW_pgPBmV" TargetMode="External"/><Relationship Id="rId385" Type="http://schemas.openxmlformats.org/officeDocument/2006/relationships/hyperlink" Target="https://drive.google.com/open?id=1j-pXiWtOUZIZooJ6MzBP3tRymSDbvb6s" TargetMode="External"/><Relationship Id="rId592" Type="http://schemas.openxmlformats.org/officeDocument/2006/relationships/hyperlink" Target="https://drive.google.com/open?id=1Wt9ZuSXVa4g18EFJ34x_vVzANoQ8Ie1K" TargetMode="External"/><Relationship Id="rId606" Type="http://schemas.openxmlformats.org/officeDocument/2006/relationships/hyperlink" Target="https://drive.google.com/open?id=1CAdOSFm_9TMReMN_C16Aju7w-Yaeaxz4" TargetMode="External"/><Relationship Id="rId813" Type="http://schemas.openxmlformats.org/officeDocument/2006/relationships/hyperlink" Target="https://drive.google.com/open?id=13Jq_l-rY2QNzpHUHevDDc0tJLGsRPCQe" TargetMode="External"/><Relationship Id="rId245" Type="http://schemas.openxmlformats.org/officeDocument/2006/relationships/hyperlink" Target="https://drive.google.com/open?id=121LBQeOxNgsSUKZqou2hvC0vzPm8NIQ3" TargetMode="External"/><Relationship Id="rId452" Type="http://schemas.openxmlformats.org/officeDocument/2006/relationships/hyperlink" Target="https://drive.google.com/open?id=17dxk6R4PHtGaOLE67BOxhhBV-2SrjiLK" TargetMode="External"/><Relationship Id="rId897" Type="http://schemas.openxmlformats.org/officeDocument/2006/relationships/hyperlink" Target="https://drive.google.com/open?id=1-2sQAT1FH8asb8_65-RgDmMQhq_uts8i" TargetMode="External"/><Relationship Id="rId105" Type="http://schemas.openxmlformats.org/officeDocument/2006/relationships/hyperlink" Target="https://drive.google.com/open?id=1oj8_pb6qC1P3cRaobxQCVo6S5Qi2_ng1" TargetMode="External"/><Relationship Id="rId312" Type="http://schemas.openxmlformats.org/officeDocument/2006/relationships/hyperlink" Target="https://drive.google.com/open?id=1lh4FDqfWFU0qpkaYHpgFUtzOeTsjppiQ" TargetMode="External"/><Relationship Id="rId757" Type="http://schemas.openxmlformats.org/officeDocument/2006/relationships/hyperlink" Target="https://drive.google.com/open?id=1ZJzF4kY6zNdOaiyMnIg-eHq2slC_Wsxo" TargetMode="External"/><Relationship Id="rId964" Type="http://schemas.openxmlformats.org/officeDocument/2006/relationships/hyperlink" Target="https://drive.google.com/open?id=1x9g-scVfM0eabJ7l6yQAB90ww2o1Iv2U" TargetMode="External"/><Relationship Id="rId93" Type="http://schemas.openxmlformats.org/officeDocument/2006/relationships/hyperlink" Target="https://drive.google.com/open?id=1OEEIbVr97Nz1pztkYI4idTrgz4aICAi2" TargetMode="External"/><Relationship Id="rId189" Type="http://schemas.openxmlformats.org/officeDocument/2006/relationships/hyperlink" Target="https://drive.google.com/open?id=17-z_LZLku898SfLm-RaXlnK1mBvKtHLk" TargetMode="External"/><Relationship Id="rId396" Type="http://schemas.openxmlformats.org/officeDocument/2006/relationships/hyperlink" Target="https://drive.google.com/open?id=1aJRYPfrUXTPL0sslPhQ_sxQkxqSkxweX" TargetMode="External"/><Relationship Id="rId617" Type="http://schemas.openxmlformats.org/officeDocument/2006/relationships/hyperlink" Target="https://drive.google.com/open?id=1M4zUNVAUkS2aJhh3zOPX61muW7qk5srN" TargetMode="External"/><Relationship Id="rId824" Type="http://schemas.openxmlformats.org/officeDocument/2006/relationships/hyperlink" Target="https://drive.google.com/open?id=10Qs0pHSz3mbUDDDb_YJ3dtflvurxmY99" TargetMode="External"/><Relationship Id="rId256" Type="http://schemas.openxmlformats.org/officeDocument/2006/relationships/hyperlink" Target="https://drive.google.com/open?id=1vqw5vSnJ7sPR98_el94Fu-xw_fkWC-zd" TargetMode="External"/><Relationship Id="rId463" Type="http://schemas.openxmlformats.org/officeDocument/2006/relationships/hyperlink" Target="https://drive.google.com/open?id=12remu_h4QBqWGfNGDGh7iJjsXCOk5awN" TargetMode="External"/><Relationship Id="rId670" Type="http://schemas.openxmlformats.org/officeDocument/2006/relationships/hyperlink" Target="https://drive.google.com/open?id=1V5A2uD7YtKF_ccxKZ0B-9EKA189JYtPo" TargetMode="External"/><Relationship Id="rId116" Type="http://schemas.openxmlformats.org/officeDocument/2006/relationships/hyperlink" Target="https://drive.google.com/open?id=1OpYa1qb_4T5bmCLFl7mG-oCRFFZYJ9OS" TargetMode="External"/><Relationship Id="rId323" Type="http://schemas.openxmlformats.org/officeDocument/2006/relationships/hyperlink" Target="https://drive.google.com/open?id=13hF_5pRq6UJ5Tvzix0gC6_GITsxL7xXC" TargetMode="External"/><Relationship Id="rId530" Type="http://schemas.openxmlformats.org/officeDocument/2006/relationships/hyperlink" Target="https://drive.google.com/open?id=1-30eNKx5c_uLvn6t-xKzUw1NH-5qBhA2" TargetMode="External"/><Relationship Id="rId768" Type="http://schemas.openxmlformats.org/officeDocument/2006/relationships/hyperlink" Target="https://drive.google.com/open?id=1VcPE6xveDoZHMRLWW4WMKk7yA1dc6yhI" TargetMode="External"/><Relationship Id="rId975" Type="http://schemas.openxmlformats.org/officeDocument/2006/relationships/hyperlink" Target="https://drive.google.com/open?id=1RVlk_f7YmZ42hfTCp98R9O0DYwkyxRDd" TargetMode="External"/><Relationship Id="rId20" Type="http://schemas.openxmlformats.org/officeDocument/2006/relationships/hyperlink" Target="https://drive.google.com/open?id=1oOCjPuYSRT8JE5vD6x3anGf6QMVoD-YB" TargetMode="External"/><Relationship Id="rId628" Type="http://schemas.openxmlformats.org/officeDocument/2006/relationships/hyperlink" Target="https://drive.google.com/open?id=1NFVGWXw19r0N_kb_IQmIWU6DisRhs4Uu" TargetMode="External"/><Relationship Id="rId835" Type="http://schemas.openxmlformats.org/officeDocument/2006/relationships/hyperlink" Target="https://drive.google.com/open?id=1-e0XpHkrE9ONVIgDbYyYPmReRBIV8tzM" TargetMode="External"/><Relationship Id="rId267" Type="http://schemas.openxmlformats.org/officeDocument/2006/relationships/hyperlink" Target="https://drive.google.com/open?id=1iZOwa2es_gmkZu6l8DhIIMrABCfgAnCW" TargetMode="External"/><Relationship Id="rId474" Type="http://schemas.openxmlformats.org/officeDocument/2006/relationships/hyperlink" Target="https://drive.google.com/open?id=11vqFH88JWI4PZhi6meOewLKGlh0Dmex_" TargetMode="External"/><Relationship Id="rId127" Type="http://schemas.openxmlformats.org/officeDocument/2006/relationships/hyperlink" Target="https://drive.google.com/open?id=1RZ2Kno9ccTljQC1G0VUzVLZ0R-f_9yFf" TargetMode="External"/><Relationship Id="rId681" Type="http://schemas.openxmlformats.org/officeDocument/2006/relationships/hyperlink" Target="https://drive.google.com/open?id=1mb5LmXrHWCGZbKuqX5Xz_agN5DHLgsVx" TargetMode="External"/><Relationship Id="rId779" Type="http://schemas.openxmlformats.org/officeDocument/2006/relationships/hyperlink" Target="https://drive.google.com/open?id=1AOp0SGGT4SWMzakGfTx0LaPu4ksaOFI7" TargetMode="External"/><Relationship Id="rId902" Type="http://schemas.openxmlformats.org/officeDocument/2006/relationships/hyperlink" Target="https://drive.google.com/open?id=1p6lSHq3HsrQLHjACvpm4T7sHqGwgS3yx" TargetMode="External"/><Relationship Id="rId986" Type="http://schemas.openxmlformats.org/officeDocument/2006/relationships/hyperlink" Target="https://drive.google.com/open?id=1rOOEzvHCP-ZBfReA2aMy6zU1dvEGswtm" TargetMode="External"/><Relationship Id="rId31" Type="http://schemas.openxmlformats.org/officeDocument/2006/relationships/hyperlink" Target="https://drive.google.com/open?id=1VtSq_6NCvm56bbJGBlkIKgx3FEE8a0VY" TargetMode="External"/><Relationship Id="rId334" Type="http://schemas.openxmlformats.org/officeDocument/2006/relationships/hyperlink" Target="https://drive.google.com/open?id=1RBtltzgJ6e5eVl4JxKc6zm04xGkzRbTd" TargetMode="External"/><Relationship Id="rId541" Type="http://schemas.openxmlformats.org/officeDocument/2006/relationships/hyperlink" Target="https://drive.google.com/open?id=14EFKT90zQs2GSkQqgCnLAjamu1Hbj5nY" TargetMode="External"/><Relationship Id="rId639" Type="http://schemas.openxmlformats.org/officeDocument/2006/relationships/hyperlink" Target="https://drive.google.com/open?id=1E2-6lSjZt8gq9y_yD_nBc-Pvd6LsYbvo" TargetMode="External"/><Relationship Id="rId180" Type="http://schemas.openxmlformats.org/officeDocument/2006/relationships/hyperlink" Target="https://drive.google.com/open?id=1Zl1hzrl-hvcX_0luYTYrrELmkjsJgqnv" TargetMode="External"/><Relationship Id="rId278" Type="http://schemas.openxmlformats.org/officeDocument/2006/relationships/hyperlink" Target="https://drive.google.com/open?id=1jpu2C40OVgf0Zi6mIEXIUWcfM_IKolHg" TargetMode="External"/><Relationship Id="rId401" Type="http://schemas.openxmlformats.org/officeDocument/2006/relationships/hyperlink" Target="https://drive.google.com/open?id=1EcdwBXGZZgya3B89fCQDaZx2-_N5YWIi" TargetMode="External"/><Relationship Id="rId846" Type="http://schemas.openxmlformats.org/officeDocument/2006/relationships/hyperlink" Target="https://drive.google.com/open?id=1A6SF-ALvzWGj_RYp7aDycvAxpON9uRr6" TargetMode="External"/><Relationship Id="rId485" Type="http://schemas.openxmlformats.org/officeDocument/2006/relationships/hyperlink" Target="https://drive.google.com/open?id=11WMxBMuz8fRsXMeD1GQuTVdNEnlJd6N8" TargetMode="External"/><Relationship Id="rId692" Type="http://schemas.openxmlformats.org/officeDocument/2006/relationships/hyperlink" Target="https://drive.google.com/open?id=1YdP3pGsIOC2sSq7bVHZqZPPJgXc7fvWu" TargetMode="External"/><Relationship Id="rId706" Type="http://schemas.openxmlformats.org/officeDocument/2006/relationships/hyperlink" Target="https://drive.google.com/open?id=1PEHtexjDBFPFw36kxSoSSqxJWV9N6YVd" TargetMode="External"/><Relationship Id="rId913" Type="http://schemas.openxmlformats.org/officeDocument/2006/relationships/hyperlink" Target="https://drive.google.com/open?id=1zV_etNhcMnoiyuLKbYfcIWQ2BGU3Y84b" TargetMode="External"/><Relationship Id="rId42" Type="http://schemas.openxmlformats.org/officeDocument/2006/relationships/hyperlink" Target="https://drive.google.com/open?id=1kg0gueQ3H5MGSy_Xd-K6FLWwpFKL9x3W" TargetMode="External"/><Relationship Id="rId138" Type="http://schemas.openxmlformats.org/officeDocument/2006/relationships/hyperlink" Target="https://drive.google.com/open?id=1fHbheHpZAUUQSLq_sOXqP9EC-Zwq4alr" TargetMode="External"/><Relationship Id="rId345" Type="http://schemas.openxmlformats.org/officeDocument/2006/relationships/hyperlink" Target="https://drive.google.com/open?id=18PCiHimvgZPhf6IXz8985cJqjZE13wtw" TargetMode="External"/><Relationship Id="rId552" Type="http://schemas.openxmlformats.org/officeDocument/2006/relationships/hyperlink" Target="https://drive.google.com/open?id=1lgnlsE-QM0IIeWtZvGrtCH-xYYotaDp8" TargetMode="External"/><Relationship Id="rId997" Type="http://schemas.openxmlformats.org/officeDocument/2006/relationships/hyperlink" Target="https://drive.google.com/open?id=1yD-yq3_XrCQJFZQbt4clvxz1zrmeURQw" TargetMode="External"/><Relationship Id="rId191" Type="http://schemas.openxmlformats.org/officeDocument/2006/relationships/hyperlink" Target="https://drive.google.com/open?id=1DsnO2AuEa0kQVHqqeWa9z64BajSDEC70" TargetMode="External"/><Relationship Id="rId205" Type="http://schemas.openxmlformats.org/officeDocument/2006/relationships/hyperlink" Target="https://drive.google.com/open?id=1kwqnHXgSzLYc_GQIyosgW8STYsPLIsRj" TargetMode="External"/><Relationship Id="rId412" Type="http://schemas.openxmlformats.org/officeDocument/2006/relationships/hyperlink" Target="https://drive.google.com/open?id=1O40EeC4iEyevFDoVO6KM2uIS_VkvtViV" TargetMode="External"/><Relationship Id="rId857" Type="http://schemas.openxmlformats.org/officeDocument/2006/relationships/hyperlink" Target="https://drive.google.com/open?id=15tcY7uzF1fZ3o4j3q3C89TpNSUciCe07" TargetMode="External"/><Relationship Id="rId289" Type="http://schemas.openxmlformats.org/officeDocument/2006/relationships/hyperlink" Target="https://drive.google.com/open?id=1fp-Gd7ykkfzOo1q5gwgELA0eLNKh8PJO" TargetMode="External"/><Relationship Id="rId496" Type="http://schemas.openxmlformats.org/officeDocument/2006/relationships/hyperlink" Target="https://drive.google.com/open?id=1TLs9FYYyPruiSxY8oU7yFrBFcnakChoS" TargetMode="External"/><Relationship Id="rId717" Type="http://schemas.openxmlformats.org/officeDocument/2006/relationships/hyperlink" Target="https://drive.google.com/open?id=1CQqp_l8cnUHKQ78rhPdIsKtfbuhg0dMc" TargetMode="External"/><Relationship Id="rId924" Type="http://schemas.openxmlformats.org/officeDocument/2006/relationships/hyperlink" Target="https://drive.google.com/open?id=1xn3-FdPVJIeLkMieO1OBwNdBfgRdFQ1n" TargetMode="External"/><Relationship Id="rId53" Type="http://schemas.openxmlformats.org/officeDocument/2006/relationships/hyperlink" Target="https://drive.google.com/open?id=1JubQoPftcyavN702RamPqEFVHBL_eGax" TargetMode="External"/><Relationship Id="rId149" Type="http://schemas.openxmlformats.org/officeDocument/2006/relationships/hyperlink" Target="https://drive.google.com/open?id=1McR_A6ctg2QfO5LNsB_UE7ZTGLVSaYmV" TargetMode="External"/><Relationship Id="rId356" Type="http://schemas.openxmlformats.org/officeDocument/2006/relationships/hyperlink" Target="https://drive.google.com/open?id=123y3X9OjsNO7izmIkFZuOkapNY-GY2am" TargetMode="External"/><Relationship Id="rId563" Type="http://schemas.openxmlformats.org/officeDocument/2006/relationships/hyperlink" Target="https://drive.google.com/open?id=1iYxPhg8cqhEWj-Q3ZF-jTS2FXv8e95Fe" TargetMode="External"/><Relationship Id="rId770" Type="http://schemas.openxmlformats.org/officeDocument/2006/relationships/hyperlink" Target="https://drive.google.com/open?id=1elf-d65Vz5FpSOod9dyi9mOTw7Mkq8ec" TargetMode="External"/><Relationship Id="rId216" Type="http://schemas.openxmlformats.org/officeDocument/2006/relationships/hyperlink" Target="https://drive.google.com/open?id=1-CBaF8M9Ik-TQtaQbbbsKl8nDDpJrXo8" TargetMode="External"/><Relationship Id="rId423" Type="http://schemas.openxmlformats.org/officeDocument/2006/relationships/hyperlink" Target="https://drive.google.com/open?id=1PrCmbz8rcHclEtDBNuaSCPKqk5eM1-Gz" TargetMode="External"/><Relationship Id="rId868" Type="http://schemas.openxmlformats.org/officeDocument/2006/relationships/hyperlink" Target="https://drive.google.com/open?id=1rJ-wuH5K65OvLC0kvX_PEqqbZyepZDM_" TargetMode="External"/><Relationship Id="rId630" Type="http://schemas.openxmlformats.org/officeDocument/2006/relationships/hyperlink" Target="https://drive.google.com/open?id=1hj773yyBZgfD5lUN1EFQkGmdxC8ZPngS" TargetMode="External"/><Relationship Id="rId728" Type="http://schemas.openxmlformats.org/officeDocument/2006/relationships/hyperlink" Target="https://drive.google.com/open?id=1OgNIRwpYiPIQ8Cmd1F-l8wlfUvF3f-9a" TargetMode="External"/><Relationship Id="rId935" Type="http://schemas.openxmlformats.org/officeDocument/2006/relationships/hyperlink" Target="https://drive.google.com/open?id=1lfNhrDGvi-6ns-vGlPfhvPmuGBqvkdKA" TargetMode="External"/><Relationship Id="rId64" Type="http://schemas.openxmlformats.org/officeDocument/2006/relationships/hyperlink" Target="https://drive.google.com/open?id=19dh9NcudhKzrqWNYPB4nUsKyXwRgw_2k" TargetMode="External"/><Relationship Id="rId367" Type="http://schemas.openxmlformats.org/officeDocument/2006/relationships/hyperlink" Target="https://drive.google.com/open?id=1x2LSlyiF3tWE5m5s7DJenggkkuTVtRUf" TargetMode="External"/><Relationship Id="rId574" Type="http://schemas.openxmlformats.org/officeDocument/2006/relationships/hyperlink" Target="https://drive.google.com/open?id=1Ra6sMcahFExr1yTSYpNS2pgidYyvEE_6" TargetMode="External"/><Relationship Id="rId227" Type="http://schemas.openxmlformats.org/officeDocument/2006/relationships/hyperlink" Target="https://drive.google.com/open?id=1CKTq98kXcylXxQxeMci3lNTB-vnoRg3z" TargetMode="External"/><Relationship Id="rId781" Type="http://schemas.openxmlformats.org/officeDocument/2006/relationships/hyperlink" Target="https://drive.google.com/open?id=1DQCxTjlodp5TlSDLHQMzsHuthFifjoRm" TargetMode="External"/><Relationship Id="rId879" Type="http://schemas.openxmlformats.org/officeDocument/2006/relationships/hyperlink" Target="https://drive.google.com/open?id=1ClFXx6dy8dUlzs5PBGScXry2tz1EuFSu" TargetMode="External"/><Relationship Id="rId434" Type="http://schemas.openxmlformats.org/officeDocument/2006/relationships/hyperlink" Target="https://drive.google.com/open?id=10_zNW1sgz75FB1LzfKHR9Vn1bed698uB" TargetMode="External"/><Relationship Id="rId641" Type="http://schemas.openxmlformats.org/officeDocument/2006/relationships/hyperlink" Target="https://drive.google.com/open?id=13M5xHEONhq0QTm0pMAkOMWZuPjiyuTPl" TargetMode="External"/><Relationship Id="rId739" Type="http://schemas.openxmlformats.org/officeDocument/2006/relationships/hyperlink" Target="https://drive.google.com/open?id=1F6gQr1VjRz4_Xk9q7X-G8b9-3QwmuhI2" TargetMode="External"/><Relationship Id="rId280" Type="http://schemas.openxmlformats.org/officeDocument/2006/relationships/hyperlink" Target="https://drive.google.com/open?id=1R9vG4J7vTt8XyFhN6InB1v4jUqH88SJt" TargetMode="External"/><Relationship Id="rId501" Type="http://schemas.openxmlformats.org/officeDocument/2006/relationships/hyperlink" Target="https://drive.google.com/open?id=159eNz5vbBAv-QDNUqvmzocUpLI3c27V9" TargetMode="External"/><Relationship Id="rId946" Type="http://schemas.openxmlformats.org/officeDocument/2006/relationships/hyperlink" Target="https://drive.google.com/open?id=1Kf8FPTt0UrPMUIIr0ZBG3t1lOJWgKyqh" TargetMode="External"/><Relationship Id="rId75" Type="http://schemas.openxmlformats.org/officeDocument/2006/relationships/hyperlink" Target="https://drive.google.com/open?id=1i1TylOdyHKN6rfZn6xeHFg1xMlVvxB0i" TargetMode="External"/><Relationship Id="rId140" Type="http://schemas.openxmlformats.org/officeDocument/2006/relationships/hyperlink" Target="https://drive.google.com/open?id=1ov-HyVb08nXAyLf0hBpm0iQn_fDrLGFP" TargetMode="External"/><Relationship Id="rId378" Type="http://schemas.openxmlformats.org/officeDocument/2006/relationships/hyperlink" Target="https://drive.google.com/open?id=1lJfr2cwyuO0Zkp2ntUd2DRx3immx4uPI" TargetMode="External"/><Relationship Id="rId585" Type="http://schemas.openxmlformats.org/officeDocument/2006/relationships/hyperlink" Target="https://drive.google.com/open?id=1aM9t5Itcq0IC9nJS9_bJj2H0OrfN1ngv" TargetMode="External"/><Relationship Id="rId792" Type="http://schemas.openxmlformats.org/officeDocument/2006/relationships/hyperlink" Target="https://drive.google.com/open?id=1iE-HYfQQ10zoGNPhaw7C5xVn8TtTMcch" TargetMode="External"/><Relationship Id="rId806" Type="http://schemas.openxmlformats.org/officeDocument/2006/relationships/hyperlink" Target="https://drive.google.com/open?id=1SrieThbZ5zeCH8ge0tCdm07_FUeDH4us" TargetMode="External"/><Relationship Id="rId6" Type="http://schemas.openxmlformats.org/officeDocument/2006/relationships/hyperlink" Target="https://drive.google.com/open?id=1wWtbY0LNAak171WH3UdILHZ0YB8UdrOg" TargetMode="External"/><Relationship Id="rId238" Type="http://schemas.openxmlformats.org/officeDocument/2006/relationships/hyperlink" Target="https://drive.google.com/open?id=1_JzYWj7CfgF9QxeuXbbYwID0mEdturKW" TargetMode="External"/><Relationship Id="rId445" Type="http://schemas.openxmlformats.org/officeDocument/2006/relationships/hyperlink" Target="https://drive.google.com/open?id=1iouB6-whVlMon7qZ8qCdSZCtcA5ewizl" TargetMode="External"/><Relationship Id="rId652" Type="http://schemas.openxmlformats.org/officeDocument/2006/relationships/hyperlink" Target="https://drive.google.com/open?id=128F4hozWHhR1d8m5a6UVXDhswPhDJeHn" TargetMode="External"/><Relationship Id="rId291" Type="http://schemas.openxmlformats.org/officeDocument/2006/relationships/hyperlink" Target="https://drive.google.com/open?id=10QVh-7vRVTwL1XghfYUBS2pMNb9vkqW6" TargetMode="External"/><Relationship Id="rId305" Type="http://schemas.openxmlformats.org/officeDocument/2006/relationships/hyperlink" Target="https://drive.google.com/open?id=1vKwDO4VG5vdxfIgizZPI4v1P-5SLKXiQ" TargetMode="External"/><Relationship Id="rId512" Type="http://schemas.openxmlformats.org/officeDocument/2006/relationships/hyperlink" Target="https://drive.google.com/open?id=1tR8eW8cH1bYt3WZFyvW8nI7k8j8_zoC_" TargetMode="External"/><Relationship Id="rId957" Type="http://schemas.openxmlformats.org/officeDocument/2006/relationships/hyperlink" Target="https://drive.google.com/open?id=1wLbocbWQvWGN5A3uqpXtPRE0Wtwnw0Lm" TargetMode="External"/><Relationship Id="rId86" Type="http://schemas.openxmlformats.org/officeDocument/2006/relationships/hyperlink" Target="https://drive.google.com/open?id=1mNxWDOmx70puQYXfpxXjQS6-Sqiq5dQM" TargetMode="External"/><Relationship Id="rId151" Type="http://schemas.openxmlformats.org/officeDocument/2006/relationships/hyperlink" Target="https://drive.google.com/open?id=1RzgE86-kmN-zFsC4ZtQMSJfXx81VvDmg" TargetMode="External"/><Relationship Id="rId389" Type="http://schemas.openxmlformats.org/officeDocument/2006/relationships/hyperlink" Target="https://drive.google.com/open?id=17JmJ5HVt3jqXVtVIClZs_dQAv4S_Mizp" TargetMode="External"/><Relationship Id="rId596" Type="http://schemas.openxmlformats.org/officeDocument/2006/relationships/hyperlink" Target="https://drive.google.com/open?id=1Sb7NzBIu1iD6_-YrDMIkR8Uk-L-_M9QS" TargetMode="External"/><Relationship Id="rId817" Type="http://schemas.openxmlformats.org/officeDocument/2006/relationships/hyperlink" Target="https://drive.google.com/open?id=1hK6yUdQ9UAIbG4xHHAnhY8PNeaCBnjYr" TargetMode="External"/><Relationship Id="rId1002" Type="http://schemas.microsoft.com/office/2007/relationships/slicer" Target="../slicers/slicer2.xml"/><Relationship Id="rId249" Type="http://schemas.openxmlformats.org/officeDocument/2006/relationships/hyperlink" Target="https://drive.google.com/open?id=1mcnkNwqCDxuExUtE6MTRQiLfK0ZHTxNM" TargetMode="External"/><Relationship Id="rId456" Type="http://schemas.openxmlformats.org/officeDocument/2006/relationships/hyperlink" Target="https://drive.google.com/open?id=1e4XuTqYTrVtOjhN9Y_iI81cw_mZUbIJS" TargetMode="External"/><Relationship Id="rId663" Type="http://schemas.openxmlformats.org/officeDocument/2006/relationships/hyperlink" Target="https://drive.google.com/open?id=1TOa5algMTBXj6gjmq4hUbbWXAZ8M_QHp" TargetMode="External"/><Relationship Id="rId870" Type="http://schemas.openxmlformats.org/officeDocument/2006/relationships/hyperlink" Target="https://drive.google.com/open?id=14MEp9njutUyuPWh7GjeFnY6ew8CJbu9r" TargetMode="External"/><Relationship Id="rId13" Type="http://schemas.openxmlformats.org/officeDocument/2006/relationships/hyperlink" Target="https://drive.google.com/open?id=1NRGOMY9Ax415RJI0gGPGJolu5SiZyil-" TargetMode="External"/><Relationship Id="rId109" Type="http://schemas.openxmlformats.org/officeDocument/2006/relationships/hyperlink" Target="https://drive.google.com/open?id=13XGMZUdoumwHZWrf_JNv7pf5kJxoXdtu" TargetMode="External"/><Relationship Id="rId316" Type="http://schemas.openxmlformats.org/officeDocument/2006/relationships/hyperlink" Target="https://drive.google.com/open?id=1loRN8HaonmrbywKeIJYgIshSrLXYTyfq" TargetMode="External"/><Relationship Id="rId523" Type="http://schemas.openxmlformats.org/officeDocument/2006/relationships/hyperlink" Target="https://drive.google.com/open?id=1JJh2Mkmal7KWhNtJY-YMsS7Qu9bRCHRo" TargetMode="External"/><Relationship Id="rId968" Type="http://schemas.openxmlformats.org/officeDocument/2006/relationships/hyperlink" Target="https://drive.google.com/open?id=10ffErFwmDGfRuZm4PC9HFnpAGvw0YWvv" TargetMode="External"/><Relationship Id="rId97" Type="http://schemas.openxmlformats.org/officeDocument/2006/relationships/hyperlink" Target="https://drive.google.com/open?id=1n_G4wVL-9oWBbuDnWep8ceFpZhfv8BrI" TargetMode="External"/><Relationship Id="rId730" Type="http://schemas.openxmlformats.org/officeDocument/2006/relationships/hyperlink" Target="https://drive.google.com/open?id=16md5e_qONab1E4rOgTD_CSjbNGv_mfPn" TargetMode="External"/><Relationship Id="rId828" Type="http://schemas.openxmlformats.org/officeDocument/2006/relationships/hyperlink" Target="https://drive.google.com/open?id=1GeRgGjqWKkCTBFSG0fq4EG1_Zwf_Mnct" TargetMode="External"/><Relationship Id="rId162" Type="http://schemas.openxmlformats.org/officeDocument/2006/relationships/hyperlink" Target="https://drive.google.com/open?id=1L_Lsyu_jlGKi7zVTLgSKkzKkpCfGfNwZ" TargetMode="External"/><Relationship Id="rId467" Type="http://schemas.openxmlformats.org/officeDocument/2006/relationships/hyperlink" Target="https://drive.google.com/open?id=1uvXGlOu3vpj9ww0adM7W31S_AIoffwxO" TargetMode="External"/><Relationship Id="rId674" Type="http://schemas.openxmlformats.org/officeDocument/2006/relationships/hyperlink" Target="https://drive.google.com/open?id=1b7P2Si_KrOu5Rw_ikv1F3aSveWxxEsoZ" TargetMode="External"/><Relationship Id="rId881" Type="http://schemas.openxmlformats.org/officeDocument/2006/relationships/hyperlink" Target="https://drive.google.com/open?id=1YzKtM03zfLK3ASPRubTo84sdVF5I4_Ph" TargetMode="External"/><Relationship Id="rId979" Type="http://schemas.openxmlformats.org/officeDocument/2006/relationships/hyperlink" Target="https://drive.google.com/open?id=19ynsp0AKp1Z-JJ705nXlsBl5p_Z0K6Gn" TargetMode="External"/><Relationship Id="rId24" Type="http://schemas.openxmlformats.org/officeDocument/2006/relationships/hyperlink" Target="https://drive.google.com/open?id=13Jy6mYP8_xyhCmB9-LOexm9w8uW4y6kN" TargetMode="External"/><Relationship Id="rId327" Type="http://schemas.openxmlformats.org/officeDocument/2006/relationships/hyperlink" Target="https://drive.google.com/open?id=1LHf0WbUHIx36i1inuS_CbXkVcVjCl_5S" TargetMode="External"/><Relationship Id="rId534" Type="http://schemas.openxmlformats.org/officeDocument/2006/relationships/hyperlink" Target="https://drive.google.com/open?id=1G-0P8SZhvuFpBR02IBXZT8qHaB4owwbI" TargetMode="External"/><Relationship Id="rId741" Type="http://schemas.openxmlformats.org/officeDocument/2006/relationships/hyperlink" Target="https://drive.google.com/open?id=1qT4RVot1BkiE0enGB-Q5yaUEjR87pvTg" TargetMode="External"/><Relationship Id="rId839" Type="http://schemas.openxmlformats.org/officeDocument/2006/relationships/hyperlink" Target="https://drive.google.com/open?id=1elKNzS81i6SwdNCfUg1yQ8-9kI3xExjC" TargetMode="External"/><Relationship Id="rId173" Type="http://schemas.openxmlformats.org/officeDocument/2006/relationships/hyperlink" Target="https://drive.google.com/open?id=13o02JwrLFWOqjZe0QDtQeXYWpKgiG6vI" TargetMode="External"/><Relationship Id="rId380" Type="http://schemas.openxmlformats.org/officeDocument/2006/relationships/hyperlink" Target="https://drive.google.com/open?id=1zZjzUj_bpq5gt_f5nGLOBDhisJ7q3nK9" TargetMode="External"/><Relationship Id="rId601" Type="http://schemas.openxmlformats.org/officeDocument/2006/relationships/hyperlink" Target="https://drive.google.com/open?id=1A3QqspV8eTzS80t4IdhBOLjx8g4bfoAx" TargetMode="External"/><Relationship Id="rId240" Type="http://schemas.openxmlformats.org/officeDocument/2006/relationships/hyperlink" Target="https://drive.google.com/open?id=1fOuxxOAJakRbp_jJg1ZJTfUhanv8KG64" TargetMode="External"/><Relationship Id="rId478" Type="http://schemas.openxmlformats.org/officeDocument/2006/relationships/hyperlink" Target="https://drive.google.com/open?id=1STo_2JuhUI5foIjI3zIIX-6AAbK7W-PD" TargetMode="External"/><Relationship Id="rId685" Type="http://schemas.openxmlformats.org/officeDocument/2006/relationships/hyperlink" Target="https://drive.google.com/open?id=19Qa--Kbd4GjSj3rFh5UCHfB8Y7z9iC6R" TargetMode="External"/><Relationship Id="rId892" Type="http://schemas.openxmlformats.org/officeDocument/2006/relationships/hyperlink" Target="https://drive.google.com/open?id=1HHhsG_Il5HYi8OtqX8zuGCR9-IxxVLTL" TargetMode="External"/><Relationship Id="rId906" Type="http://schemas.openxmlformats.org/officeDocument/2006/relationships/hyperlink" Target="https://drive.google.com/open?id=1ZnO67UaUPeihGuskLnqA6M6T9Ph6pJbu" TargetMode="External"/><Relationship Id="rId35" Type="http://schemas.openxmlformats.org/officeDocument/2006/relationships/hyperlink" Target="https://drive.google.com/open?id=1xVbDsVHXQiwL7cTsAm2__epsQ3vjqA9y" TargetMode="External"/><Relationship Id="rId100" Type="http://schemas.openxmlformats.org/officeDocument/2006/relationships/hyperlink" Target="https://drive.google.com/open?id=1x0VvjJqhyucmv7y-L2hEvoRDakGzcSsb" TargetMode="External"/><Relationship Id="rId338" Type="http://schemas.openxmlformats.org/officeDocument/2006/relationships/hyperlink" Target="https://drive.google.com/open?id=1x_7APvN7tBoXQOAGNwO2naVu97nl13ea" TargetMode="External"/><Relationship Id="rId545" Type="http://schemas.openxmlformats.org/officeDocument/2006/relationships/hyperlink" Target="https://drive.google.com/open?id=1wKejA32UK3DCcerCLFQ-jTckNtnTbL8Z" TargetMode="External"/><Relationship Id="rId752" Type="http://schemas.openxmlformats.org/officeDocument/2006/relationships/hyperlink" Target="https://drive.google.com/open?id=1-XGuwyN2TpLUc7FkEB2IqAep-babDn6c" TargetMode="External"/><Relationship Id="rId184" Type="http://schemas.openxmlformats.org/officeDocument/2006/relationships/hyperlink" Target="https://drive.google.com/open?id=1Zl-9PWD4Qwu3U_zref0NGfZCu59cQCSV" TargetMode="External"/><Relationship Id="rId391" Type="http://schemas.openxmlformats.org/officeDocument/2006/relationships/hyperlink" Target="https://drive.google.com/open?id=1yzKNMmyByV4ac0bSEUmWoARL2jEOajFY" TargetMode="External"/><Relationship Id="rId405" Type="http://schemas.openxmlformats.org/officeDocument/2006/relationships/hyperlink" Target="https://drive.google.com/open?id=1bryMhiTpYiNhJ6mqxQVMsX5d3UV4YU2E" TargetMode="External"/><Relationship Id="rId612" Type="http://schemas.openxmlformats.org/officeDocument/2006/relationships/hyperlink" Target="https://drive.google.com/open?id=1aaCoiBd9QQJLFMmn9-FgRGeBCntAGsSP" TargetMode="External"/><Relationship Id="rId251" Type="http://schemas.openxmlformats.org/officeDocument/2006/relationships/hyperlink" Target="https://drive.google.com/open?id=1IexopgIwGOWd-c1HGLMh9WHWmGFJonuY" TargetMode="External"/><Relationship Id="rId489" Type="http://schemas.openxmlformats.org/officeDocument/2006/relationships/hyperlink" Target="https://drive.google.com/open?id=1SdLUtb4rp9p0QmtRV1ja9maxT-wXz07q" TargetMode="External"/><Relationship Id="rId696" Type="http://schemas.openxmlformats.org/officeDocument/2006/relationships/hyperlink" Target="https://drive.google.com/open?id=1LwvPMPK_waJFsx5FsNq2CVs7iqCyZH2N" TargetMode="External"/><Relationship Id="rId917" Type="http://schemas.openxmlformats.org/officeDocument/2006/relationships/hyperlink" Target="https://drive.google.com/open?id=1RpTwVYJWCLZLNuPO-Vv-w7xQt6hwP-Cu" TargetMode="External"/><Relationship Id="rId46" Type="http://schemas.openxmlformats.org/officeDocument/2006/relationships/hyperlink" Target="https://drive.google.com/open?id=1XLyK_TImiOqmcqY5Hacmc3aFEVHjhHna" TargetMode="External"/><Relationship Id="rId349" Type="http://schemas.openxmlformats.org/officeDocument/2006/relationships/hyperlink" Target="https://drive.google.com/open?id=1uXuwoAEL6WdGD5I8voRj3YafZPMfSrlG" TargetMode="External"/><Relationship Id="rId556" Type="http://schemas.openxmlformats.org/officeDocument/2006/relationships/hyperlink" Target="https://drive.google.com/open?id=13MBDEBQ0hXGZIUawDW_c9L3Ipkzohce_" TargetMode="External"/><Relationship Id="rId763" Type="http://schemas.openxmlformats.org/officeDocument/2006/relationships/hyperlink" Target="https://drive.google.com/open?id=1eQJTP2pBBfBAPKe0-Hu2cM_6mG78AIJH" TargetMode="External"/><Relationship Id="rId111" Type="http://schemas.openxmlformats.org/officeDocument/2006/relationships/hyperlink" Target="https://drive.google.com/open?id=1vrZUff-15siKmid35hV2RRrAj6P-0bAk" TargetMode="External"/><Relationship Id="rId195" Type="http://schemas.openxmlformats.org/officeDocument/2006/relationships/hyperlink" Target="https://drive.google.com/open?id=1f5OvNq3zh5RFrxUUzoz2l4eWGcbH7sbm" TargetMode="External"/><Relationship Id="rId209" Type="http://schemas.openxmlformats.org/officeDocument/2006/relationships/hyperlink" Target="https://drive.google.com/open?id=1VhPcohQGXr8fh4fC7Anj10dkcwpO-cQJ" TargetMode="External"/><Relationship Id="rId416" Type="http://schemas.openxmlformats.org/officeDocument/2006/relationships/hyperlink" Target="https://drive.google.com/open?id=1G83-RLShjFF8twKIkZqsQAOxkft_abCq" TargetMode="External"/><Relationship Id="rId970" Type="http://schemas.openxmlformats.org/officeDocument/2006/relationships/hyperlink" Target="https://drive.google.com/open?id=1NcdHQv86VZQAiWfBL_xSK1A_steBnUna" TargetMode="External"/><Relationship Id="rId623" Type="http://schemas.openxmlformats.org/officeDocument/2006/relationships/hyperlink" Target="https://drive.google.com/open?id=1wXgLIia7scNjRneUDXGEj8glBzbiQXc3" TargetMode="External"/><Relationship Id="rId830" Type="http://schemas.openxmlformats.org/officeDocument/2006/relationships/hyperlink" Target="https://drive.google.com/open?id=1esk9ibz-wBc_urUAo1x8bVQ-G4-vxDJO" TargetMode="External"/><Relationship Id="rId928" Type="http://schemas.openxmlformats.org/officeDocument/2006/relationships/hyperlink" Target="https://drive.google.com/open?id=1aS5bHMKEXnPrcydokvSqOaZp3pSBI0wx" TargetMode="External"/><Relationship Id="rId57" Type="http://schemas.openxmlformats.org/officeDocument/2006/relationships/hyperlink" Target="https://drive.google.com/open?id=1aCj0RAKwye0pxjw_zcaab-aCcx9y3kZg" TargetMode="External"/><Relationship Id="rId262" Type="http://schemas.openxmlformats.org/officeDocument/2006/relationships/hyperlink" Target="https://drive.google.com/open?id=16UdUJnU6dQ-ZtUCCu_tfgh_X4DqMUDTD" TargetMode="External"/><Relationship Id="rId567" Type="http://schemas.openxmlformats.org/officeDocument/2006/relationships/hyperlink" Target="https://drive.google.com/open?id=1FSXi9m3wZNgh2bvkc9YFfd8e3kNSefEW" TargetMode="External"/><Relationship Id="rId122" Type="http://schemas.openxmlformats.org/officeDocument/2006/relationships/hyperlink" Target="https://drive.google.com/open?id=1VY_A9YzNK_HQWfWLm-jiHoJQiTQfdD_u" TargetMode="External"/><Relationship Id="rId774" Type="http://schemas.openxmlformats.org/officeDocument/2006/relationships/hyperlink" Target="https://drive.google.com/open?id=1wyX7Z6KVSq7s3hzPbPcfHOdGQl1jGZ1K" TargetMode="External"/><Relationship Id="rId981" Type="http://schemas.openxmlformats.org/officeDocument/2006/relationships/hyperlink" Target="https://drive.google.com/open?id=1a1l0F-EylFjEUce71IyCxOZUrqBDkdbG" TargetMode="External"/><Relationship Id="rId427" Type="http://schemas.openxmlformats.org/officeDocument/2006/relationships/hyperlink" Target="https://drive.google.com/open?id=1CZJe3UxjeaYiW84ihnE9tmBCKVr1MYah" TargetMode="External"/><Relationship Id="rId634" Type="http://schemas.openxmlformats.org/officeDocument/2006/relationships/hyperlink" Target="https://drive.google.com/open?id=1-KCbasyj0brCdF_Lw1VomNwmYSpmnuIm" TargetMode="External"/><Relationship Id="rId841" Type="http://schemas.openxmlformats.org/officeDocument/2006/relationships/hyperlink" Target="https://drive.google.com/open?id=1SG2Rp7wPbnIw0zxoqf08ON-Sb1l7dsX2" TargetMode="External"/><Relationship Id="rId273" Type="http://schemas.openxmlformats.org/officeDocument/2006/relationships/hyperlink" Target="https://drive.google.com/open?id=1FQ8itc0RjxP5k2lvLme19OvT6pjoU35K" TargetMode="External"/><Relationship Id="rId480" Type="http://schemas.openxmlformats.org/officeDocument/2006/relationships/hyperlink" Target="https://drive.google.com/open?id=18ntHlRrCMfyHGCF-U471Yn3v6k4gHi8Q" TargetMode="External"/><Relationship Id="rId701" Type="http://schemas.openxmlformats.org/officeDocument/2006/relationships/hyperlink" Target="https://drive.google.com/open?id=1SWMuRi79bXEyE4pkm-wCIyGuqlNa_Iy6" TargetMode="External"/><Relationship Id="rId939" Type="http://schemas.openxmlformats.org/officeDocument/2006/relationships/hyperlink" Target="https://drive.google.com/open?id=1loGniivT1jH82teKCS0HFD9K3dQUw0oJ" TargetMode="External"/><Relationship Id="rId68" Type="http://schemas.openxmlformats.org/officeDocument/2006/relationships/hyperlink" Target="https://drive.google.com/open?id=114oLxvClg2KFxoGKvAUBDAZWbl5f4I13" TargetMode="External"/><Relationship Id="rId133" Type="http://schemas.openxmlformats.org/officeDocument/2006/relationships/hyperlink" Target="https://drive.google.com/open?id=1PUlnm9SzKo77FZ1TgfAqgH9A0jkPSw51" TargetMode="External"/><Relationship Id="rId340" Type="http://schemas.openxmlformats.org/officeDocument/2006/relationships/hyperlink" Target="https://drive.google.com/open?id=1nbEbOUh_cm4QGk7TanrHJbPin613sTqP" TargetMode="External"/><Relationship Id="rId578" Type="http://schemas.openxmlformats.org/officeDocument/2006/relationships/hyperlink" Target="https://drive.google.com/open?id=1aRZa-9sfQTUbZntjfZtWkH8L6UDqt7Bo" TargetMode="External"/><Relationship Id="rId785" Type="http://schemas.openxmlformats.org/officeDocument/2006/relationships/hyperlink" Target="https://drive.google.com/open?id=1wGk2mnzOSIKWHf_9lZKg6Cfd1HAo2DQx" TargetMode="External"/><Relationship Id="rId992" Type="http://schemas.openxmlformats.org/officeDocument/2006/relationships/hyperlink" Target="https://drive.google.com/open?id=1ZCxRHlZnPbOBztyJglEeGjRxLpc5i2k_" TargetMode="External"/><Relationship Id="rId200" Type="http://schemas.openxmlformats.org/officeDocument/2006/relationships/hyperlink" Target="https://drive.google.com/open?id=1Ve5D_a8P6cnss-NTbsIuDabTFUnNQ_-y" TargetMode="External"/><Relationship Id="rId438" Type="http://schemas.openxmlformats.org/officeDocument/2006/relationships/hyperlink" Target="https://drive.google.com/open?id=1OyOX8A_0OFjYDBArQq8dzoSDgOy4wjOZ" TargetMode="External"/><Relationship Id="rId645" Type="http://schemas.openxmlformats.org/officeDocument/2006/relationships/hyperlink" Target="https://drive.google.com/open?id=1F2nwpnr8s6tzqaA8ZTALPkyifVa-1bI0" TargetMode="External"/><Relationship Id="rId852" Type="http://schemas.openxmlformats.org/officeDocument/2006/relationships/hyperlink" Target="https://drive.google.com/open?id=1k2ErOCywyh3puL0j-O_tehpyAX3A0cUb" TargetMode="External"/><Relationship Id="rId284" Type="http://schemas.openxmlformats.org/officeDocument/2006/relationships/hyperlink" Target="https://drive.google.com/open?id=1wXGiKRhzbJuFrJwlRKvofS68dXLwXkxF" TargetMode="External"/><Relationship Id="rId491" Type="http://schemas.openxmlformats.org/officeDocument/2006/relationships/hyperlink" Target="https://drive.google.com/open?id=16XYyIsCnv1DJtPA9NLf7W1cNWpj0OZ0l" TargetMode="External"/><Relationship Id="rId505" Type="http://schemas.openxmlformats.org/officeDocument/2006/relationships/hyperlink" Target="https://drive.google.com/open?id=19cXBsD0o_A0JoBaU6aUZ2UtrG7hMB8tq" TargetMode="External"/><Relationship Id="rId712" Type="http://schemas.openxmlformats.org/officeDocument/2006/relationships/hyperlink" Target="https://drive.google.com/open?id=1YlIUioV9tQD135CUl6Vp6V2iG1Ai9xN2" TargetMode="External"/><Relationship Id="rId79" Type="http://schemas.openxmlformats.org/officeDocument/2006/relationships/hyperlink" Target="https://drive.google.com/open?id=1xK1nDv5V6UA_jYRg4Tn6X5T4TrBrdlkL" TargetMode="External"/><Relationship Id="rId144" Type="http://schemas.openxmlformats.org/officeDocument/2006/relationships/hyperlink" Target="https://drive.google.com/open?id=1ANa5Sw8Qs7fu-e6frVbU-9NL2svPifFV" TargetMode="External"/><Relationship Id="rId589" Type="http://schemas.openxmlformats.org/officeDocument/2006/relationships/hyperlink" Target="https://drive.google.com/open?id=1bgfOnETahJtB9PqnVXUdu7y3KD_VR6-F" TargetMode="External"/><Relationship Id="rId796" Type="http://schemas.openxmlformats.org/officeDocument/2006/relationships/hyperlink" Target="https://drive.google.com/open?id=1_5dZV1eTYSuW9t5uHjVQBpNlSMAeANfC" TargetMode="External"/><Relationship Id="rId351" Type="http://schemas.openxmlformats.org/officeDocument/2006/relationships/hyperlink" Target="https://drive.google.com/open?id=1oyqdks3T74V7tl76_qC83LW5gNEe1Us2" TargetMode="External"/><Relationship Id="rId449" Type="http://schemas.openxmlformats.org/officeDocument/2006/relationships/hyperlink" Target="https://drive.google.com/open?id=1_PYZb013Gfell21lOBCmpmNhvZfvVkHD" TargetMode="External"/><Relationship Id="rId656" Type="http://schemas.openxmlformats.org/officeDocument/2006/relationships/hyperlink" Target="https://drive.google.com/open?id=1WO9rnF4Q5bUWryEu4fRVD6hRlh9fu70D" TargetMode="External"/><Relationship Id="rId863" Type="http://schemas.openxmlformats.org/officeDocument/2006/relationships/hyperlink" Target="https://drive.google.com/open?id=1TyDaWdT4gqjlUF8X-m_3I71ryW6bklZn" TargetMode="External"/><Relationship Id="rId211" Type="http://schemas.openxmlformats.org/officeDocument/2006/relationships/hyperlink" Target="https://drive.google.com/open?id=1kgiYF7HusbD03_j6aqHzk-JodIpqK85A" TargetMode="External"/><Relationship Id="rId295" Type="http://schemas.openxmlformats.org/officeDocument/2006/relationships/hyperlink" Target="https://drive.google.com/open?id=1i2LwwWvXwg5alzt7FvHLUA4-y4EVgSBM" TargetMode="External"/><Relationship Id="rId309" Type="http://schemas.openxmlformats.org/officeDocument/2006/relationships/hyperlink" Target="https://drive.google.com/open?id=1-QHiQwPqLiTuBoMJ5ybngS8F9NEfx44C" TargetMode="External"/><Relationship Id="rId516" Type="http://schemas.openxmlformats.org/officeDocument/2006/relationships/hyperlink" Target="https://drive.google.com/open?id=1Exwa7fEfN_HCxdnitZzDeNI9pUXnLSml" TargetMode="External"/><Relationship Id="rId723" Type="http://schemas.openxmlformats.org/officeDocument/2006/relationships/hyperlink" Target="https://drive.google.com/open?id=1xztl1sU6vz2lDCmRLRqqtqIolHc313CP" TargetMode="External"/><Relationship Id="rId930" Type="http://schemas.openxmlformats.org/officeDocument/2006/relationships/hyperlink" Target="https://drive.google.com/open?id=1kybdPUcXGtBou3vW3HoChqo_mjv5ZPae" TargetMode="External"/><Relationship Id="rId155" Type="http://schemas.openxmlformats.org/officeDocument/2006/relationships/hyperlink" Target="https://drive.google.com/open?id=1QKAua0alrVKGU5ClKVnaxp_W6qotzkfI" TargetMode="External"/><Relationship Id="rId362" Type="http://schemas.openxmlformats.org/officeDocument/2006/relationships/hyperlink" Target="https://drive.google.com/open?id=1ZDN4ka1m9iwpDMwLETTL2-odytsXiAvD" TargetMode="External"/><Relationship Id="rId222" Type="http://schemas.openxmlformats.org/officeDocument/2006/relationships/hyperlink" Target="https://drive.google.com/open?id=1nKxYxLBhipGgD2CJgfnK6hdcRJl66Jf1" TargetMode="External"/><Relationship Id="rId667" Type="http://schemas.openxmlformats.org/officeDocument/2006/relationships/hyperlink" Target="https://drive.google.com/open?id=1gLpMmOaYaHjCj2EVLW7MrJKJ-gFFDUFW" TargetMode="External"/><Relationship Id="rId874" Type="http://schemas.openxmlformats.org/officeDocument/2006/relationships/hyperlink" Target="https://drive.google.com/open?id=17vzKyuGX1TsVp0brCsO9lTSrYLTpHcbe" TargetMode="External"/><Relationship Id="rId17" Type="http://schemas.openxmlformats.org/officeDocument/2006/relationships/hyperlink" Target="https://drive.google.com/open?id=12AIoq0BFVilhzwUbc0V5nM7YlL6JBhNP" TargetMode="External"/><Relationship Id="rId527" Type="http://schemas.openxmlformats.org/officeDocument/2006/relationships/hyperlink" Target="https://drive.google.com/open?id=1XTg27yicXLj7EaZGQ_CO2eCFnzKAhRl8" TargetMode="External"/><Relationship Id="rId734" Type="http://schemas.openxmlformats.org/officeDocument/2006/relationships/hyperlink" Target="https://drive.google.com/open?id=1tzbc_JpT2UhXurcH-2K6hCkPx0-e4Ciz" TargetMode="External"/><Relationship Id="rId941" Type="http://schemas.openxmlformats.org/officeDocument/2006/relationships/hyperlink" Target="https://drive.google.com/open?id=1HN-QRZOI4ZNggpZfg6T7BE6o0VUri50c" TargetMode="External"/><Relationship Id="rId70" Type="http://schemas.openxmlformats.org/officeDocument/2006/relationships/hyperlink" Target="https://drive.google.com/open?id=1sXdAxiE2TlParUg6TQDWhmZoQgeFLOJm" TargetMode="External"/><Relationship Id="rId166" Type="http://schemas.openxmlformats.org/officeDocument/2006/relationships/hyperlink" Target="https://drive.google.com/open?id=1fVN72cxlgKHvO46M_m-YmHYwqavlpX4z" TargetMode="External"/><Relationship Id="rId373" Type="http://schemas.openxmlformats.org/officeDocument/2006/relationships/hyperlink" Target="https://drive.google.com/open?id=1ZMQTV82g_TW9Uxdp0ca5LuLl62te22SY" TargetMode="External"/><Relationship Id="rId580" Type="http://schemas.openxmlformats.org/officeDocument/2006/relationships/hyperlink" Target="https://drive.google.com/open?id=1xg6YpFjKnx_Dt2JDXXLyJlnEQrZTrLC9" TargetMode="External"/><Relationship Id="rId801" Type="http://schemas.openxmlformats.org/officeDocument/2006/relationships/hyperlink" Target="https://drive.google.com/open?id=1ozYNPnuKhu1Qfhrd907T5INMWqAoX12P" TargetMode="External"/><Relationship Id="rId1" Type="http://schemas.openxmlformats.org/officeDocument/2006/relationships/hyperlink" Target="https://drive.google.com/open?id=1ZqjQrleQUS6Sn1OciJ53hhtyv375IHyf" TargetMode="External"/><Relationship Id="rId233" Type="http://schemas.openxmlformats.org/officeDocument/2006/relationships/hyperlink" Target="https://drive.google.com/open?id=1VeoWHv_j2ZH3EawX-ZS-egih1tWlXe_p" TargetMode="External"/><Relationship Id="rId440" Type="http://schemas.openxmlformats.org/officeDocument/2006/relationships/hyperlink" Target="https://drive.google.com/open?id=1vL--vnpAYT3cr5YxKBlNQOADUoYd-VXR" TargetMode="External"/><Relationship Id="rId678" Type="http://schemas.openxmlformats.org/officeDocument/2006/relationships/hyperlink" Target="https://drive.google.com/open?id=1T4JQT1ilFOcgGalAyBY9Qzv8DZ84GiAm" TargetMode="External"/><Relationship Id="rId885" Type="http://schemas.openxmlformats.org/officeDocument/2006/relationships/hyperlink" Target="https://drive.google.com/open?id=1b4DkMROvdjmd3PWKKzSh6UxQFq1Nlvws" TargetMode="External"/><Relationship Id="rId28" Type="http://schemas.openxmlformats.org/officeDocument/2006/relationships/hyperlink" Target="https://drive.google.com/open?id=10aid5gfs8AkL4XHRsXLUdx4HaLcZwMc_" TargetMode="External"/><Relationship Id="rId300" Type="http://schemas.openxmlformats.org/officeDocument/2006/relationships/hyperlink" Target="https://drive.google.com/open?id=1bnYkBw-0_iRet1e8DcOOcIm8zQqJ30BP" TargetMode="External"/><Relationship Id="rId538" Type="http://schemas.openxmlformats.org/officeDocument/2006/relationships/hyperlink" Target="https://drive.google.com/open?id=1epgCaIJ_WTO9C2j55RMIeQUV3dTT8XRY" TargetMode="External"/><Relationship Id="rId745" Type="http://schemas.openxmlformats.org/officeDocument/2006/relationships/hyperlink" Target="https://drive.google.com/open?id=1D5vkBKQP39eI5LlWzFG3Vg2V3TaS2SUj" TargetMode="External"/><Relationship Id="rId952" Type="http://schemas.openxmlformats.org/officeDocument/2006/relationships/hyperlink" Target="https://drive.google.com/open?id=1_TcDKpo8LRV7pUxez1CMvsrlrWsJRp2V" TargetMode="External"/><Relationship Id="rId81" Type="http://schemas.openxmlformats.org/officeDocument/2006/relationships/hyperlink" Target="https://drive.google.com/open?id=1FrXEwx9O0fKrR5V0NxtGObJbfStdglhl" TargetMode="External"/><Relationship Id="rId177" Type="http://schemas.openxmlformats.org/officeDocument/2006/relationships/hyperlink" Target="https://drive.google.com/open?id=1a_1DV6TfZ4Z8ERpkuPzhH4Aw8C7FaJ9n" TargetMode="External"/><Relationship Id="rId384" Type="http://schemas.openxmlformats.org/officeDocument/2006/relationships/hyperlink" Target="https://drive.google.com/open?id=13l4peLUNJoojnJRfiQMJ7MdK91lCiotR" TargetMode="External"/><Relationship Id="rId591" Type="http://schemas.openxmlformats.org/officeDocument/2006/relationships/hyperlink" Target="https://drive.google.com/open?id=1MbKgQ5C6Hvw9CzO87jPvgxCnFH4wAUHE" TargetMode="External"/><Relationship Id="rId605" Type="http://schemas.openxmlformats.org/officeDocument/2006/relationships/hyperlink" Target="https://drive.google.com/open?id=138I8gUfdUHdS7Eb6Ecd7A7UdC9IAVdHd" TargetMode="External"/><Relationship Id="rId812" Type="http://schemas.openxmlformats.org/officeDocument/2006/relationships/hyperlink" Target="https://drive.google.com/open?id=1iAb0abUc-qsM4buWPicjuAxmnO8XqUj6" TargetMode="External"/><Relationship Id="rId244" Type="http://schemas.openxmlformats.org/officeDocument/2006/relationships/hyperlink" Target="https://drive.google.com/open?id=1Iq6ZmZkBNbEeI6VnXwJyexAh5OAdl8EL" TargetMode="External"/><Relationship Id="rId689" Type="http://schemas.openxmlformats.org/officeDocument/2006/relationships/hyperlink" Target="https://drive.google.com/open?id=1E6przQ66mIjxJjCNaFimDpfpxffX4ztf" TargetMode="External"/><Relationship Id="rId896" Type="http://schemas.openxmlformats.org/officeDocument/2006/relationships/hyperlink" Target="https://drive.google.com/open?id=1exKPxLp5HyXitxltD-rEe3ID-tHY9HTF" TargetMode="External"/><Relationship Id="rId39" Type="http://schemas.openxmlformats.org/officeDocument/2006/relationships/hyperlink" Target="https://drive.google.com/open?id=1p6G2JwVQgRroLOGuu1hzLwij3aRTZgtn" TargetMode="External"/><Relationship Id="rId451" Type="http://schemas.openxmlformats.org/officeDocument/2006/relationships/hyperlink" Target="https://drive.google.com/open?id=1MVk_MsiOiFHv8I7SAOjT_aJos1QB1wVd" TargetMode="External"/><Relationship Id="rId549" Type="http://schemas.openxmlformats.org/officeDocument/2006/relationships/hyperlink" Target="https://drive.google.com/open?id=1YWvOOa5EDGBt9jVJ7lf12eFmUVZJEnAc" TargetMode="External"/><Relationship Id="rId756" Type="http://schemas.openxmlformats.org/officeDocument/2006/relationships/hyperlink" Target="https://drive.google.com/open?id=1fw7y7nRBEbWR_VP-XsnGAGN7l87FfWdW" TargetMode="External"/><Relationship Id="rId104" Type="http://schemas.openxmlformats.org/officeDocument/2006/relationships/hyperlink" Target="https://drive.google.com/open?id=1rYNto9ROyzDZ8xd-cEOx8iPQFewosia-" TargetMode="External"/><Relationship Id="rId188" Type="http://schemas.openxmlformats.org/officeDocument/2006/relationships/hyperlink" Target="https://drive.google.com/open?id=1pzEVRFOz4IPzIcGZGNP03TRxgJJ7j8Na" TargetMode="External"/><Relationship Id="rId311" Type="http://schemas.openxmlformats.org/officeDocument/2006/relationships/hyperlink" Target="https://drive.google.com/open?id=1cmNVJh-Z5FGINEOOJB-NFKZAmex24iAl" TargetMode="External"/><Relationship Id="rId395" Type="http://schemas.openxmlformats.org/officeDocument/2006/relationships/hyperlink" Target="https://drive.google.com/open?id=12zwqb-Ky19_WIgngBr8uzhKsx8AZHxtZ" TargetMode="External"/><Relationship Id="rId409" Type="http://schemas.openxmlformats.org/officeDocument/2006/relationships/hyperlink" Target="https://drive.google.com/open?id=1BtTCVS8DWg-lBkXsrDDyHUQivb1ezo27" TargetMode="External"/><Relationship Id="rId963" Type="http://schemas.openxmlformats.org/officeDocument/2006/relationships/hyperlink" Target="https://drive.google.com/open?id=1CEJRjgsNwLEWvHhwsUm8XU-iAj1U8HJ_" TargetMode="External"/><Relationship Id="rId92" Type="http://schemas.openxmlformats.org/officeDocument/2006/relationships/hyperlink" Target="https://drive.google.com/open?id=1AajKvaZ02vsOj4XThlSIC5z9eKB20VNR" TargetMode="External"/><Relationship Id="rId616" Type="http://schemas.openxmlformats.org/officeDocument/2006/relationships/hyperlink" Target="https://drive.google.com/open?id=1yAQKE0fObklSI9RMqX9NnIlRcIieox9X" TargetMode="External"/><Relationship Id="rId823" Type="http://schemas.openxmlformats.org/officeDocument/2006/relationships/hyperlink" Target="https://drive.google.com/open?id=1OLMeKkrm3bEa15v6rWkwypPf-Y0s4dNB" TargetMode="External"/><Relationship Id="rId255" Type="http://schemas.openxmlformats.org/officeDocument/2006/relationships/hyperlink" Target="https://drive.google.com/open?id=1lJT-mzmRglF0O7MaVq7PPHPgY6VMsTDg" TargetMode="External"/><Relationship Id="rId462" Type="http://schemas.openxmlformats.org/officeDocument/2006/relationships/hyperlink" Target="https://drive.google.com/open?id=1-af5eBkbllolhEVrWo6P73KnL1Mag_m-" TargetMode="External"/><Relationship Id="rId115" Type="http://schemas.openxmlformats.org/officeDocument/2006/relationships/hyperlink" Target="https://drive.google.com/open?id=1gBptmkVTJoM0V85QWblZ_zuqSrTwW8WS" TargetMode="External"/><Relationship Id="rId322" Type="http://schemas.openxmlformats.org/officeDocument/2006/relationships/hyperlink" Target="https://drive.google.com/open?id=1mQIBFKHBV6eb71fdyWU-pN3TpXVX5oLO" TargetMode="External"/><Relationship Id="rId767" Type="http://schemas.openxmlformats.org/officeDocument/2006/relationships/hyperlink" Target="https://drive.google.com/open?id=1aEDkaDXak3t8FZ2eWuZn7s0g34-5Sbcf" TargetMode="External"/><Relationship Id="rId974" Type="http://schemas.openxmlformats.org/officeDocument/2006/relationships/hyperlink" Target="https://drive.google.com/open?id=1XYeJ8epojA2HA1xGYSO592uXW3hUNrw4" TargetMode="External"/><Relationship Id="rId199" Type="http://schemas.openxmlformats.org/officeDocument/2006/relationships/hyperlink" Target="https://drive.google.com/open?id=1TGAkH95CjEkfz8zJbS5cD3WBLXZyB1Lk" TargetMode="External"/><Relationship Id="rId627" Type="http://schemas.openxmlformats.org/officeDocument/2006/relationships/hyperlink" Target="https://drive.google.com/open?id=1Yo1aaTx8DW7bIzs_KvOh4H_t_j2FJ7h9" TargetMode="External"/><Relationship Id="rId834" Type="http://schemas.openxmlformats.org/officeDocument/2006/relationships/hyperlink" Target="https://drive.google.com/open?id=1wKQGfWOjzOnXeZHmuioGSd52spBbs9NS" TargetMode="External"/><Relationship Id="rId266" Type="http://schemas.openxmlformats.org/officeDocument/2006/relationships/hyperlink" Target="https://drive.google.com/open?id=13p7rX7GEVFP8K1mwiwxSDlaBrGeVcY3G" TargetMode="External"/><Relationship Id="rId473" Type="http://schemas.openxmlformats.org/officeDocument/2006/relationships/hyperlink" Target="https://drive.google.com/open?id=1lhglYaW8tjvcGC8ujrp86byuaRckV9kJ" TargetMode="External"/><Relationship Id="rId680" Type="http://schemas.openxmlformats.org/officeDocument/2006/relationships/hyperlink" Target="https://drive.google.com/open?id=1fmZRCcJpOA7h5iCOHGR4yVspHn-K573X" TargetMode="External"/><Relationship Id="rId901" Type="http://schemas.openxmlformats.org/officeDocument/2006/relationships/hyperlink" Target="https://drive.google.com/open?id=1PvKWfVh2S8Z-sIFqBq6KcUVoatvla4Z9" TargetMode="External"/><Relationship Id="rId30" Type="http://schemas.openxmlformats.org/officeDocument/2006/relationships/hyperlink" Target="https://drive.google.com/open?id=1CQzBqF8RL5Lo-9CF1x_AnCSILBNMzppQ" TargetMode="External"/><Relationship Id="rId126" Type="http://schemas.openxmlformats.org/officeDocument/2006/relationships/hyperlink" Target="https://drive.google.com/open?id=1stnNs_wDYxRPeBL4s51VYgxsZXZ1N6u8" TargetMode="External"/><Relationship Id="rId333" Type="http://schemas.openxmlformats.org/officeDocument/2006/relationships/hyperlink" Target="https://drive.google.com/open?id=1vt__gb1J8nEQ6IAjWui1v4jptLLAmPVw" TargetMode="External"/><Relationship Id="rId540" Type="http://schemas.openxmlformats.org/officeDocument/2006/relationships/hyperlink" Target="https://drive.google.com/open?id=1TzCT1eanvF6o2DUWUBfIu2buWqnYF7Pa" TargetMode="External"/><Relationship Id="rId778" Type="http://schemas.openxmlformats.org/officeDocument/2006/relationships/hyperlink" Target="https://drive.google.com/open?id=1j2OBg6Eg29x4tOLQs5JHVtsDdgAdVYix" TargetMode="External"/><Relationship Id="rId985" Type="http://schemas.openxmlformats.org/officeDocument/2006/relationships/hyperlink" Target="https://drive.google.com/open?id=1mlYn3ignVAdiELXcIn9PoGuWg6BQY-Gw" TargetMode="External"/><Relationship Id="rId638" Type="http://schemas.openxmlformats.org/officeDocument/2006/relationships/hyperlink" Target="https://drive.google.com/open?id=1Ynfkncfd1tqmUdtEQSqzPzi9sFh36LxI" TargetMode="External"/><Relationship Id="rId845" Type="http://schemas.openxmlformats.org/officeDocument/2006/relationships/hyperlink" Target="https://drive.google.com/open?id=1LGfuqx48fD_7NND5VveId2HMB8SVOKMr" TargetMode="External"/><Relationship Id="rId277" Type="http://schemas.openxmlformats.org/officeDocument/2006/relationships/hyperlink" Target="https://drive.google.com/open?id=1sQOIxtl1GT9MYPWsy81LoUw1m4tDikd5" TargetMode="External"/><Relationship Id="rId400" Type="http://schemas.openxmlformats.org/officeDocument/2006/relationships/hyperlink" Target="https://drive.google.com/open?id=10RBe4TTji6s34X5XN8F6fxxafG7cDBkg" TargetMode="External"/><Relationship Id="rId484" Type="http://schemas.openxmlformats.org/officeDocument/2006/relationships/hyperlink" Target="https://drive.google.com/open?id=1eK56X_BPPKWqyRvYrOT2yXl1KA9ZmScH" TargetMode="External"/><Relationship Id="rId705" Type="http://schemas.openxmlformats.org/officeDocument/2006/relationships/hyperlink" Target="https://drive.google.com/open?id=12z8g1H4fX-jLZEasZodqA6AS3t21tmkF" TargetMode="External"/><Relationship Id="rId137" Type="http://schemas.openxmlformats.org/officeDocument/2006/relationships/hyperlink" Target="https://drive.google.com/open?id=1G2bRFmW_35BzT4ly4-uARpPbyawomK0k" TargetMode="External"/><Relationship Id="rId344" Type="http://schemas.openxmlformats.org/officeDocument/2006/relationships/hyperlink" Target="https://drive.google.com/open?id=146sDvHpgDhlmQkqUv-YncO7BbuCfLmkE" TargetMode="External"/><Relationship Id="rId691" Type="http://schemas.openxmlformats.org/officeDocument/2006/relationships/hyperlink" Target="https://drive.google.com/open?id=1rBnF-I4HrxA1K5CLX7SZwsroLo32kPXx" TargetMode="External"/><Relationship Id="rId789" Type="http://schemas.openxmlformats.org/officeDocument/2006/relationships/hyperlink" Target="https://drive.google.com/open?id=1eEYbZLmcLnQ56RYCG5Rx1wk59-5RMaJ6" TargetMode="External"/><Relationship Id="rId912" Type="http://schemas.openxmlformats.org/officeDocument/2006/relationships/hyperlink" Target="https://drive.google.com/open?id=1XO4PwDFw6NjOQhW2D6pl5RP2YxaxFFUE" TargetMode="External"/><Relationship Id="rId996" Type="http://schemas.openxmlformats.org/officeDocument/2006/relationships/hyperlink" Target="https://drive.google.com/open?id=1jsOlGtIbJTa6RvyEa0tneVPtFEWTRI3g" TargetMode="External"/><Relationship Id="rId41" Type="http://schemas.openxmlformats.org/officeDocument/2006/relationships/hyperlink" Target="https://drive.google.com/open?id=1gLZF0RRxXVdFhAAZjJ3FvTZA7Ot7Z8XV" TargetMode="External"/><Relationship Id="rId83" Type="http://schemas.openxmlformats.org/officeDocument/2006/relationships/hyperlink" Target="https://drive.google.com/open?id=1Ifd8S-8KWKnAJ_UQiVkx91wfsHB8WG59" TargetMode="External"/><Relationship Id="rId179" Type="http://schemas.openxmlformats.org/officeDocument/2006/relationships/hyperlink" Target="https://drive.google.com/open?id=128nrlrUk9t1btBnmm84Q6ZpgkXG2B6N2" TargetMode="External"/><Relationship Id="rId386" Type="http://schemas.openxmlformats.org/officeDocument/2006/relationships/hyperlink" Target="https://drive.google.com/open?id=18JNY43nrcANeUd2I9NF-WedHOF9OgUJg" TargetMode="External"/><Relationship Id="rId551" Type="http://schemas.openxmlformats.org/officeDocument/2006/relationships/hyperlink" Target="https://drive.google.com/open?id=1cvikV5s6vpBLsm9mpMM51AV56PNrkVjw" TargetMode="External"/><Relationship Id="rId593" Type="http://schemas.openxmlformats.org/officeDocument/2006/relationships/hyperlink" Target="https://drive.google.com/open?id=1Ki4e7xDulHnQQ3x5VBI8uga62kqSbfFo" TargetMode="External"/><Relationship Id="rId607" Type="http://schemas.openxmlformats.org/officeDocument/2006/relationships/hyperlink" Target="https://drive.google.com/open?id=13LC1uMjGbwV1mMYNYGdp1DLPnlHvGCvK" TargetMode="External"/><Relationship Id="rId649" Type="http://schemas.openxmlformats.org/officeDocument/2006/relationships/hyperlink" Target="https://drive.google.com/open?id=1BYi_lu98aoXxnXfemQJMjRrcK8TtWfU6" TargetMode="External"/><Relationship Id="rId814" Type="http://schemas.openxmlformats.org/officeDocument/2006/relationships/hyperlink" Target="https://drive.google.com/open?id=1lsWCYtGO50X3X6pRXjbHcH9dqIrIhhz-" TargetMode="External"/><Relationship Id="rId856" Type="http://schemas.openxmlformats.org/officeDocument/2006/relationships/hyperlink" Target="https://drive.google.com/open?id=1SjPKXsjmgEd90-koFr605jpRJN0sn0kM" TargetMode="External"/><Relationship Id="rId190" Type="http://schemas.openxmlformats.org/officeDocument/2006/relationships/hyperlink" Target="https://drive.google.com/open?id=1mhaUYtGD6A9CXTtqWcM-Gijz1gtvz_bF" TargetMode="External"/><Relationship Id="rId204" Type="http://schemas.openxmlformats.org/officeDocument/2006/relationships/hyperlink" Target="https://drive.google.com/open?id=1wVl1dcgZIJlbUmEWHLpla7XwXQuWdY21" TargetMode="External"/><Relationship Id="rId246" Type="http://schemas.openxmlformats.org/officeDocument/2006/relationships/hyperlink" Target="https://drive.google.com/open?id=10SHFbt6FMoRcxE-xEomdI64U3axVayW0" TargetMode="External"/><Relationship Id="rId288" Type="http://schemas.openxmlformats.org/officeDocument/2006/relationships/hyperlink" Target="https://drive.google.com/open?id=1m6AnXnJul9s75LidMao6-JY8xIhtZWrZ" TargetMode="External"/><Relationship Id="rId411" Type="http://schemas.openxmlformats.org/officeDocument/2006/relationships/hyperlink" Target="https://drive.google.com/open?id=1wo6-ah5isw9qzq8fvSIMNwoefe-zFRm0" TargetMode="External"/><Relationship Id="rId453" Type="http://schemas.openxmlformats.org/officeDocument/2006/relationships/hyperlink" Target="https://drive.google.com/open?id=1jiXjEqQJh0WsKCI9C6Tg9R3OdDieWbdt" TargetMode="External"/><Relationship Id="rId509" Type="http://schemas.openxmlformats.org/officeDocument/2006/relationships/hyperlink" Target="https://drive.google.com/open?id=1hnelPQtXwjFxxg3wmi55q6Zrcan3Tvt-" TargetMode="External"/><Relationship Id="rId660" Type="http://schemas.openxmlformats.org/officeDocument/2006/relationships/hyperlink" Target="https://drive.google.com/open?id=1CeLBt9xyOgTG0AR9qdRJCBpXI5cpwrw4" TargetMode="External"/><Relationship Id="rId898" Type="http://schemas.openxmlformats.org/officeDocument/2006/relationships/hyperlink" Target="https://drive.google.com/open?id=16yaJeCgzIdhXwSY9vWCxnIG-b48EDs55" TargetMode="External"/><Relationship Id="rId106" Type="http://schemas.openxmlformats.org/officeDocument/2006/relationships/hyperlink" Target="https://drive.google.com/open?id=1FzQIk4xMz8wVhDYW4u7T0gWM8vC77S1-" TargetMode="External"/><Relationship Id="rId313" Type="http://schemas.openxmlformats.org/officeDocument/2006/relationships/hyperlink" Target="https://drive.google.com/open?id=19Mpapm3ZOpiW1pLkHys-oMxVNteG8EZy" TargetMode="External"/><Relationship Id="rId495" Type="http://schemas.openxmlformats.org/officeDocument/2006/relationships/hyperlink" Target="https://drive.google.com/open?id=17knNYXH3P3725eSa5-5EpjmgWFsN1hRo" TargetMode="External"/><Relationship Id="rId716" Type="http://schemas.openxmlformats.org/officeDocument/2006/relationships/hyperlink" Target="https://drive.google.com/open?id=1LNaeS6ogLOFGLIU7Sm9lPS99t2H504TF" TargetMode="External"/><Relationship Id="rId758" Type="http://schemas.openxmlformats.org/officeDocument/2006/relationships/hyperlink" Target="https://drive.google.com/open?id=1SQmbbB5rJZ6KC6o5WrIxV2DuWRi9rrFz" TargetMode="External"/><Relationship Id="rId923" Type="http://schemas.openxmlformats.org/officeDocument/2006/relationships/hyperlink" Target="https://drive.google.com/open?id=1poF_oyv3S-B-gKW4oZfu4EllZVo1Tyv9" TargetMode="External"/><Relationship Id="rId965" Type="http://schemas.openxmlformats.org/officeDocument/2006/relationships/hyperlink" Target="https://drive.google.com/open?id=1Sok3VZ0M_wE0GHQKPg-b0T9NiIOzfKO2" TargetMode="External"/><Relationship Id="rId10" Type="http://schemas.openxmlformats.org/officeDocument/2006/relationships/hyperlink" Target="https://drive.google.com/open?id=1fsSVTccl9bSmr4SzBDCexqS8vRgRHi1e" TargetMode="External"/><Relationship Id="rId52" Type="http://schemas.openxmlformats.org/officeDocument/2006/relationships/hyperlink" Target="https://drive.google.com/open?id=1IB5ro_5AcXU6xqLpQ5foKyeoWqbSCz5-" TargetMode="External"/><Relationship Id="rId94" Type="http://schemas.openxmlformats.org/officeDocument/2006/relationships/hyperlink" Target="https://drive.google.com/open?id=1n1bzzq0VZxcvMSxPyew6jjItnon8Fx9j" TargetMode="External"/><Relationship Id="rId148" Type="http://schemas.openxmlformats.org/officeDocument/2006/relationships/hyperlink" Target="https://drive.google.com/open?id=1RMv5UjS4244Aq2dLgaTOwPVa1MD0Zx-S" TargetMode="External"/><Relationship Id="rId355" Type="http://schemas.openxmlformats.org/officeDocument/2006/relationships/hyperlink" Target="https://drive.google.com/open?id=1AqTeau-Nc3DFOIwIy8YR4CuLx-2VByLh" TargetMode="External"/><Relationship Id="rId397" Type="http://schemas.openxmlformats.org/officeDocument/2006/relationships/hyperlink" Target="https://drive.google.com/open?id=12SxOncqDqam8oXdRJgMNrVhjk8MLaVPD" TargetMode="External"/><Relationship Id="rId520" Type="http://schemas.openxmlformats.org/officeDocument/2006/relationships/hyperlink" Target="https://drive.google.com/open?id=1M8D1-n_B3tE9zFHRGSx4oh50jk44EZED" TargetMode="External"/><Relationship Id="rId562" Type="http://schemas.openxmlformats.org/officeDocument/2006/relationships/hyperlink" Target="https://drive.google.com/open?id=164pcn0ecVbHNScdlJMflvvzYy6Yv0x8Q" TargetMode="External"/><Relationship Id="rId618" Type="http://schemas.openxmlformats.org/officeDocument/2006/relationships/hyperlink" Target="https://drive.google.com/open?id=15NGbwEpigLT1eMvX4bzZA1dmdiYS3ecp" TargetMode="External"/><Relationship Id="rId825" Type="http://schemas.openxmlformats.org/officeDocument/2006/relationships/hyperlink" Target="https://drive.google.com/open?id=1zvQo-nJyxXn0oLf5dYaKGBIy48uZhE-r" TargetMode="External"/><Relationship Id="rId215" Type="http://schemas.openxmlformats.org/officeDocument/2006/relationships/hyperlink" Target="https://drive.google.com/open?id=1vXYikr5RISg0ECt44GC7SgRpS_tjscMs" TargetMode="External"/><Relationship Id="rId257" Type="http://schemas.openxmlformats.org/officeDocument/2006/relationships/hyperlink" Target="https://drive.google.com/open?id=1sfxZuPUJNrcpY4EnRVJNh3doFhad95Rb" TargetMode="External"/><Relationship Id="rId422" Type="http://schemas.openxmlformats.org/officeDocument/2006/relationships/hyperlink" Target="https://drive.google.com/open?id=1yI7jpXOJraCAyJU3-lmq2UAHBv26VrcH" TargetMode="External"/><Relationship Id="rId464" Type="http://schemas.openxmlformats.org/officeDocument/2006/relationships/hyperlink" Target="https://drive.google.com/open?id=16yOBUSARHQ8npgMP1uy1AFBxw5fe-ksx" TargetMode="External"/><Relationship Id="rId867" Type="http://schemas.openxmlformats.org/officeDocument/2006/relationships/hyperlink" Target="https://drive.google.com/open?id=1gPYbor0MoSAdhqcCka2ZBZ4WlYD3Kf9Y" TargetMode="External"/><Relationship Id="rId299" Type="http://schemas.openxmlformats.org/officeDocument/2006/relationships/hyperlink" Target="https://drive.google.com/open?id=1WKMgZY7Sxp6itANH7uT266XuY3npqSiP" TargetMode="External"/><Relationship Id="rId727" Type="http://schemas.openxmlformats.org/officeDocument/2006/relationships/hyperlink" Target="https://drive.google.com/open?id=1FXa4OkWwmXZDtkQnR6PmZsnco0qWf8sa" TargetMode="External"/><Relationship Id="rId934" Type="http://schemas.openxmlformats.org/officeDocument/2006/relationships/hyperlink" Target="https://drive.google.com/open?id=1zUvpbctk3UJa71kMIiATS1c1XfK_aET4" TargetMode="External"/><Relationship Id="rId63" Type="http://schemas.openxmlformats.org/officeDocument/2006/relationships/hyperlink" Target="https://drive.google.com/open?id=1KTHegYB9KEjt7Q5ROf6XzbQcSWCDF2hy" TargetMode="External"/><Relationship Id="rId159" Type="http://schemas.openxmlformats.org/officeDocument/2006/relationships/hyperlink" Target="https://drive.google.com/open?id=1L9O3tWtAUAGxBgdh94EvDClnicWvmrtu" TargetMode="External"/><Relationship Id="rId366" Type="http://schemas.openxmlformats.org/officeDocument/2006/relationships/hyperlink" Target="https://drive.google.com/open?id=1UHnPJMCt6cVCE7jdmu7IhlXajI750_7W" TargetMode="External"/><Relationship Id="rId573" Type="http://schemas.openxmlformats.org/officeDocument/2006/relationships/hyperlink" Target="https://drive.google.com/open?id=1HuqUjIh8PMEvDatzf-FL79axgkzbtOWc" TargetMode="External"/><Relationship Id="rId780" Type="http://schemas.openxmlformats.org/officeDocument/2006/relationships/hyperlink" Target="https://drive.google.com/open?id=1izHs3AIeA9OqJWbSvESBbEdh8PpssTB1" TargetMode="External"/><Relationship Id="rId226" Type="http://schemas.openxmlformats.org/officeDocument/2006/relationships/hyperlink" Target="https://drive.google.com/open?id=1zI8rRW7VNw0Nu96CI2VyDo6YmCilNv0D" TargetMode="External"/><Relationship Id="rId433" Type="http://schemas.openxmlformats.org/officeDocument/2006/relationships/hyperlink" Target="https://drive.google.com/open?id=1GgWObHkPj0Q7ujMlj3yCOUXUf9TsVmgI" TargetMode="External"/><Relationship Id="rId878" Type="http://schemas.openxmlformats.org/officeDocument/2006/relationships/hyperlink" Target="https://drive.google.com/open?id=1Opz-gHslUNQkj9cAXPqUHyxbxcjJXBnJ" TargetMode="External"/><Relationship Id="rId640" Type="http://schemas.openxmlformats.org/officeDocument/2006/relationships/hyperlink" Target="https://drive.google.com/open?id=1falz0V6zejZoU2ZcU_JYxnV6eez7lFts" TargetMode="External"/><Relationship Id="rId738" Type="http://schemas.openxmlformats.org/officeDocument/2006/relationships/hyperlink" Target="https://drive.google.com/open?id=1zxZ42hLNM7gu_pRXJCthkNApang3wu-W" TargetMode="External"/><Relationship Id="rId945" Type="http://schemas.openxmlformats.org/officeDocument/2006/relationships/hyperlink" Target="https://drive.google.com/open?id=1Rni935MkGPWuLj7y8OzQaHnXfJcBYz0o" TargetMode="External"/><Relationship Id="rId74" Type="http://schemas.openxmlformats.org/officeDocument/2006/relationships/hyperlink" Target="https://drive.google.com/open?id=1JPAfzw6dq2nk8cLG8yNQfyZ2OOc-EPOb" TargetMode="External"/><Relationship Id="rId377" Type="http://schemas.openxmlformats.org/officeDocument/2006/relationships/hyperlink" Target="https://drive.google.com/open?id=1FEWrtdX12ywWsbBpPRiVGROZ94R2CJTU" TargetMode="External"/><Relationship Id="rId500" Type="http://schemas.openxmlformats.org/officeDocument/2006/relationships/hyperlink" Target="https://drive.google.com/open?id=1Pkd2PfCSYZfiYzJPTsKXunPtaueOaClD" TargetMode="External"/><Relationship Id="rId584" Type="http://schemas.openxmlformats.org/officeDocument/2006/relationships/hyperlink" Target="https://drive.google.com/open?id=1t-UCHvDJdeRbiUTRkOUhJTpzigURsEsI" TargetMode="External"/><Relationship Id="rId805" Type="http://schemas.openxmlformats.org/officeDocument/2006/relationships/hyperlink" Target="https://drive.google.com/open?id=17V61XzD79p_u2ye66MoQeW2xRkjXuA0s" TargetMode="External"/><Relationship Id="rId5" Type="http://schemas.openxmlformats.org/officeDocument/2006/relationships/hyperlink" Target="https://drive.google.com/open?id=14ZvXM6bvFf-33Qr5V79LvAyFlZ9gwiWg" TargetMode="External"/><Relationship Id="rId237" Type="http://schemas.openxmlformats.org/officeDocument/2006/relationships/hyperlink" Target="https://drive.google.com/open?id=1opAPURNBhNBKtXavVCNi-Xrjlp5mocg7" TargetMode="External"/><Relationship Id="rId791" Type="http://schemas.openxmlformats.org/officeDocument/2006/relationships/hyperlink" Target="https://drive.google.com/open?id=11LvjRr1yngA87dL3a9bDJ4XLT8n0rZ8b" TargetMode="External"/><Relationship Id="rId889" Type="http://schemas.openxmlformats.org/officeDocument/2006/relationships/hyperlink" Target="https://drive.google.com/open?id=1pa3IZL6xEmkH5uhrl6yDwOjPH5G_YZUu" TargetMode="External"/><Relationship Id="rId444" Type="http://schemas.openxmlformats.org/officeDocument/2006/relationships/hyperlink" Target="https://drive.google.com/open?id=1RBwG02N52uegnQ7z2jvMe5DRvaC7m6JC" TargetMode="External"/><Relationship Id="rId651" Type="http://schemas.openxmlformats.org/officeDocument/2006/relationships/hyperlink" Target="https://drive.google.com/open?id=1sfBJcbW-cn6k5-dqVyXbgE0pOpkE-gw6" TargetMode="External"/><Relationship Id="rId749" Type="http://schemas.openxmlformats.org/officeDocument/2006/relationships/hyperlink" Target="https://drive.google.com/open?id=1Zd5a7BjhrdlxIgLHvIpECDphCv_1xBSG" TargetMode="External"/><Relationship Id="rId290" Type="http://schemas.openxmlformats.org/officeDocument/2006/relationships/hyperlink" Target="https://drive.google.com/open?id=1oepk_NYxsi5Q-Xalwwk4IhD6sSNPpHiX" TargetMode="External"/><Relationship Id="rId304" Type="http://schemas.openxmlformats.org/officeDocument/2006/relationships/hyperlink" Target="https://drive.google.com/open?id=1ocyJmdp3CUaFf6PSLTdzbAIRE4vGz21z" TargetMode="External"/><Relationship Id="rId388" Type="http://schemas.openxmlformats.org/officeDocument/2006/relationships/hyperlink" Target="https://drive.google.com/open?id=1J0wnz4DUDR_e1pEREaptgPmoG7VggKTq" TargetMode="External"/><Relationship Id="rId511" Type="http://schemas.openxmlformats.org/officeDocument/2006/relationships/hyperlink" Target="https://drive.google.com/open?id=1-EKaR7tHZQ2PyfO2uMwQ2uG16OyNE7ld" TargetMode="External"/><Relationship Id="rId609" Type="http://schemas.openxmlformats.org/officeDocument/2006/relationships/hyperlink" Target="https://drive.google.com/open?id=1wn_6-8wnAb1ivmgVjfiRj0BggbbBnvQj" TargetMode="External"/><Relationship Id="rId956" Type="http://schemas.openxmlformats.org/officeDocument/2006/relationships/hyperlink" Target="https://drive.google.com/open?id=1Tqwkmj5i9ZNmSXP4eWTqt6r2BpSeKuF_" TargetMode="External"/><Relationship Id="rId85" Type="http://schemas.openxmlformats.org/officeDocument/2006/relationships/hyperlink" Target="https://drive.google.com/open?id=1gkREtIsCDHOT5rxRJtOBSsfMPGx1Wo0j" TargetMode="External"/><Relationship Id="rId150" Type="http://schemas.openxmlformats.org/officeDocument/2006/relationships/hyperlink" Target="https://drive.google.com/open?id=1hcfYkxiCrfL4PEDYNJ-Pvn3os-3CMya2" TargetMode="External"/><Relationship Id="rId595" Type="http://schemas.openxmlformats.org/officeDocument/2006/relationships/hyperlink" Target="https://drive.google.com/open?id=1youyEJhRWxbmuHgmr1_j6zEpdpXXMC0I" TargetMode="External"/><Relationship Id="rId816" Type="http://schemas.openxmlformats.org/officeDocument/2006/relationships/hyperlink" Target="https://drive.google.com/open?id=1ZEf-sBGrxzqdjF4yBi-OZehlDr-HyabE" TargetMode="External"/><Relationship Id="rId1001" Type="http://schemas.openxmlformats.org/officeDocument/2006/relationships/table" Target="../tables/table2.xml"/><Relationship Id="rId248" Type="http://schemas.openxmlformats.org/officeDocument/2006/relationships/hyperlink" Target="https://drive.google.com/open?id=1sCFhoNqIYk5uxpCVAB8U_mp8UJtnLRjy" TargetMode="External"/><Relationship Id="rId455" Type="http://schemas.openxmlformats.org/officeDocument/2006/relationships/hyperlink" Target="https://drive.google.com/open?id=1wTO17BcJO3pGJppsIWeZRMJWK_C_S-9J" TargetMode="External"/><Relationship Id="rId662" Type="http://schemas.openxmlformats.org/officeDocument/2006/relationships/hyperlink" Target="https://drive.google.com/open?id=1mvgz7Pfup-_Ay69jivb0A7cb-6R7I3uj" TargetMode="External"/><Relationship Id="rId12" Type="http://schemas.openxmlformats.org/officeDocument/2006/relationships/hyperlink" Target="https://drive.google.com/open?id=1pjOKOuzKgL3QpAYB_sla0T29P3jqK4I_" TargetMode="External"/><Relationship Id="rId108" Type="http://schemas.openxmlformats.org/officeDocument/2006/relationships/hyperlink" Target="https://drive.google.com/open?id=18It2LXAG-9yP4cbtD0Sbd1kD7TWjvb-7" TargetMode="External"/><Relationship Id="rId315" Type="http://schemas.openxmlformats.org/officeDocument/2006/relationships/hyperlink" Target="https://drive.google.com/open?id=1aD1h_JD3tvqYoU3PA0gnWMsvBvUQF7Po" TargetMode="External"/><Relationship Id="rId522" Type="http://schemas.openxmlformats.org/officeDocument/2006/relationships/hyperlink" Target="https://drive.google.com/open?id=1lUEy4GyozX3QIcmxl-kriMWZ2gSGCWYu" TargetMode="External"/><Relationship Id="rId967" Type="http://schemas.openxmlformats.org/officeDocument/2006/relationships/hyperlink" Target="https://drive.google.com/open?id=1XQhzxavGT-lPg2-es8LAaFuJQwkDn3mi" TargetMode="External"/><Relationship Id="rId96" Type="http://schemas.openxmlformats.org/officeDocument/2006/relationships/hyperlink" Target="https://drive.google.com/open?id=1L9n6YaV_W-zCLC22jNe11Epraz8uQwXy" TargetMode="External"/><Relationship Id="rId161" Type="http://schemas.openxmlformats.org/officeDocument/2006/relationships/hyperlink" Target="https://drive.google.com/open?id=1rc9G4uB2NpfTJOfywCZPoWzd0RN4YbL1" TargetMode="External"/><Relationship Id="rId399" Type="http://schemas.openxmlformats.org/officeDocument/2006/relationships/hyperlink" Target="https://drive.google.com/open?id=16-V7X4knTYUXwP_qLKPQY0dRfKUymxlC" TargetMode="External"/><Relationship Id="rId827" Type="http://schemas.openxmlformats.org/officeDocument/2006/relationships/hyperlink" Target="https://drive.google.com/open?id=1jByGyZTpBoqejvcqDDulTsLEgtotDTPI" TargetMode="External"/><Relationship Id="rId259" Type="http://schemas.openxmlformats.org/officeDocument/2006/relationships/hyperlink" Target="https://drive.google.com/open?id=1zj38EVeIP50IUX1_t8xdCY7pl-MfBwRy" TargetMode="External"/><Relationship Id="rId466" Type="http://schemas.openxmlformats.org/officeDocument/2006/relationships/hyperlink" Target="https://drive.google.com/open?id=1kJQ4wPfnvUvKud2QcDyPla_TiLc3Mo0U" TargetMode="External"/><Relationship Id="rId673" Type="http://schemas.openxmlformats.org/officeDocument/2006/relationships/hyperlink" Target="https://drive.google.com/open?id=1jnI8SSYeir4BOfnGO9KWbhoxQ3yzvxoZ" TargetMode="External"/><Relationship Id="rId880" Type="http://schemas.openxmlformats.org/officeDocument/2006/relationships/hyperlink" Target="https://drive.google.com/open?id=1dhyAbtJ0QDQpXc1x-xWyGRBm162J_K01" TargetMode="External"/><Relationship Id="rId23" Type="http://schemas.openxmlformats.org/officeDocument/2006/relationships/hyperlink" Target="https://drive.google.com/open?id=1nORbTmcpxBPrftnjHw2261cffdPlvIVY" TargetMode="External"/><Relationship Id="rId119" Type="http://schemas.openxmlformats.org/officeDocument/2006/relationships/hyperlink" Target="https://drive.google.com/open?id=1oAv-RT0FczZsBfzB70xzXMbREjoAYdXg" TargetMode="External"/><Relationship Id="rId326" Type="http://schemas.openxmlformats.org/officeDocument/2006/relationships/hyperlink" Target="https://drive.google.com/open?id=1FZow0EyD3CcTBxiA1No1KEIlrCJsjmYD" TargetMode="External"/><Relationship Id="rId533" Type="http://schemas.openxmlformats.org/officeDocument/2006/relationships/hyperlink" Target="https://drive.google.com/open?id=1RPXNrwDG7qoYIYXwXIcJhVpYOkwOxsGe" TargetMode="External"/><Relationship Id="rId978" Type="http://schemas.openxmlformats.org/officeDocument/2006/relationships/hyperlink" Target="https://drive.google.com/open?id=1z4B0IdC_vvWkBAa43g97kcPdfK_2sOeW" TargetMode="External"/><Relationship Id="rId740" Type="http://schemas.openxmlformats.org/officeDocument/2006/relationships/hyperlink" Target="https://drive.google.com/open?id=1qLMGfJPdTGtE5bmnwvPmgrIVJaz0PpR3" TargetMode="External"/><Relationship Id="rId838" Type="http://schemas.openxmlformats.org/officeDocument/2006/relationships/hyperlink" Target="https://drive.google.com/open?id=1W8uUKVI4IP-NIVXqglwfxOHWa8aAYC-d" TargetMode="External"/><Relationship Id="rId172" Type="http://schemas.openxmlformats.org/officeDocument/2006/relationships/hyperlink" Target="https://drive.google.com/open?id=1RKqDkdQQjaXR7bHUmrY50y5v7GLE79s1" TargetMode="External"/><Relationship Id="rId477" Type="http://schemas.openxmlformats.org/officeDocument/2006/relationships/hyperlink" Target="https://drive.google.com/open?id=1S-0H8g1uER93jTNRzUSuCoVXdvkE0l83" TargetMode="External"/><Relationship Id="rId600" Type="http://schemas.openxmlformats.org/officeDocument/2006/relationships/hyperlink" Target="https://drive.google.com/open?id=1nE1dqD-0t029BprnuooU1Fts7n8ZDquq" TargetMode="External"/><Relationship Id="rId684" Type="http://schemas.openxmlformats.org/officeDocument/2006/relationships/hyperlink" Target="https://drive.google.com/open?id=1UAIYcpYrTRXyPtGsfGPlL7SRWr3OewLO" TargetMode="External"/><Relationship Id="rId337" Type="http://schemas.openxmlformats.org/officeDocument/2006/relationships/hyperlink" Target="https://drive.google.com/open?id=1url-ZC8QahSMgOTDb25ziI4VubrKlFL3" TargetMode="External"/><Relationship Id="rId891" Type="http://schemas.openxmlformats.org/officeDocument/2006/relationships/hyperlink" Target="https://drive.google.com/open?id=1PJ2QYuqXBWroxG6YTt86yUdebKliSJh5" TargetMode="External"/><Relationship Id="rId905" Type="http://schemas.openxmlformats.org/officeDocument/2006/relationships/hyperlink" Target="https://drive.google.com/open?id=1Urax7oaLIhyWc9K36j-w2HY7Mpah5idh" TargetMode="External"/><Relationship Id="rId989" Type="http://schemas.openxmlformats.org/officeDocument/2006/relationships/hyperlink" Target="https://drive.google.com/open?id=1AZwZTAFMolgWbrwS7oCXynfhyOnii3bH" TargetMode="External"/><Relationship Id="rId34" Type="http://schemas.openxmlformats.org/officeDocument/2006/relationships/hyperlink" Target="https://drive.google.com/open?id=1noq0udzq2cyXcvPQ8CqriVYKnZfRVq8Z" TargetMode="External"/><Relationship Id="rId544" Type="http://schemas.openxmlformats.org/officeDocument/2006/relationships/hyperlink" Target="https://drive.google.com/open?id=1bMwpZ-txX_uo5W7HQcjsSW80ZBZfaV3Y" TargetMode="External"/><Relationship Id="rId751" Type="http://schemas.openxmlformats.org/officeDocument/2006/relationships/hyperlink" Target="https://drive.google.com/open?id=1yeEGxDk_FccED2BnDVJD4DyizHstnuUm" TargetMode="External"/><Relationship Id="rId849" Type="http://schemas.openxmlformats.org/officeDocument/2006/relationships/hyperlink" Target="https://drive.google.com/open?id=1cjjYdaLF1eKK4JkaULO-LvxaMaLkpphx" TargetMode="External"/><Relationship Id="rId183" Type="http://schemas.openxmlformats.org/officeDocument/2006/relationships/hyperlink" Target="https://drive.google.com/open?id=1fpPpEIutiWZGRWRMbxlEtYN-BGuHhXzQ" TargetMode="External"/><Relationship Id="rId390" Type="http://schemas.openxmlformats.org/officeDocument/2006/relationships/hyperlink" Target="https://drive.google.com/open?id=13MfrZHKfjBoSMXgnoSg0ICgGFe9D3pgR" TargetMode="External"/><Relationship Id="rId404" Type="http://schemas.openxmlformats.org/officeDocument/2006/relationships/hyperlink" Target="https://drive.google.com/open?id=1Df5jqd_wG6aLJJcXqxgckb_nI-OsZnqQ" TargetMode="External"/><Relationship Id="rId611" Type="http://schemas.openxmlformats.org/officeDocument/2006/relationships/hyperlink" Target="https://drive.google.com/open?id=1v5vfMnEJAVIkdx7tJIeitJSn_NXH_9Xp" TargetMode="External"/><Relationship Id="rId250" Type="http://schemas.openxmlformats.org/officeDocument/2006/relationships/hyperlink" Target="https://drive.google.com/open?id=10AwjFmPS1GnJdgpLJcsqdApw0iH6mHWm" TargetMode="External"/><Relationship Id="rId488" Type="http://schemas.openxmlformats.org/officeDocument/2006/relationships/hyperlink" Target="https://drive.google.com/open?id=1Ccx_ohoTntBb526H8jcua3kMLQw2EuRw" TargetMode="External"/><Relationship Id="rId695" Type="http://schemas.openxmlformats.org/officeDocument/2006/relationships/hyperlink" Target="https://drive.google.com/open?id=1As1tEyQqj98FtGhK4wbQQtxJ5fuX1b1b" TargetMode="External"/><Relationship Id="rId709" Type="http://schemas.openxmlformats.org/officeDocument/2006/relationships/hyperlink" Target="https://drive.google.com/open?id=1tWP99SR5YLk4m4Yk_cshU-zJx9Iteezf" TargetMode="External"/><Relationship Id="rId916" Type="http://schemas.openxmlformats.org/officeDocument/2006/relationships/hyperlink" Target="https://drive.google.com/open?id=1owvmYQjXLgFMpzRBPAT01wmZngTHahx7" TargetMode="External"/><Relationship Id="rId45" Type="http://schemas.openxmlformats.org/officeDocument/2006/relationships/hyperlink" Target="https://drive.google.com/open?id=1l_D93bqziAri4Da5uyYMrgoxQwj0nxnf" TargetMode="External"/><Relationship Id="rId110" Type="http://schemas.openxmlformats.org/officeDocument/2006/relationships/hyperlink" Target="https://drive.google.com/open?id=1hyM-ggBIJ7z6dYIvEFXvqn3HhpBGSVe3" TargetMode="External"/><Relationship Id="rId348" Type="http://schemas.openxmlformats.org/officeDocument/2006/relationships/hyperlink" Target="https://drive.google.com/open?id=13yaMOoSg4pK4iQT_JQdVcYhuTmQYYCMr" TargetMode="External"/><Relationship Id="rId555" Type="http://schemas.openxmlformats.org/officeDocument/2006/relationships/hyperlink" Target="https://drive.google.com/open?id=1Nk8hPDKloUMkFNynxkxGE5yWcCqW9wCi" TargetMode="External"/><Relationship Id="rId762" Type="http://schemas.openxmlformats.org/officeDocument/2006/relationships/hyperlink" Target="https://drive.google.com/open?id=1SB9JjgvXZyw0XJUP_dFiYuWr06sOVC-X" TargetMode="External"/><Relationship Id="rId194" Type="http://schemas.openxmlformats.org/officeDocument/2006/relationships/hyperlink" Target="https://drive.google.com/open?id=1_9deMcMhN0g1d3Gp8DE7-Kxu_n5O6qSF" TargetMode="External"/><Relationship Id="rId208" Type="http://schemas.openxmlformats.org/officeDocument/2006/relationships/hyperlink" Target="https://drive.google.com/open?id=1McZ9AM7pPXP-sTAkXAa-fo-8seRg6AyK" TargetMode="External"/><Relationship Id="rId415" Type="http://schemas.openxmlformats.org/officeDocument/2006/relationships/hyperlink" Target="https://drive.google.com/open?id=1cDUze20ElV9Xh9DJ1EF1NtqNvEYqe7Uu" TargetMode="External"/><Relationship Id="rId622" Type="http://schemas.openxmlformats.org/officeDocument/2006/relationships/hyperlink" Target="https://drive.google.com/open?id=1nFAXWxWfRkuupZzXI8-3WVdam06CIBGF" TargetMode="External"/><Relationship Id="rId261" Type="http://schemas.openxmlformats.org/officeDocument/2006/relationships/hyperlink" Target="https://drive.google.com/open?id=1jdEVc7i0dvWPJaMNybomDRFnSykiT9m5" TargetMode="External"/><Relationship Id="rId499" Type="http://schemas.openxmlformats.org/officeDocument/2006/relationships/hyperlink" Target="https://drive.google.com/open?id=1xTd-12IylLv0u-cC4JqEXJdMb3rsyDXt" TargetMode="External"/><Relationship Id="rId927" Type="http://schemas.openxmlformats.org/officeDocument/2006/relationships/hyperlink" Target="https://drive.google.com/open?id=1xt0NsEmYtECKp87q3E9SePxpCZNI7UZE" TargetMode="External"/><Relationship Id="rId56" Type="http://schemas.openxmlformats.org/officeDocument/2006/relationships/hyperlink" Target="https://drive.google.com/open?id=177wIGkq19RdrBPgQyiIoZ5S73xkwSSqA" TargetMode="External"/><Relationship Id="rId359" Type="http://schemas.openxmlformats.org/officeDocument/2006/relationships/hyperlink" Target="https://drive.google.com/open?id=1alCQolshrV23eEO5JO1Wn-Q1iLFor41P" TargetMode="External"/><Relationship Id="rId566" Type="http://schemas.openxmlformats.org/officeDocument/2006/relationships/hyperlink" Target="https://drive.google.com/open?id=1uZXKErd8GapmyHbOYxqE79IJPzKb8oq3" TargetMode="External"/><Relationship Id="rId773" Type="http://schemas.openxmlformats.org/officeDocument/2006/relationships/hyperlink" Target="https://drive.google.com/open?id=1YEEoTFw25QUKSpYOgVk6zT5aDNF_oCiM" TargetMode="External"/><Relationship Id="rId121" Type="http://schemas.openxmlformats.org/officeDocument/2006/relationships/hyperlink" Target="https://drive.google.com/open?id=1OqF0SBfBKHfZMYRfW_52Tmun7ykbCzg8" TargetMode="External"/><Relationship Id="rId219" Type="http://schemas.openxmlformats.org/officeDocument/2006/relationships/hyperlink" Target="https://drive.google.com/open?id=19TtATU9E2x4kRXhO0hSo645IeVjtIaQg" TargetMode="External"/><Relationship Id="rId426" Type="http://schemas.openxmlformats.org/officeDocument/2006/relationships/hyperlink" Target="https://drive.google.com/open?id=1XsfJJQRpGFvmG93FSQ2JSYxiIelgujea" TargetMode="External"/><Relationship Id="rId633" Type="http://schemas.openxmlformats.org/officeDocument/2006/relationships/hyperlink" Target="https://drive.google.com/open?id=1uuEPJT_02iRzPsFKw_0dJ9Iss0lvcPYL" TargetMode="External"/><Relationship Id="rId980" Type="http://schemas.openxmlformats.org/officeDocument/2006/relationships/hyperlink" Target="https://drive.google.com/open?id=1n2huqDBMaFnrMW9whIORELiimZTnJdDl" TargetMode="External"/><Relationship Id="rId840" Type="http://schemas.openxmlformats.org/officeDocument/2006/relationships/hyperlink" Target="https://drive.google.com/open?id=1kfT_xv-i8REWvO34ADFiEYNrANmTyWXb" TargetMode="External"/><Relationship Id="rId938" Type="http://schemas.openxmlformats.org/officeDocument/2006/relationships/hyperlink" Target="https://drive.google.com/open?id=1XzFq1dNh6lmXCbZCCe_7VCd5K3q2YvAX" TargetMode="External"/><Relationship Id="rId67" Type="http://schemas.openxmlformats.org/officeDocument/2006/relationships/hyperlink" Target="https://drive.google.com/open?id=1pdZb8uUHneFVX8qkyiHW4duP8qpsVwud" TargetMode="External"/><Relationship Id="rId272" Type="http://schemas.openxmlformats.org/officeDocument/2006/relationships/hyperlink" Target="https://drive.google.com/open?id=1GTRayTu-pMsNB-oUHVzfmo3Z5xDG54on" TargetMode="External"/><Relationship Id="rId577" Type="http://schemas.openxmlformats.org/officeDocument/2006/relationships/hyperlink" Target="https://drive.google.com/open?id=1SoML9WLgukMwmD1oCjWKXMSGzqTugBsT" TargetMode="External"/><Relationship Id="rId700" Type="http://schemas.openxmlformats.org/officeDocument/2006/relationships/hyperlink" Target="https://drive.google.com/open?id=1gv7ODfZk4ge0GE2stIY0xJiyXhXtma6t" TargetMode="External"/><Relationship Id="rId132" Type="http://schemas.openxmlformats.org/officeDocument/2006/relationships/hyperlink" Target="https://drive.google.com/open?id=17Z9wr0jpEBlwObHq-vYcpNlLxcE08Zff" TargetMode="External"/><Relationship Id="rId784" Type="http://schemas.openxmlformats.org/officeDocument/2006/relationships/hyperlink" Target="https://drive.google.com/open?id=1EJaxboMfsnIw7svgp3d4p5FTuBgz0J5P" TargetMode="External"/><Relationship Id="rId991" Type="http://schemas.openxmlformats.org/officeDocument/2006/relationships/hyperlink" Target="https://drive.google.com/open?id=1SYSo8NgWqwP7LvMZQraTUGhmxVJpu__U" TargetMode="External"/><Relationship Id="rId437" Type="http://schemas.openxmlformats.org/officeDocument/2006/relationships/hyperlink" Target="https://drive.google.com/open?id=1_eosak6hac31j3irDpQDQn2LS8ER1iyw" TargetMode="External"/><Relationship Id="rId644" Type="http://schemas.openxmlformats.org/officeDocument/2006/relationships/hyperlink" Target="https://drive.google.com/open?id=1Ic2Vj8A-Ak3P2y_ojJ7dBmI0VQ40riVA" TargetMode="External"/><Relationship Id="rId851" Type="http://schemas.openxmlformats.org/officeDocument/2006/relationships/hyperlink" Target="https://drive.google.com/open?id=1tjeBI6TIVdBIX7UP0HGQTzewzLswQ2VP" TargetMode="External"/><Relationship Id="rId283" Type="http://schemas.openxmlformats.org/officeDocument/2006/relationships/hyperlink" Target="https://drive.google.com/open?id=1cxStzcL6j6vFkcSdxEjk-GJbHw-iggfV" TargetMode="External"/><Relationship Id="rId490" Type="http://schemas.openxmlformats.org/officeDocument/2006/relationships/hyperlink" Target="https://drive.google.com/open?id=1Sb5ODLcXp5FHxbcPxILsfMgAj0ohXRLc" TargetMode="External"/><Relationship Id="rId504" Type="http://schemas.openxmlformats.org/officeDocument/2006/relationships/hyperlink" Target="https://drive.google.com/open?id=1kErK_ULPgEbfWZgo3LxhAZ-tiCZlN1Bn" TargetMode="External"/><Relationship Id="rId711" Type="http://schemas.openxmlformats.org/officeDocument/2006/relationships/hyperlink" Target="https://drive.google.com/open?id=1-uhoxthpVnat3rm9fdxQyqSLua2hCZm8" TargetMode="External"/><Relationship Id="rId949" Type="http://schemas.openxmlformats.org/officeDocument/2006/relationships/hyperlink" Target="https://drive.google.com/open?id=1Uk-4aV46awfNg7DajyTxylBzp0I3lTW-" TargetMode="External"/><Relationship Id="rId78" Type="http://schemas.openxmlformats.org/officeDocument/2006/relationships/hyperlink" Target="https://drive.google.com/open?id=1oevgsTlIO0Cn1s6DNE2R_inPDcKZQc14" TargetMode="External"/><Relationship Id="rId143" Type="http://schemas.openxmlformats.org/officeDocument/2006/relationships/hyperlink" Target="https://drive.google.com/open?id=1T3B2AVc9BTFg-Tc2zpV9iXMsRblvLD-p" TargetMode="External"/><Relationship Id="rId350" Type="http://schemas.openxmlformats.org/officeDocument/2006/relationships/hyperlink" Target="https://drive.google.com/open?id=1rp4IwssczdDcGDVNezvzO2ZAvrY0iV_W" TargetMode="External"/><Relationship Id="rId588" Type="http://schemas.openxmlformats.org/officeDocument/2006/relationships/hyperlink" Target="https://drive.google.com/open?id=1Z3BNXsWmZ1M04Z3CrxheYOldx8CWiLEQ" TargetMode="External"/><Relationship Id="rId795" Type="http://schemas.openxmlformats.org/officeDocument/2006/relationships/hyperlink" Target="https://drive.google.com/open?id=14eUxKM8mdZSmdTi8UwQW5ytPY_DSrTrk" TargetMode="External"/><Relationship Id="rId809" Type="http://schemas.openxmlformats.org/officeDocument/2006/relationships/hyperlink" Target="https://drive.google.com/open?id=1745Nshev7H5ArJVtN1TedQ7G0t6_YeBT" TargetMode="External"/><Relationship Id="rId9" Type="http://schemas.openxmlformats.org/officeDocument/2006/relationships/hyperlink" Target="https://drive.google.com/open?id=1efhBH9WAAC4fqSjPMKqfoJzcJ8yjaqGc" TargetMode="External"/><Relationship Id="rId210" Type="http://schemas.openxmlformats.org/officeDocument/2006/relationships/hyperlink" Target="https://drive.google.com/open?id=1FyNZuc2OvWAGZx7ZSMnvFhV1pZDkorHB" TargetMode="External"/><Relationship Id="rId448" Type="http://schemas.openxmlformats.org/officeDocument/2006/relationships/hyperlink" Target="https://drive.google.com/open?id=19f0vwas6aYJOjM38WQJymYYBK2dZYLAu" TargetMode="External"/><Relationship Id="rId655" Type="http://schemas.openxmlformats.org/officeDocument/2006/relationships/hyperlink" Target="https://drive.google.com/open?id=1m_ctTZZI1hGCy7vQUvF8LSVmZmnt8UMN" TargetMode="External"/><Relationship Id="rId862" Type="http://schemas.openxmlformats.org/officeDocument/2006/relationships/hyperlink" Target="https://drive.google.com/open?id=1ufzvzARHGmWk-thiLyuFD2xepUvPVMSD" TargetMode="External"/><Relationship Id="rId294" Type="http://schemas.openxmlformats.org/officeDocument/2006/relationships/hyperlink" Target="https://drive.google.com/open?id=1Auj9xnnNFVmvyS7QyfFkMVTEqvu-GGHn" TargetMode="External"/><Relationship Id="rId308" Type="http://schemas.openxmlformats.org/officeDocument/2006/relationships/hyperlink" Target="https://drive.google.com/open?id=1h7mf7zQC0pyh7A1QsXE_I0Ebf6Q1cQo5" TargetMode="External"/><Relationship Id="rId515" Type="http://schemas.openxmlformats.org/officeDocument/2006/relationships/hyperlink" Target="https://drive.google.com/open?id=1GCkGuZbt7dqqjIOiav-xK9UQ0mL5Tvlr" TargetMode="External"/><Relationship Id="rId722" Type="http://schemas.openxmlformats.org/officeDocument/2006/relationships/hyperlink" Target="https://drive.google.com/open?id=1p2SRaxuoTQ3TNSFbPOD2IRPG4Ez7c3mL" TargetMode="External"/><Relationship Id="rId89" Type="http://schemas.openxmlformats.org/officeDocument/2006/relationships/hyperlink" Target="https://drive.google.com/open?id=11OaXzX2XtZMcd2aRHxRXuSlJQunSBC7E" TargetMode="External"/><Relationship Id="rId154" Type="http://schemas.openxmlformats.org/officeDocument/2006/relationships/hyperlink" Target="https://drive.google.com/open?id=1YafHreTtRx29Ps-iToKu0RQ0CQW9Bo6-" TargetMode="External"/><Relationship Id="rId361" Type="http://schemas.openxmlformats.org/officeDocument/2006/relationships/hyperlink" Target="https://drive.google.com/open?id=1IfHvGZm_Y0m0UI0GzVXRCeFgHfeLTu7e" TargetMode="External"/><Relationship Id="rId599" Type="http://schemas.openxmlformats.org/officeDocument/2006/relationships/hyperlink" Target="https://drive.google.com/open?id=1A9IOrHWRwaT8BGGUHacFqgSO1AWcRGnz" TargetMode="External"/><Relationship Id="rId459" Type="http://schemas.openxmlformats.org/officeDocument/2006/relationships/hyperlink" Target="https://drive.google.com/open?id=1gCRWICjO44IJO8zYEvxHsPBfiTH7p00W" TargetMode="External"/><Relationship Id="rId666" Type="http://schemas.openxmlformats.org/officeDocument/2006/relationships/hyperlink" Target="https://drive.google.com/open?id=1xZgVxMWxxMxV4f35CZ_w0hMKj7y1ouYI" TargetMode="External"/><Relationship Id="rId873" Type="http://schemas.openxmlformats.org/officeDocument/2006/relationships/hyperlink" Target="https://drive.google.com/open?id=1JmzOuEaO7wHZfYaywUnSDiMQPNDWCFrc" TargetMode="External"/><Relationship Id="rId16" Type="http://schemas.openxmlformats.org/officeDocument/2006/relationships/hyperlink" Target="https://drive.google.com/open?id=1DYdKVIX7_acQ5DlbFotuKG2hTlft2-GG" TargetMode="External"/><Relationship Id="rId221" Type="http://schemas.openxmlformats.org/officeDocument/2006/relationships/hyperlink" Target="https://drive.google.com/open?id=1PPpT9-dYPEyXoDBIBgk4PkMGp56R9Gh-" TargetMode="External"/><Relationship Id="rId319" Type="http://schemas.openxmlformats.org/officeDocument/2006/relationships/hyperlink" Target="https://drive.google.com/open?id=1rCoSjlACG_pRSKU4w0X9qYZIMIOgA3Ps" TargetMode="External"/><Relationship Id="rId526" Type="http://schemas.openxmlformats.org/officeDocument/2006/relationships/hyperlink" Target="https://drive.google.com/open?id=18Rk4d3BcdXsrdg5GMCkLKiAVPP5sBUJr" TargetMode="External"/><Relationship Id="rId733" Type="http://schemas.openxmlformats.org/officeDocument/2006/relationships/hyperlink" Target="https://drive.google.com/open?id=1He9Gg_eN68htyHrx2qlR6bvg-B7h7s6n" TargetMode="External"/><Relationship Id="rId940" Type="http://schemas.openxmlformats.org/officeDocument/2006/relationships/hyperlink" Target="https://drive.google.com/open?id=194kdBqKCc1XRE4-xtDDQc1kvVY8nCMQF" TargetMode="External"/><Relationship Id="rId165" Type="http://schemas.openxmlformats.org/officeDocument/2006/relationships/hyperlink" Target="https://drive.google.com/open?id=1RK1WtySDwQ9ozvCcytmz4ZD-hzQbhUuK" TargetMode="External"/><Relationship Id="rId372" Type="http://schemas.openxmlformats.org/officeDocument/2006/relationships/hyperlink" Target="https://drive.google.com/open?id=1I67HW7vPrefdZ4KTmjopjn1P_5lPEqE3" TargetMode="External"/><Relationship Id="rId677" Type="http://schemas.openxmlformats.org/officeDocument/2006/relationships/hyperlink" Target="https://drive.google.com/open?id=19YIuNoEH1bFKuqadAgCtrBuRm3COyUtN" TargetMode="External"/><Relationship Id="rId800" Type="http://schemas.openxmlformats.org/officeDocument/2006/relationships/hyperlink" Target="https://drive.google.com/open?id=103EGoJSF4QM6IOc0L7GcbPmbh0P6FTin" TargetMode="External"/><Relationship Id="rId232" Type="http://schemas.openxmlformats.org/officeDocument/2006/relationships/hyperlink" Target="https://drive.google.com/open?id=1pFJLOgqs7-YJOVGhgKjFc6nNRq8paDhQ" TargetMode="External"/><Relationship Id="rId884" Type="http://schemas.openxmlformats.org/officeDocument/2006/relationships/hyperlink" Target="https://drive.google.com/open?id=1VSxKnxh8pbz4YMtVqHIJDv8al8bEq722" TargetMode="External"/><Relationship Id="rId27" Type="http://schemas.openxmlformats.org/officeDocument/2006/relationships/hyperlink" Target="https://drive.google.com/open?id=1wPsf9dmAp665gGOoDNht8p8i7oFwEf8G" TargetMode="External"/><Relationship Id="rId537" Type="http://schemas.openxmlformats.org/officeDocument/2006/relationships/hyperlink" Target="https://drive.google.com/open?id=1eYqNzT7MSYe-C8DCkzKavgWOSenD6TRW" TargetMode="External"/><Relationship Id="rId744" Type="http://schemas.openxmlformats.org/officeDocument/2006/relationships/hyperlink" Target="https://drive.google.com/open?id=1WXTPKYddg2fkR3koztU_NuLp0tiZrKBf" TargetMode="External"/><Relationship Id="rId951" Type="http://schemas.openxmlformats.org/officeDocument/2006/relationships/hyperlink" Target="https://drive.google.com/open?id=1J8Q_qih2ZkrEpAsOeNemz6p23_iADaJm" TargetMode="External"/><Relationship Id="rId80" Type="http://schemas.openxmlformats.org/officeDocument/2006/relationships/hyperlink" Target="https://drive.google.com/open?id=18IOyH-wxCz2m1DHQyWdSjDPGg8yi3hNA" TargetMode="External"/><Relationship Id="rId176" Type="http://schemas.openxmlformats.org/officeDocument/2006/relationships/hyperlink" Target="https://drive.google.com/open?id=1giLBUu4yxZ73EhTvCZlnat2-4-AjYJ8V" TargetMode="External"/><Relationship Id="rId383" Type="http://schemas.openxmlformats.org/officeDocument/2006/relationships/hyperlink" Target="https://drive.google.com/open?id=1Ve93M1s4Q8SYMAyw6BHwfc4w-t2vYzVv" TargetMode="External"/><Relationship Id="rId590" Type="http://schemas.openxmlformats.org/officeDocument/2006/relationships/hyperlink" Target="https://drive.google.com/open?id=1AOTz_R8fgCG9GiUDwG5JTEI8qBdXy_93" TargetMode="External"/><Relationship Id="rId604" Type="http://schemas.openxmlformats.org/officeDocument/2006/relationships/hyperlink" Target="https://drive.google.com/open?id=1rldpq92AT0V1kt8-QGoXmkZDnOTEgqyK" TargetMode="External"/><Relationship Id="rId811" Type="http://schemas.openxmlformats.org/officeDocument/2006/relationships/hyperlink" Target="https://drive.google.com/open?id=19QIkYgeMRrmoYFdZVw9YYRSB0OHqiOEP" TargetMode="External"/><Relationship Id="rId243" Type="http://schemas.openxmlformats.org/officeDocument/2006/relationships/hyperlink" Target="https://drive.google.com/open?id=19Vs2KyWKhRaShiO-M7rJN6JgU-PiDqec" TargetMode="External"/><Relationship Id="rId450" Type="http://schemas.openxmlformats.org/officeDocument/2006/relationships/hyperlink" Target="https://drive.google.com/open?id=1Q4Az-NxgQyJyBHa9nB4lcbDpJb3lC8ty" TargetMode="External"/><Relationship Id="rId688" Type="http://schemas.openxmlformats.org/officeDocument/2006/relationships/hyperlink" Target="https://drive.google.com/open?id=1C7oo7vumH6q9OmGErLs8VsG18Y7Z40Lq" TargetMode="External"/><Relationship Id="rId895" Type="http://schemas.openxmlformats.org/officeDocument/2006/relationships/hyperlink" Target="https://drive.google.com/open?id=1Imn878KCxAQcQkR_8pCaIJLx3fd4RfTr" TargetMode="External"/><Relationship Id="rId909" Type="http://schemas.openxmlformats.org/officeDocument/2006/relationships/hyperlink" Target="https://drive.google.com/open?id=1goQtyc8Mu7OmjJ1cIVPhyAqTwusJBmYj" TargetMode="External"/><Relationship Id="rId38" Type="http://schemas.openxmlformats.org/officeDocument/2006/relationships/hyperlink" Target="https://drive.google.com/open?id=1vOCstaTw0qawpUdRY-_LxfDXk06B5B5o" TargetMode="External"/><Relationship Id="rId103" Type="http://schemas.openxmlformats.org/officeDocument/2006/relationships/hyperlink" Target="https://drive.google.com/open?id=1pwP5zQMrEEQIBJaZ1JaisbrrmvEwWo2Q" TargetMode="External"/><Relationship Id="rId310" Type="http://schemas.openxmlformats.org/officeDocument/2006/relationships/hyperlink" Target="https://drive.google.com/open?id=15nxRVo9bGbkXCTgqA-sbQ3bGANSlhB_K" TargetMode="External"/><Relationship Id="rId548" Type="http://schemas.openxmlformats.org/officeDocument/2006/relationships/hyperlink" Target="https://drive.google.com/open?id=1g39m7k4oIAZkdJ2YohdiXI_2DlDSR2RW" TargetMode="External"/><Relationship Id="rId755" Type="http://schemas.openxmlformats.org/officeDocument/2006/relationships/hyperlink" Target="https://drive.google.com/open?id=1OjF-TCZeyvU9HAYNcEDrJP7FIAvsgTxE" TargetMode="External"/><Relationship Id="rId962" Type="http://schemas.openxmlformats.org/officeDocument/2006/relationships/hyperlink" Target="https://drive.google.com/open?id=1QVBumnz-_cOIqCxu1vFHCJIu1sGFpH6q" TargetMode="External"/><Relationship Id="rId91" Type="http://schemas.openxmlformats.org/officeDocument/2006/relationships/hyperlink" Target="https://drive.google.com/open?id=13kdosjaPvRieMQppIYF7js__FusNvbIs" TargetMode="External"/><Relationship Id="rId187" Type="http://schemas.openxmlformats.org/officeDocument/2006/relationships/hyperlink" Target="https://drive.google.com/open?id=1R8DMYnHdEKWzc0x9gQ0dS4dNEhlG0B3m" TargetMode="External"/><Relationship Id="rId394" Type="http://schemas.openxmlformats.org/officeDocument/2006/relationships/hyperlink" Target="https://drive.google.com/open?id=1UuRA4Whj8ugXVvn8Y62k1P9-_OZoA3Sy" TargetMode="External"/><Relationship Id="rId408" Type="http://schemas.openxmlformats.org/officeDocument/2006/relationships/hyperlink" Target="https://drive.google.com/open?id=1JAwOg9sHKc2ILcWP8mk1e6aVXqtPDDYI" TargetMode="External"/><Relationship Id="rId615" Type="http://schemas.openxmlformats.org/officeDocument/2006/relationships/hyperlink" Target="https://drive.google.com/open?id=1Fi1-0e1eRBKMSOLwbY9hmPsRR7XG01RW" TargetMode="External"/><Relationship Id="rId822" Type="http://schemas.openxmlformats.org/officeDocument/2006/relationships/hyperlink" Target="https://drive.google.com/open?id=1vwNJFZa-BIxW2LHcqgAvnsR0fj2MWe47" TargetMode="External"/><Relationship Id="rId254" Type="http://schemas.openxmlformats.org/officeDocument/2006/relationships/hyperlink" Target="https://drive.google.com/open?id=1zMoJbDWhBLn-r7zaiq9qTeeAUCA6Tgh6" TargetMode="External"/><Relationship Id="rId699" Type="http://schemas.openxmlformats.org/officeDocument/2006/relationships/hyperlink" Target="https://drive.google.com/open?id=1KJ0FzJHy04fqO6y1Lz5wAb9REgbs7hmC" TargetMode="External"/><Relationship Id="rId49" Type="http://schemas.openxmlformats.org/officeDocument/2006/relationships/hyperlink" Target="https://drive.google.com/open?id=1ULQZZg3QzbcVvON3zBkzWAON0kFBUlMk" TargetMode="External"/><Relationship Id="rId114" Type="http://schemas.openxmlformats.org/officeDocument/2006/relationships/hyperlink" Target="https://drive.google.com/open?id=1oF9C6n6dCjOpL_Ax8z5ffYfprp0fY4AZ" TargetMode="External"/><Relationship Id="rId461" Type="http://schemas.openxmlformats.org/officeDocument/2006/relationships/hyperlink" Target="https://drive.google.com/open?id=1nWnq1pzrS036-E1-2RkdqSY1PJ4UYKOA" TargetMode="External"/><Relationship Id="rId559" Type="http://schemas.openxmlformats.org/officeDocument/2006/relationships/hyperlink" Target="https://drive.google.com/open?id=1LtbBXILJvclTHNUEYy8D-J3Z2VUCQ_S_" TargetMode="External"/><Relationship Id="rId766" Type="http://schemas.openxmlformats.org/officeDocument/2006/relationships/hyperlink" Target="https://drive.google.com/open?id=1T8vvL95ZOFAcSsfLT1MHkZpKgnd4CbIB" TargetMode="External"/><Relationship Id="rId198" Type="http://schemas.openxmlformats.org/officeDocument/2006/relationships/hyperlink" Target="https://drive.google.com/open?id=1n_Yc9gLV_oB96xEUTZLDYDvXhQN3B3K5" TargetMode="External"/><Relationship Id="rId321" Type="http://schemas.openxmlformats.org/officeDocument/2006/relationships/hyperlink" Target="https://drive.google.com/open?id=1vmwv9XcqXpnYxmJ_WeuvEvwLSiYtaF9f" TargetMode="External"/><Relationship Id="rId419" Type="http://schemas.openxmlformats.org/officeDocument/2006/relationships/hyperlink" Target="https://drive.google.com/open?id=1CF12Gpjv24WOZYv7OVL9K52tSwuo0wrO" TargetMode="External"/><Relationship Id="rId626" Type="http://schemas.openxmlformats.org/officeDocument/2006/relationships/hyperlink" Target="https://drive.google.com/open?id=1kD7f9NWZSVPJM08MO5PEEKqbhj-yLDTZ" TargetMode="External"/><Relationship Id="rId973" Type="http://schemas.openxmlformats.org/officeDocument/2006/relationships/hyperlink" Target="https://drive.google.com/open?id=1oaRzVwR-Q7VZmqxgew8fIx8iyuxSPVs5" TargetMode="External"/><Relationship Id="rId833" Type="http://schemas.openxmlformats.org/officeDocument/2006/relationships/hyperlink" Target="https://drive.google.com/open?id=1t85s2MOkmvdph9zrgdqCaGT-A8gc2qqq" TargetMode="External"/><Relationship Id="rId265" Type="http://schemas.openxmlformats.org/officeDocument/2006/relationships/hyperlink" Target="https://drive.google.com/open?id=1lQZnq51zrmV3g8Qo9gtE6mki07vFbbs9" TargetMode="External"/><Relationship Id="rId472" Type="http://schemas.openxmlformats.org/officeDocument/2006/relationships/hyperlink" Target="https://drive.google.com/open?id=1gN0kblhVK2_q_-wKz18OD9awKZ4rGD-M" TargetMode="External"/><Relationship Id="rId900" Type="http://schemas.openxmlformats.org/officeDocument/2006/relationships/hyperlink" Target="https://drive.google.com/open?id=12RBGh-yjvR1CWU3IllXi8idN532-gmxt" TargetMode="External"/><Relationship Id="rId125" Type="http://schemas.openxmlformats.org/officeDocument/2006/relationships/hyperlink" Target="https://drive.google.com/open?id=1scz93qvi8upC8KNZclLtfIw6QXkGWwda" TargetMode="External"/><Relationship Id="rId332" Type="http://schemas.openxmlformats.org/officeDocument/2006/relationships/hyperlink" Target="https://drive.google.com/open?id=1HWPlk6ZIlA12KgJle6puXpyvWWVL891F" TargetMode="External"/><Relationship Id="rId777" Type="http://schemas.openxmlformats.org/officeDocument/2006/relationships/hyperlink" Target="https://drive.google.com/open?id=1iLEwPgUp5sl2u6duJfq1IcFXtpBwma3a" TargetMode="External"/><Relationship Id="rId984" Type="http://schemas.openxmlformats.org/officeDocument/2006/relationships/hyperlink" Target="https://drive.google.com/open?id=1aKM_TLi5OddwxIFrnDHON-PYwR9ckDbK" TargetMode="External"/><Relationship Id="rId637" Type="http://schemas.openxmlformats.org/officeDocument/2006/relationships/hyperlink" Target="https://drive.google.com/open?id=1h3zSml1oQ0BEHnTs1_3kI9uynRlrsT0X" TargetMode="External"/><Relationship Id="rId844" Type="http://schemas.openxmlformats.org/officeDocument/2006/relationships/hyperlink" Target="https://drive.google.com/open?id=1wZwCm_-8plJvs5ZbPiJ_EX2eAAn7xb8N" TargetMode="External"/><Relationship Id="rId276" Type="http://schemas.openxmlformats.org/officeDocument/2006/relationships/hyperlink" Target="https://drive.google.com/open?id=184iQ_5YpJkyfFkWytal8LQAfwi3blTEV" TargetMode="External"/><Relationship Id="rId483" Type="http://schemas.openxmlformats.org/officeDocument/2006/relationships/hyperlink" Target="https://drive.google.com/open?id=1RSbDv4ivy-zwUCVFPpAsTvCHQwTWs1Jf" TargetMode="External"/><Relationship Id="rId690" Type="http://schemas.openxmlformats.org/officeDocument/2006/relationships/hyperlink" Target="https://drive.google.com/open?id=1q2uHS4oRbicrLugtO3xpaSSu8ECy0KqF" TargetMode="External"/><Relationship Id="rId704" Type="http://schemas.openxmlformats.org/officeDocument/2006/relationships/hyperlink" Target="https://drive.google.com/open?id=1ey5wmj6Xd3NmcmEnAM6uhOsorBFkwWg-" TargetMode="External"/><Relationship Id="rId911" Type="http://schemas.openxmlformats.org/officeDocument/2006/relationships/hyperlink" Target="https://drive.google.com/open?id=1oHWHpswa2a6admoRAFt3SnCoK7Ko3T7y" TargetMode="External"/><Relationship Id="rId40" Type="http://schemas.openxmlformats.org/officeDocument/2006/relationships/hyperlink" Target="https://drive.google.com/open?id=1u6dCdfNtinTesprSra0Hy10_w0XRPPyQ" TargetMode="External"/><Relationship Id="rId136" Type="http://schemas.openxmlformats.org/officeDocument/2006/relationships/hyperlink" Target="https://drive.google.com/open?id=1GzhTadtzKuA4F02TcpS5laKFX6lWIl9A" TargetMode="External"/><Relationship Id="rId343" Type="http://schemas.openxmlformats.org/officeDocument/2006/relationships/hyperlink" Target="https://drive.google.com/open?id=1v4kizJ7CHe5_jntdEJ0yJozO44jhXUIr" TargetMode="External"/><Relationship Id="rId550" Type="http://schemas.openxmlformats.org/officeDocument/2006/relationships/hyperlink" Target="https://drive.google.com/open?id=1cOhiyJAWyZC2zWsy5x6KREQGK4WPtOUJ" TargetMode="External"/><Relationship Id="rId788" Type="http://schemas.openxmlformats.org/officeDocument/2006/relationships/hyperlink" Target="https://drive.google.com/open?id=1G5xO4aa_10kk313YfNpcMr3Gkg0-Gi51" TargetMode="External"/><Relationship Id="rId995" Type="http://schemas.openxmlformats.org/officeDocument/2006/relationships/hyperlink" Target="https://drive.google.com/open?id=1f0V7slnrenpO_zfTsC7kPGawrWcnxwP8" TargetMode="External"/><Relationship Id="rId203" Type="http://schemas.openxmlformats.org/officeDocument/2006/relationships/hyperlink" Target="https://drive.google.com/open?id=1kvC2zufAQ6pqEpqbYbQDxe8t6o4mvM85" TargetMode="External"/><Relationship Id="rId648" Type="http://schemas.openxmlformats.org/officeDocument/2006/relationships/hyperlink" Target="https://drive.google.com/open?id=1CHvA6b35PjrDD8yp35I3bHzKdA606sqK" TargetMode="External"/><Relationship Id="rId855" Type="http://schemas.openxmlformats.org/officeDocument/2006/relationships/hyperlink" Target="https://drive.google.com/open?id=1-xeHjpHNAIXROz85xt3cInewvjsa8AQJ" TargetMode="External"/><Relationship Id="rId287" Type="http://schemas.openxmlformats.org/officeDocument/2006/relationships/hyperlink" Target="https://drive.google.com/open?id=1lj7Fqzp3qX7h1PbJAWXMFc_XsK7BAqlt" TargetMode="External"/><Relationship Id="rId410" Type="http://schemas.openxmlformats.org/officeDocument/2006/relationships/hyperlink" Target="https://drive.google.com/open?id=1aM9X2lJ97d7Ot1B4AXdiosKPd-NvfeY0" TargetMode="External"/><Relationship Id="rId494" Type="http://schemas.openxmlformats.org/officeDocument/2006/relationships/hyperlink" Target="https://drive.google.com/open?id=1MgVi72dNV2KsDJbQrOz5lct9robnQwGA" TargetMode="External"/><Relationship Id="rId508" Type="http://schemas.openxmlformats.org/officeDocument/2006/relationships/hyperlink" Target="https://drive.google.com/open?id=1S874AKmsPGPgO5U7Y-qje8velopfbEWe" TargetMode="External"/><Relationship Id="rId715" Type="http://schemas.openxmlformats.org/officeDocument/2006/relationships/hyperlink" Target="https://drive.google.com/open?id=1dSfKYrBsGOXVKfeObeBQZvaIpMa6ip7v" TargetMode="External"/><Relationship Id="rId922" Type="http://schemas.openxmlformats.org/officeDocument/2006/relationships/hyperlink" Target="https://drive.google.com/open?id=1VYtiVdo_SSCZlgez-Jz8B0Hk5MA8125z" TargetMode="External"/><Relationship Id="rId147" Type="http://schemas.openxmlformats.org/officeDocument/2006/relationships/hyperlink" Target="https://drive.google.com/open?id=1YB_qwntXnfwV-uNOdj_ZC8_rAfKHkImW" TargetMode="External"/><Relationship Id="rId354" Type="http://schemas.openxmlformats.org/officeDocument/2006/relationships/hyperlink" Target="https://drive.google.com/open?id=1hiv39p4mJ8hu-I76s5cIYtSpqNbtu3Nb" TargetMode="External"/><Relationship Id="rId799" Type="http://schemas.openxmlformats.org/officeDocument/2006/relationships/hyperlink" Target="https://drive.google.com/open?id=1gtPUzys6u231882rYeAarvGcWvM_my89" TargetMode="External"/><Relationship Id="rId51" Type="http://schemas.openxmlformats.org/officeDocument/2006/relationships/hyperlink" Target="https://drive.google.com/open?id=10GyuxMttWwVE_V3UvHC_lXCggQ_0VIm5" TargetMode="External"/><Relationship Id="rId561" Type="http://schemas.openxmlformats.org/officeDocument/2006/relationships/hyperlink" Target="https://drive.google.com/open?id=1s2CXUxjRucytwIuwJRvBWB227V46yrtv" TargetMode="External"/><Relationship Id="rId659" Type="http://schemas.openxmlformats.org/officeDocument/2006/relationships/hyperlink" Target="https://drive.google.com/open?id=13bA_oOG9QVNyY9J0HEuRe2dpeZ6ye6WI" TargetMode="External"/><Relationship Id="rId866" Type="http://schemas.openxmlformats.org/officeDocument/2006/relationships/hyperlink" Target="https://drive.google.com/open?id=1ve9hrBUU9BsozQ21Su45t67l_pK7CjqA" TargetMode="External"/><Relationship Id="rId214" Type="http://schemas.openxmlformats.org/officeDocument/2006/relationships/hyperlink" Target="https://drive.google.com/open?id=1cWHTWlTsZMgj1WxZmcUEJXO9Cubti9jR" TargetMode="External"/><Relationship Id="rId298" Type="http://schemas.openxmlformats.org/officeDocument/2006/relationships/hyperlink" Target="https://drive.google.com/open?id=1fWOcKZ8wajc5szvkjrK-pWyMM2HJ5Qpz" TargetMode="External"/><Relationship Id="rId421" Type="http://schemas.openxmlformats.org/officeDocument/2006/relationships/hyperlink" Target="https://drive.google.com/open?id=1HZyStWGuD0-YUoY5Maki7MBZT7PvAIVx" TargetMode="External"/><Relationship Id="rId519" Type="http://schemas.openxmlformats.org/officeDocument/2006/relationships/hyperlink" Target="https://drive.google.com/open?id=1vDQDvxTgZRTXiUzvY78pCAK3Dlx_Lqkn" TargetMode="External"/><Relationship Id="rId158" Type="http://schemas.openxmlformats.org/officeDocument/2006/relationships/hyperlink" Target="https://drive.google.com/open?id=1EYwG99HIOy4hlYYkn0b7pEOQ8VivBpDX" TargetMode="External"/><Relationship Id="rId726" Type="http://schemas.openxmlformats.org/officeDocument/2006/relationships/hyperlink" Target="https://drive.google.com/open?id=1G9pWi4Y28Gfqkr2riaZumn5zaYbYXE8l" TargetMode="External"/><Relationship Id="rId933" Type="http://schemas.openxmlformats.org/officeDocument/2006/relationships/hyperlink" Target="https://drive.google.com/open?id=1tbSIZfPfrC7Fo8zBa9HdbXUyJTChsuKw" TargetMode="External"/><Relationship Id="rId62" Type="http://schemas.openxmlformats.org/officeDocument/2006/relationships/hyperlink" Target="https://drive.google.com/open?id=1tDRCo2DfiZGvP3U6AmgCmHfVKf-9-NgA" TargetMode="External"/><Relationship Id="rId365" Type="http://schemas.openxmlformats.org/officeDocument/2006/relationships/hyperlink" Target="https://drive.google.com/open?id=1-n_5lERE6G8mCih3DRF_TfSMEcXyOYcp" TargetMode="External"/><Relationship Id="rId572" Type="http://schemas.openxmlformats.org/officeDocument/2006/relationships/hyperlink" Target="https://drive.google.com/open?id=1dskQr5jYbjBUG6IjZYWkmsucRJ-LvP7A" TargetMode="External"/><Relationship Id="rId225" Type="http://schemas.openxmlformats.org/officeDocument/2006/relationships/hyperlink" Target="https://drive.google.com/open?id=1dK5Aoe5yeI7OTv796i8EASQgfrnILVIK" TargetMode="External"/><Relationship Id="rId432" Type="http://schemas.openxmlformats.org/officeDocument/2006/relationships/hyperlink" Target="https://drive.google.com/open?id=1JRysmcg1T7Mwo9HuHBgHRxqQxNw1ne_P" TargetMode="External"/><Relationship Id="rId877" Type="http://schemas.openxmlformats.org/officeDocument/2006/relationships/hyperlink" Target="https://drive.google.com/open?id=1bMr5JxPY8d1PVndxaOUjYcpZ4bn5ND2V" TargetMode="External"/><Relationship Id="rId737" Type="http://schemas.openxmlformats.org/officeDocument/2006/relationships/hyperlink" Target="https://drive.google.com/open?id=1mkb4fL4sfzZ_sjgpaY6IEdiUSJhbGbRN" TargetMode="External"/><Relationship Id="rId944" Type="http://schemas.openxmlformats.org/officeDocument/2006/relationships/hyperlink" Target="https://drive.google.com/open?id=1XS3Uj56yk8gMyjOq03NkzXe6uRyOHADn" TargetMode="External"/><Relationship Id="rId73" Type="http://schemas.openxmlformats.org/officeDocument/2006/relationships/hyperlink" Target="https://drive.google.com/open?id=12_rbVetfYmPi6BVjzrId8Y9Fda6e1s7c" TargetMode="External"/><Relationship Id="rId169" Type="http://schemas.openxmlformats.org/officeDocument/2006/relationships/hyperlink" Target="https://drive.google.com/open?id=1y2siOoFkcXuyi_KHuqGSbmATyHYqWBWF" TargetMode="External"/><Relationship Id="rId376" Type="http://schemas.openxmlformats.org/officeDocument/2006/relationships/hyperlink" Target="https://drive.google.com/open?id=1YHGHM-NkrABDN1s7MxZE0lKkFyXmfelS" TargetMode="External"/><Relationship Id="rId583" Type="http://schemas.openxmlformats.org/officeDocument/2006/relationships/hyperlink" Target="https://drive.google.com/open?id=1loJ6NslCNcAI4sQBZKg9ISXrQT6ZUDMh" TargetMode="External"/><Relationship Id="rId790" Type="http://schemas.openxmlformats.org/officeDocument/2006/relationships/hyperlink" Target="https://drive.google.com/open?id=1XOybKa_VGz5RGueHumPoTgQ1tEmqcvHl" TargetMode="External"/><Relationship Id="rId804" Type="http://schemas.openxmlformats.org/officeDocument/2006/relationships/hyperlink" Target="https://drive.google.com/open?id=1xrm1w3ot2bBpDU8S6VvD2_raLprr8i0U" TargetMode="External"/><Relationship Id="rId4" Type="http://schemas.openxmlformats.org/officeDocument/2006/relationships/hyperlink" Target="https://drive.google.com/open?id=1hSYRhvDmkYDpL-C3N8CpANJme0eFKxMl" TargetMode="External"/><Relationship Id="rId236" Type="http://schemas.openxmlformats.org/officeDocument/2006/relationships/hyperlink" Target="https://drive.google.com/open?id=1lU8XXm_v6qfRinEdeNHyWeg9ecm49wkJ" TargetMode="External"/><Relationship Id="rId443" Type="http://schemas.openxmlformats.org/officeDocument/2006/relationships/hyperlink" Target="https://drive.google.com/open?id=1lvvrzFbEGtoNSOO__XaKsuosXZ_FMayS" TargetMode="External"/><Relationship Id="rId650" Type="http://schemas.openxmlformats.org/officeDocument/2006/relationships/hyperlink" Target="https://drive.google.com/open?id=1P6YcajTzTesLZeW0Jmr6OfMAyKfIheLt" TargetMode="External"/><Relationship Id="rId888" Type="http://schemas.openxmlformats.org/officeDocument/2006/relationships/hyperlink" Target="https://drive.google.com/open?id=17YdQKATk3lQrP_n1_YTe6set_vMumdJP" TargetMode="External"/><Relationship Id="rId303" Type="http://schemas.openxmlformats.org/officeDocument/2006/relationships/hyperlink" Target="https://drive.google.com/open?id=10uSkdl6IQktpt7hy_21bX_bUUfa_wKRU" TargetMode="External"/><Relationship Id="rId748" Type="http://schemas.openxmlformats.org/officeDocument/2006/relationships/hyperlink" Target="https://drive.google.com/open?id=1GwG7cXcd680UpOwB3JfHWHk5ywtMytTF" TargetMode="External"/><Relationship Id="rId955" Type="http://schemas.openxmlformats.org/officeDocument/2006/relationships/hyperlink" Target="https://drive.google.com/open?id=1B1egW0w73ibRAaoo5-WOQDuXVQWGAgZ9" TargetMode="External"/><Relationship Id="rId84" Type="http://schemas.openxmlformats.org/officeDocument/2006/relationships/hyperlink" Target="https://drive.google.com/open?id=1QkWUk1j_BKtte-AKkHrOhOCF7mGwv1lz" TargetMode="External"/><Relationship Id="rId387" Type="http://schemas.openxmlformats.org/officeDocument/2006/relationships/hyperlink" Target="https://drive.google.com/open?id=1THBfcZWnksS4hBkHYqNB_BqsR1bOuyOT" TargetMode="External"/><Relationship Id="rId510" Type="http://schemas.openxmlformats.org/officeDocument/2006/relationships/hyperlink" Target="https://drive.google.com/open?id=1ZZiz5gX5O0moqa4KunYd7Fi00Td4k3R_" TargetMode="External"/><Relationship Id="rId594" Type="http://schemas.openxmlformats.org/officeDocument/2006/relationships/hyperlink" Target="https://drive.google.com/open?id=1S0ZATASU43fUfURew1j1MZYbRsoyjrmR" TargetMode="External"/><Relationship Id="rId608" Type="http://schemas.openxmlformats.org/officeDocument/2006/relationships/hyperlink" Target="https://drive.google.com/open?id=1pPdFZTyCk6Jza0hIffvPIhQvT2hY6Bey" TargetMode="External"/><Relationship Id="rId815" Type="http://schemas.openxmlformats.org/officeDocument/2006/relationships/hyperlink" Target="https://drive.google.com/open?id=1-HoIlFr-FhGr1xdSUUQ_4FmoQn6Jpk2C" TargetMode="External"/><Relationship Id="rId247" Type="http://schemas.openxmlformats.org/officeDocument/2006/relationships/hyperlink" Target="https://drive.google.com/open?id=1DHE8VedOAlAWGlL5hu6ErVjXTAzGVDgl" TargetMode="External"/><Relationship Id="rId899" Type="http://schemas.openxmlformats.org/officeDocument/2006/relationships/hyperlink" Target="https://drive.google.com/open?id=1dLiVZhsH_2Fmc5bD3O5jSmn-ugyP4G6R" TargetMode="External"/><Relationship Id="rId1000" Type="http://schemas.openxmlformats.org/officeDocument/2006/relationships/drawing" Target="../drawings/drawing2.xml"/><Relationship Id="rId107" Type="http://schemas.openxmlformats.org/officeDocument/2006/relationships/hyperlink" Target="https://drive.google.com/open?id=1A2mopCtt4rfZ7FAGZTpmkHt1MFs7OQfr" TargetMode="External"/><Relationship Id="rId454" Type="http://schemas.openxmlformats.org/officeDocument/2006/relationships/hyperlink" Target="https://drive.google.com/open?id=1wjod4dM_T8msuU-FmgTPv0tpnmeZ3zxv" TargetMode="External"/><Relationship Id="rId661" Type="http://schemas.openxmlformats.org/officeDocument/2006/relationships/hyperlink" Target="https://drive.google.com/open?id=1swMjwS1LIKCncD0o4M08lfs25Ee_p1lx" TargetMode="External"/><Relationship Id="rId759" Type="http://schemas.openxmlformats.org/officeDocument/2006/relationships/hyperlink" Target="https://drive.google.com/open?id=1Tg9yWb59AUSgaTEXQWWoZr7MRkFClAoF" TargetMode="External"/><Relationship Id="rId966" Type="http://schemas.openxmlformats.org/officeDocument/2006/relationships/hyperlink" Target="https://drive.google.com/open?id=1TT5Srd6TdrfjXKUotDZpJ1UfqSUu7zNK" TargetMode="External"/><Relationship Id="rId11" Type="http://schemas.openxmlformats.org/officeDocument/2006/relationships/hyperlink" Target="https://drive.google.com/open?id=1m9rwpwDcYex90I5yT6ngrrcSfRou0WUG" TargetMode="External"/><Relationship Id="rId314" Type="http://schemas.openxmlformats.org/officeDocument/2006/relationships/hyperlink" Target="https://drive.google.com/open?id=1_dhsUU99ebBjw1YHLmS_o9JmBmgIdhSJ" TargetMode="External"/><Relationship Id="rId398" Type="http://schemas.openxmlformats.org/officeDocument/2006/relationships/hyperlink" Target="https://drive.google.com/open?id=1mw6wlE2aIREVK30VMQk_xZF8cImunm52" TargetMode="External"/><Relationship Id="rId521" Type="http://schemas.openxmlformats.org/officeDocument/2006/relationships/hyperlink" Target="https://drive.google.com/open?id=1cEwI89ewEpMNRE0gJ9Zq6dzWpxpOvrSm" TargetMode="External"/><Relationship Id="rId619" Type="http://schemas.openxmlformats.org/officeDocument/2006/relationships/hyperlink" Target="https://drive.google.com/open?id=1tLR5qc1ocrsZxOeMTn-dYW88mPyrUK9b" TargetMode="External"/><Relationship Id="rId95" Type="http://schemas.openxmlformats.org/officeDocument/2006/relationships/hyperlink" Target="https://drive.google.com/open?id=16XCcsKxixgzoo1sP6eeTKbbw1xREG8BL" TargetMode="External"/><Relationship Id="rId160" Type="http://schemas.openxmlformats.org/officeDocument/2006/relationships/hyperlink" Target="https://drive.google.com/open?id=1DHvK4xo0sivwxhTT52opi6OQZXoH7mKl" TargetMode="External"/><Relationship Id="rId826" Type="http://schemas.openxmlformats.org/officeDocument/2006/relationships/hyperlink" Target="https://drive.google.com/open?id=1HWYEz4j8iUqnbuoiU36U_35GxWT4kMmA" TargetMode="External"/><Relationship Id="rId258" Type="http://schemas.openxmlformats.org/officeDocument/2006/relationships/hyperlink" Target="https://drive.google.com/open?id=1IOSzCDCIL4APdWgeB4Yoc0nYQVVU4W_u" TargetMode="External"/><Relationship Id="rId465" Type="http://schemas.openxmlformats.org/officeDocument/2006/relationships/hyperlink" Target="https://drive.google.com/open?id=1Ksn3K9OOsmFsAKwNMDHRJjyjYCNNF-2M" TargetMode="External"/><Relationship Id="rId672" Type="http://schemas.openxmlformats.org/officeDocument/2006/relationships/hyperlink" Target="https://drive.google.com/open?id=13-8n7ScNSjero7jLgqfMT_DGf_C5K3Un" TargetMode="External"/><Relationship Id="rId22" Type="http://schemas.openxmlformats.org/officeDocument/2006/relationships/hyperlink" Target="https://drive.google.com/open?id=14rty0RMEyUMlH2xj85XgMjTqsy3ssQak" TargetMode="External"/><Relationship Id="rId118" Type="http://schemas.openxmlformats.org/officeDocument/2006/relationships/hyperlink" Target="https://drive.google.com/open?id=1zbelIgyXRjvXazYC66M9V6vOIFDKPjst" TargetMode="External"/><Relationship Id="rId325" Type="http://schemas.openxmlformats.org/officeDocument/2006/relationships/hyperlink" Target="https://drive.google.com/open?id=1SRaD3j1bmY8JPWbBssX1_co5q24sqJj9" TargetMode="External"/><Relationship Id="rId532" Type="http://schemas.openxmlformats.org/officeDocument/2006/relationships/hyperlink" Target="https://drive.google.com/open?id=1DXeYgmiJYL0_ETDw-MUUnNBaJhLFouCE" TargetMode="External"/><Relationship Id="rId977" Type="http://schemas.openxmlformats.org/officeDocument/2006/relationships/hyperlink" Target="https://drive.google.com/open?id=1XsgbErL0OhzHiOSLEhsrTSQ3WtDgqhdw" TargetMode="External"/><Relationship Id="rId171" Type="http://schemas.openxmlformats.org/officeDocument/2006/relationships/hyperlink" Target="https://drive.google.com/open?id=1VUE3VWQAOY8qhdJt9rEDjBqYVpbrXABm" TargetMode="External"/><Relationship Id="rId837" Type="http://schemas.openxmlformats.org/officeDocument/2006/relationships/hyperlink" Target="https://drive.google.com/open?id=1MgzZZnfGxm_v3u-QqNeb4RVjU5BORFtC" TargetMode="External"/><Relationship Id="rId269" Type="http://schemas.openxmlformats.org/officeDocument/2006/relationships/hyperlink" Target="https://drive.google.com/open?id=1pJKimmll2b6GeMdGcecbmIXjdFyHf17C" TargetMode="External"/><Relationship Id="rId476" Type="http://schemas.openxmlformats.org/officeDocument/2006/relationships/hyperlink" Target="https://drive.google.com/open?id=14a4G8yQYZk8gvQafKFXWwym7pcuTR7vv" TargetMode="External"/><Relationship Id="rId683" Type="http://schemas.openxmlformats.org/officeDocument/2006/relationships/hyperlink" Target="https://drive.google.com/open?id=1eNeZqQ_qI-kuIQAnUmK9RfaJzH-TKi1_" TargetMode="External"/><Relationship Id="rId890" Type="http://schemas.openxmlformats.org/officeDocument/2006/relationships/hyperlink" Target="https://drive.google.com/open?id=1Z8OU7_JzQfu3kPKowX0QfmRMBqSEmOp7" TargetMode="External"/><Relationship Id="rId904" Type="http://schemas.openxmlformats.org/officeDocument/2006/relationships/hyperlink" Target="https://drive.google.com/open?id=1s3-bpnwqjh_prtwxb8AprA3t1GOJHyNY" TargetMode="External"/><Relationship Id="rId33" Type="http://schemas.openxmlformats.org/officeDocument/2006/relationships/hyperlink" Target="https://drive.google.com/open?id=1dMxld6xIS_DfCUfXD7IozHH0K4Sw-J2V" TargetMode="External"/><Relationship Id="rId129" Type="http://schemas.openxmlformats.org/officeDocument/2006/relationships/hyperlink" Target="https://drive.google.com/open?id=1S1QD48j0-x25_YFU1rqi77A0mxFnahWu" TargetMode="External"/><Relationship Id="rId336" Type="http://schemas.openxmlformats.org/officeDocument/2006/relationships/hyperlink" Target="https://drive.google.com/open?id=1Mvr3PT51otgxEr9m6GgjUpPbWlsoOBzB" TargetMode="External"/><Relationship Id="rId543" Type="http://schemas.openxmlformats.org/officeDocument/2006/relationships/hyperlink" Target="https://drive.google.com/open?id=1f-RxHh8u8Fqcceb6acvy6cWmUBZ40I-7" TargetMode="External"/><Relationship Id="rId988" Type="http://schemas.openxmlformats.org/officeDocument/2006/relationships/hyperlink" Target="https://drive.google.com/open?id=1xNTxJEeJwcQSFrfq-PqJJRKKrV8gXUdr" TargetMode="External"/><Relationship Id="rId182" Type="http://schemas.openxmlformats.org/officeDocument/2006/relationships/hyperlink" Target="https://drive.google.com/open?id=1u1vRRAADiLaxQ3Tu77dJjy2rIgrtyhq1" TargetMode="External"/><Relationship Id="rId403" Type="http://schemas.openxmlformats.org/officeDocument/2006/relationships/hyperlink" Target="https://drive.google.com/open?id=1ea0_YvkrgIF8bQu0ZPOlW7zvTd5RkRLu" TargetMode="External"/><Relationship Id="rId750" Type="http://schemas.openxmlformats.org/officeDocument/2006/relationships/hyperlink" Target="https://drive.google.com/open?id=1oxa3c80sSrgkLinLv-zIlTW6NtJls1Pf" TargetMode="External"/><Relationship Id="rId848" Type="http://schemas.openxmlformats.org/officeDocument/2006/relationships/hyperlink" Target="https://drive.google.com/open?id=1Y-ukfgabDFkx7xLfl4p1GmDxbvDVOPKo" TargetMode="External"/><Relationship Id="rId487" Type="http://schemas.openxmlformats.org/officeDocument/2006/relationships/hyperlink" Target="https://drive.google.com/open?id=1I7QqW4I4GhY8kctY3J6P62OjBuLaLrS9" TargetMode="External"/><Relationship Id="rId610" Type="http://schemas.openxmlformats.org/officeDocument/2006/relationships/hyperlink" Target="https://drive.google.com/open?id=1Mxkul-sw85zCZ0YImWpQZpXayAAQ22wz" TargetMode="External"/><Relationship Id="rId694" Type="http://schemas.openxmlformats.org/officeDocument/2006/relationships/hyperlink" Target="https://drive.google.com/open?id=111qzx9jVhHEawZs4QSnCgDr9vEjXMYMj" TargetMode="External"/><Relationship Id="rId708" Type="http://schemas.openxmlformats.org/officeDocument/2006/relationships/hyperlink" Target="https://drive.google.com/open?id=1M0qbBQcHWzBQOit0TlUWSzVBH2EHCwq1" TargetMode="External"/><Relationship Id="rId915" Type="http://schemas.openxmlformats.org/officeDocument/2006/relationships/hyperlink" Target="https://drive.google.com/open?id=1HErJLAfRQvW1jHTWb_O9dLNpY9NTKaWx" TargetMode="External"/><Relationship Id="rId347" Type="http://schemas.openxmlformats.org/officeDocument/2006/relationships/hyperlink" Target="https://drive.google.com/open?id=1VtbE1qjMY-W7Nxqb4CoBxENYoaEFnPKg" TargetMode="External"/><Relationship Id="rId999" Type="http://schemas.openxmlformats.org/officeDocument/2006/relationships/printerSettings" Target="../printerSettings/printerSettings3.bin"/><Relationship Id="rId44" Type="http://schemas.openxmlformats.org/officeDocument/2006/relationships/hyperlink" Target="https://drive.google.com/open?id=1k0urNLDawY7EGwbhi_xg_UumuguSKN4k" TargetMode="External"/><Relationship Id="rId554" Type="http://schemas.openxmlformats.org/officeDocument/2006/relationships/hyperlink" Target="https://drive.google.com/open?id=1opO84TpLRL4zap050AF5DikwuS64YEZj" TargetMode="External"/><Relationship Id="rId761" Type="http://schemas.openxmlformats.org/officeDocument/2006/relationships/hyperlink" Target="https://drive.google.com/open?id=1mavF6PjQ0oSOsXfqT49p_dASCzvU2dhp" TargetMode="External"/><Relationship Id="rId859" Type="http://schemas.openxmlformats.org/officeDocument/2006/relationships/hyperlink" Target="https://drive.google.com/open?id=1E2jqKg6sTtFZnStjJoxHJE1FwrL4JrBO" TargetMode="External"/><Relationship Id="rId193" Type="http://schemas.openxmlformats.org/officeDocument/2006/relationships/hyperlink" Target="https://drive.google.com/open?id=1OFfZffpLMSaJu1sp_NpurET01T3YskLd" TargetMode="External"/><Relationship Id="rId207" Type="http://schemas.openxmlformats.org/officeDocument/2006/relationships/hyperlink" Target="https://drive.google.com/open?id=1UK72Kw5ToIZ3wQnmDZSilLOor1YIDYni" TargetMode="External"/><Relationship Id="rId414" Type="http://schemas.openxmlformats.org/officeDocument/2006/relationships/hyperlink" Target="https://drive.google.com/open?id=1fxhVmN76MvTNJM-HxDxYwAmMEyPI_5XQ" TargetMode="External"/><Relationship Id="rId498" Type="http://schemas.openxmlformats.org/officeDocument/2006/relationships/hyperlink" Target="https://drive.google.com/open?id=1x34nFFN3ptmzoJFEDfSEeKRUv9oAP2mo" TargetMode="External"/><Relationship Id="rId621" Type="http://schemas.openxmlformats.org/officeDocument/2006/relationships/hyperlink" Target="https://drive.google.com/open?id=19PN2_aaS-CbCsyLtXyIR0kDC1bEse2DF" TargetMode="External"/><Relationship Id="rId260" Type="http://schemas.openxmlformats.org/officeDocument/2006/relationships/hyperlink" Target="https://drive.google.com/open?id=1NRdyXrsW3OiOLualP8WiCXSB986KlDur" TargetMode="External"/><Relationship Id="rId719" Type="http://schemas.openxmlformats.org/officeDocument/2006/relationships/hyperlink" Target="https://drive.google.com/open?id=1tlxcNu2QW1Z-DM8axRXQJYCMKOOCjt4A" TargetMode="External"/><Relationship Id="rId926" Type="http://schemas.openxmlformats.org/officeDocument/2006/relationships/hyperlink" Target="https://drive.google.com/open?id=1Rns8TdanE4WZzWR0bkLQSLEidEXcGs9D" TargetMode="External"/><Relationship Id="rId55" Type="http://schemas.openxmlformats.org/officeDocument/2006/relationships/hyperlink" Target="https://drive.google.com/open?id=1Q5OjeaB07AatS3w5iDdlGnUB3BwhE6Ab" TargetMode="External"/><Relationship Id="rId120" Type="http://schemas.openxmlformats.org/officeDocument/2006/relationships/hyperlink" Target="https://drive.google.com/open?id=1TVTb_39SpDkaq_-ybCVaZrxNOvoiNWku" TargetMode="External"/><Relationship Id="rId358" Type="http://schemas.openxmlformats.org/officeDocument/2006/relationships/hyperlink" Target="https://drive.google.com/open?id=1W8No0qy4_DXP-RNaBlUU1XIWP-qcaBkY" TargetMode="External"/><Relationship Id="rId565" Type="http://schemas.openxmlformats.org/officeDocument/2006/relationships/hyperlink" Target="https://drive.google.com/open?id=1F29mC4QKLTtVJpORTUo-ZQ7DgBLg0bOr" TargetMode="External"/><Relationship Id="rId772" Type="http://schemas.openxmlformats.org/officeDocument/2006/relationships/hyperlink" Target="https://drive.google.com/open?id=1Wf0m-zZM2dUwTBzO_KpXTC_TIwDFacfL" TargetMode="External"/><Relationship Id="rId218" Type="http://schemas.openxmlformats.org/officeDocument/2006/relationships/hyperlink" Target="https://drive.google.com/open?id=1DVfaR1Y7NUwUw5ds3qAKCTqsvDUuAqo3" TargetMode="External"/><Relationship Id="rId425" Type="http://schemas.openxmlformats.org/officeDocument/2006/relationships/hyperlink" Target="https://drive.google.com/open?id=19fUekq9FlH8I_vZMbfgW5D3Sk1Eu8z0A" TargetMode="External"/><Relationship Id="rId632" Type="http://schemas.openxmlformats.org/officeDocument/2006/relationships/hyperlink" Target="https://drive.google.com/open?id=1boaS9YX0qG3juhjSkBWO_r4xOLabAnP-" TargetMode="External"/><Relationship Id="rId271" Type="http://schemas.openxmlformats.org/officeDocument/2006/relationships/hyperlink" Target="https://drive.google.com/open?id=1spx3eSwWBCUecJDuMg0eI9JGSSof2R7E" TargetMode="External"/><Relationship Id="rId937" Type="http://schemas.openxmlformats.org/officeDocument/2006/relationships/hyperlink" Target="https://drive.google.com/open?id=1sEXpqNqtIfV8JfqT8a24sKubj5t4IteQ" TargetMode="External"/><Relationship Id="rId66" Type="http://schemas.openxmlformats.org/officeDocument/2006/relationships/hyperlink" Target="https://drive.google.com/open?id=1zB2x1NdqVbLMHFN5pkUB15_Rvif0xdvG" TargetMode="External"/><Relationship Id="rId131" Type="http://schemas.openxmlformats.org/officeDocument/2006/relationships/hyperlink" Target="https://drive.google.com/open?id=1iKGC-NTdxaoFjBuLqj0OBr6lgPN1zDlG" TargetMode="External"/><Relationship Id="rId369" Type="http://schemas.openxmlformats.org/officeDocument/2006/relationships/hyperlink" Target="https://drive.google.com/open?id=1z-FmbUPJHpRL5SF1Jn_9xysfpi1CJIEp" TargetMode="External"/><Relationship Id="rId576" Type="http://schemas.openxmlformats.org/officeDocument/2006/relationships/hyperlink" Target="https://drive.google.com/open?id=1kL4bv37Txym_SuK823gDlka2Y2z6SB68" TargetMode="External"/><Relationship Id="rId783" Type="http://schemas.openxmlformats.org/officeDocument/2006/relationships/hyperlink" Target="https://drive.google.com/open?id=1hzlwSaH3TJ4RE0hOCRosZjdTgvj0MvSd" TargetMode="External"/><Relationship Id="rId990" Type="http://schemas.openxmlformats.org/officeDocument/2006/relationships/hyperlink" Target="https://drive.google.com/open?id=1ZxYZAlsSWPFLRjZSeB1nSZ3kgbsTFOok" TargetMode="External"/><Relationship Id="rId229" Type="http://schemas.openxmlformats.org/officeDocument/2006/relationships/hyperlink" Target="https://drive.google.com/open?id=1_XB7QlJfRhwVZiArh-v55hh5qpftsf5E" TargetMode="External"/><Relationship Id="rId436" Type="http://schemas.openxmlformats.org/officeDocument/2006/relationships/hyperlink" Target="https://drive.google.com/open?id=1An4R39mUj-758-g1MTrf3WBKemX7lcK4" TargetMode="External"/><Relationship Id="rId643" Type="http://schemas.openxmlformats.org/officeDocument/2006/relationships/hyperlink" Target="https://drive.google.com/open?id=1AVh8jJnUxa6zQ9ags7oGviioa4OYRv-r" TargetMode="External"/><Relationship Id="rId850" Type="http://schemas.openxmlformats.org/officeDocument/2006/relationships/hyperlink" Target="https://drive.google.com/open?id=1VuG7nE3lYmrkd94BOD45BznjII8gp62k" TargetMode="External"/><Relationship Id="rId948" Type="http://schemas.openxmlformats.org/officeDocument/2006/relationships/hyperlink" Target="https://drive.google.com/open?id=1OwuFwPZ9dlIjt5kS1IYc-B8xpuVb6_Yf" TargetMode="External"/><Relationship Id="rId77" Type="http://schemas.openxmlformats.org/officeDocument/2006/relationships/hyperlink" Target="https://drive.google.com/open?id=1_t-tyAhbfY5InoTm78NzJTPZ3F3AxoGV" TargetMode="External"/><Relationship Id="rId282" Type="http://schemas.openxmlformats.org/officeDocument/2006/relationships/hyperlink" Target="https://drive.google.com/open?id=1uptkT0P4stQilZ9wp1-JZBNf7LICyWoq" TargetMode="External"/><Relationship Id="rId503" Type="http://schemas.openxmlformats.org/officeDocument/2006/relationships/hyperlink" Target="https://drive.google.com/open?id=1rY6k_EIEBXode-lB0HbLo38Vu6M_aTU8" TargetMode="External"/><Relationship Id="rId587" Type="http://schemas.openxmlformats.org/officeDocument/2006/relationships/hyperlink" Target="https://drive.google.com/open?id=14YDWjFAbPTDfw92YUe5j_MZkVSwHVA5P" TargetMode="External"/><Relationship Id="rId710" Type="http://schemas.openxmlformats.org/officeDocument/2006/relationships/hyperlink" Target="https://drive.google.com/open?id=123cr-RM6zHE8MVrYJQB5EhV1lnXK7C0k" TargetMode="External"/><Relationship Id="rId808" Type="http://schemas.openxmlformats.org/officeDocument/2006/relationships/hyperlink" Target="https://drive.google.com/open?id=1BpJ22PoWyg4nJGRas-4PMqbDEr7E6KQc" TargetMode="External"/><Relationship Id="rId8" Type="http://schemas.openxmlformats.org/officeDocument/2006/relationships/hyperlink" Target="https://drive.google.com/open?id=1tQYLoEa8YFoCzA6lJ5a3D4Q2l03HkKue" TargetMode="External"/><Relationship Id="rId142" Type="http://schemas.openxmlformats.org/officeDocument/2006/relationships/hyperlink" Target="https://drive.google.com/open?id=1mdOgyK-hs4AaLFagTbyMlWyOm1QFmoVt" TargetMode="External"/><Relationship Id="rId447" Type="http://schemas.openxmlformats.org/officeDocument/2006/relationships/hyperlink" Target="https://drive.google.com/open?id=1xw4SuTEYUZklJAR5M68Won5Bmhs4lZ0C" TargetMode="External"/><Relationship Id="rId794" Type="http://schemas.openxmlformats.org/officeDocument/2006/relationships/hyperlink" Target="https://drive.google.com/open?id=1u__Zsl_7Isv8ZfVAU9l6RtatgijhpzeH" TargetMode="External"/><Relationship Id="rId654" Type="http://schemas.openxmlformats.org/officeDocument/2006/relationships/hyperlink" Target="https://drive.google.com/open?id=1vbyugEsTFkyRBATh_hyPJUtsPrcbjF-8" TargetMode="External"/><Relationship Id="rId861" Type="http://schemas.openxmlformats.org/officeDocument/2006/relationships/hyperlink" Target="https://drive.google.com/open?id=1HHPIKVi05h2-cyLS-zkZyuoLllxLmrKp" TargetMode="External"/><Relationship Id="rId959" Type="http://schemas.openxmlformats.org/officeDocument/2006/relationships/hyperlink" Target="https://drive.google.com/open?id=1HDVQD4L1yqyXeGVMWr1r2_DySvxtjil4" TargetMode="External"/><Relationship Id="rId293" Type="http://schemas.openxmlformats.org/officeDocument/2006/relationships/hyperlink" Target="https://drive.google.com/open?id=16Pb_z8f5cc6r7-0lzSf5IouM8lzNsw3c" TargetMode="External"/><Relationship Id="rId307" Type="http://schemas.openxmlformats.org/officeDocument/2006/relationships/hyperlink" Target="https://drive.google.com/open?id=1g0zc3YEqS7EiPDMsdsIUmTnWUNDj_e7S" TargetMode="External"/><Relationship Id="rId514" Type="http://schemas.openxmlformats.org/officeDocument/2006/relationships/hyperlink" Target="https://drive.google.com/open?id=1Df_UWPblz4cZ4BANEQO0C-voLDKIYhn8" TargetMode="External"/><Relationship Id="rId721" Type="http://schemas.openxmlformats.org/officeDocument/2006/relationships/hyperlink" Target="https://drive.google.com/open?id=1sn8DsJY-OHQU9-Uq2lLvQw-vXXnhmSOr" TargetMode="External"/><Relationship Id="rId88" Type="http://schemas.openxmlformats.org/officeDocument/2006/relationships/hyperlink" Target="https://drive.google.com/open?id=144i7ivmC2sN969Cl0lIta7n6gO5LHb-m" TargetMode="External"/><Relationship Id="rId153" Type="http://schemas.openxmlformats.org/officeDocument/2006/relationships/hyperlink" Target="https://drive.google.com/open?id=1BBjDW8zA9JcakuD83aulS_7TBPFGXlVe" TargetMode="External"/><Relationship Id="rId360" Type="http://schemas.openxmlformats.org/officeDocument/2006/relationships/hyperlink" Target="https://drive.google.com/open?id=1FkyUVFJWGlcTGZAVF91VMdImiMYRNRR1" TargetMode="External"/><Relationship Id="rId598" Type="http://schemas.openxmlformats.org/officeDocument/2006/relationships/hyperlink" Target="https://drive.google.com/open?id=1idgLUJF9_4WGza0vjVtPV6CJ4V06KyRr" TargetMode="External"/><Relationship Id="rId819" Type="http://schemas.openxmlformats.org/officeDocument/2006/relationships/hyperlink" Target="https://drive.google.com/open?id=1HNPmYCWH5knp4KaF_GGyMYL68wfPGGKz" TargetMode="External"/><Relationship Id="rId220" Type="http://schemas.openxmlformats.org/officeDocument/2006/relationships/hyperlink" Target="https://drive.google.com/open?id=1qBUSV0hd6VspjoXO8Z4Za53PzwIWUpmx" TargetMode="External"/><Relationship Id="rId458" Type="http://schemas.openxmlformats.org/officeDocument/2006/relationships/hyperlink" Target="https://drive.google.com/open?id=10df8UHJk-dCDuWPGNCvi7rzRqiVF0bA7" TargetMode="External"/><Relationship Id="rId665" Type="http://schemas.openxmlformats.org/officeDocument/2006/relationships/hyperlink" Target="https://drive.google.com/open?id=1MjwPkBn0zm3aA1BqLsOtbQ5-qvnWn9gr" TargetMode="External"/><Relationship Id="rId872" Type="http://schemas.openxmlformats.org/officeDocument/2006/relationships/hyperlink" Target="https://drive.google.com/open?id=1OwGYe29CfG184qdjX_sBivB5c_kfXuPX" TargetMode="External"/><Relationship Id="rId15" Type="http://schemas.openxmlformats.org/officeDocument/2006/relationships/hyperlink" Target="https://drive.google.com/open?id=1JcaIkjWdFwb59Pf6WNbHpWs6XOpQmnc3" TargetMode="External"/><Relationship Id="rId318" Type="http://schemas.openxmlformats.org/officeDocument/2006/relationships/hyperlink" Target="https://drive.google.com/open?id=1_lyHg4uZscdnJqpIzJjp3ky2I3Vg_2DA" TargetMode="External"/><Relationship Id="rId525" Type="http://schemas.openxmlformats.org/officeDocument/2006/relationships/hyperlink" Target="https://drive.google.com/open?id=1dFlh56_1s3eTj_QqBfwXfnICzVy8OT2B" TargetMode="External"/><Relationship Id="rId732" Type="http://schemas.openxmlformats.org/officeDocument/2006/relationships/hyperlink" Target="https://drive.google.com/open?id=1ga8mmSjGACjMpA2ZqlMvJFaI6yzuyhMK" TargetMode="External"/><Relationship Id="rId99" Type="http://schemas.openxmlformats.org/officeDocument/2006/relationships/hyperlink" Target="https://drive.google.com/open?id=1EaP6yEE0mJkfVfFoF15NusyRzrMqP_mk" TargetMode="External"/><Relationship Id="rId164" Type="http://schemas.openxmlformats.org/officeDocument/2006/relationships/hyperlink" Target="https://drive.google.com/open?id=1m_95KQhbPwIvH7OTgOYS7FshvQWUb2FA" TargetMode="External"/><Relationship Id="rId371" Type="http://schemas.openxmlformats.org/officeDocument/2006/relationships/hyperlink" Target="https://drive.google.com/open?id=1JJp9qcnsE1OO1tBM81hB_3SpeAOkqrKo" TargetMode="External"/><Relationship Id="rId469" Type="http://schemas.openxmlformats.org/officeDocument/2006/relationships/hyperlink" Target="https://drive.google.com/open?id=1wIREohPAPRZbXeJskccaLca_MT1Y0Cm2" TargetMode="External"/><Relationship Id="rId676" Type="http://schemas.openxmlformats.org/officeDocument/2006/relationships/hyperlink" Target="https://drive.google.com/open?id=1Uy3R5FPenSGkaYOnOgC_-XpzJt2cEs8U" TargetMode="External"/><Relationship Id="rId883" Type="http://schemas.openxmlformats.org/officeDocument/2006/relationships/hyperlink" Target="https://drive.google.com/open?id=18uh6N6hL_nfdVS9z9N8utuYfADTF4nqs" TargetMode="External"/><Relationship Id="rId26" Type="http://schemas.openxmlformats.org/officeDocument/2006/relationships/hyperlink" Target="https://drive.google.com/open?id=1UWabPjZTdzphkNtnhz7dsRKOV8l5UytL" TargetMode="External"/><Relationship Id="rId231" Type="http://schemas.openxmlformats.org/officeDocument/2006/relationships/hyperlink" Target="https://drive.google.com/open?id=1IJx9Tte9-BZCdw4AYonBxPTHv_XPvjNP" TargetMode="External"/><Relationship Id="rId329" Type="http://schemas.openxmlformats.org/officeDocument/2006/relationships/hyperlink" Target="https://drive.google.com/open?id=1X0gt6-KkoH7YmaOFgc1k4hV6uEdUpp-7" TargetMode="External"/><Relationship Id="rId536" Type="http://schemas.openxmlformats.org/officeDocument/2006/relationships/hyperlink" Target="https://drive.google.com/open?id=1F60UQWGNZiFSlakKpCjvYICmpcSbe88W" TargetMode="External"/><Relationship Id="rId175" Type="http://schemas.openxmlformats.org/officeDocument/2006/relationships/hyperlink" Target="https://drive.google.com/open?id=1l5tzQ2PtE4Xyl4dKOuwrA9_nGC11lg3_" TargetMode="External"/><Relationship Id="rId743" Type="http://schemas.openxmlformats.org/officeDocument/2006/relationships/hyperlink" Target="https://drive.google.com/open?id=1K4AF89M0jl7yOTjpLAHBdkSlvnEi7dGu" TargetMode="External"/><Relationship Id="rId950" Type="http://schemas.openxmlformats.org/officeDocument/2006/relationships/hyperlink" Target="https://drive.google.com/open?id=1dN7j9eR4GYUi6KCVsoHR7e9kWNP1bsyx" TargetMode="External"/><Relationship Id="rId382" Type="http://schemas.openxmlformats.org/officeDocument/2006/relationships/hyperlink" Target="https://drive.google.com/open?id=1xwnAyuJxGxBfUJYhqTTGBl5O98I6Y6z7" TargetMode="External"/><Relationship Id="rId603" Type="http://schemas.openxmlformats.org/officeDocument/2006/relationships/hyperlink" Target="https://drive.google.com/open?id=1QHB9ZQowG_YsjWb8Vx1KcrQWcJOnY5Hy" TargetMode="External"/><Relationship Id="rId687" Type="http://schemas.openxmlformats.org/officeDocument/2006/relationships/hyperlink" Target="https://drive.google.com/open?id=1xQJm6-xqiq5hB1LFfJEmSnXayn5J4IDh" TargetMode="External"/><Relationship Id="rId810" Type="http://schemas.openxmlformats.org/officeDocument/2006/relationships/hyperlink" Target="https://drive.google.com/open?id=1_BkD3GLR6hYBP_VteANTXWd5-KMKxdtw" TargetMode="External"/><Relationship Id="rId908" Type="http://schemas.openxmlformats.org/officeDocument/2006/relationships/hyperlink" Target="https://drive.google.com/open?id=1_rWlLg-uuK9ePhC7O1TnDQLoZGFvmjuH" TargetMode="External"/><Relationship Id="rId242" Type="http://schemas.openxmlformats.org/officeDocument/2006/relationships/hyperlink" Target="https://drive.google.com/open?id=1XOhQARQ5iKlk8N-bhiN4j7WNb6iZzvU2" TargetMode="External"/><Relationship Id="rId894" Type="http://schemas.openxmlformats.org/officeDocument/2006/relationships/hyperlink" Target="https://drive.google.com/open?id=1-1WsZUwiPta8Sbrh7GS0-krr7C7ZIt38" TargetMode="External"/><Relationship Id="rId37" Type="http://schemas.openxmlformats.org/officeDocument/2006/relationships/hyperlink" Target="https://drive.google.com/open?id=14UIkzQ0U3YytrpTlBIfbPJ5-E_yHCeEI" TargetMode="External"/><Relationship Id="rId102" Type="http://schemas.openxmlformats.org/officeDocument/2006/relationships/hyperlink" Target="https://drive.google.com/open?id=19keAX1lcJBZuXeuosLY4J71cdKEkd2cy" TargetMode="External"/><Relationship Id="rId547" Type="http://schemas.openxmlformats.org/officeDocument/2006/relationships/hyperlink" Target="https://drive.google.com/open?id=165_4GZKk7s92MQMIfe-C7wMOuyFcuayZ" TargetMode="External"/><Relationship Id="rId754" Type="http://schemas.openxmlformats.org/officeDocument/2006/relationships/hyperlink" Target="https://drive.google.com/open?id=1u4wmGcoedZNqRJ7qhDirVpeGjGnHwNCN" TargetMode="External"/><Relationship Id="rId961" Type="http://schemas.openxmlformats.org/officeDocument/2006/relationships/hyperlink" Target="https://drive.google.com/open?id=10FnivfzlDzyw4AW5vLGPqOQQilIfhzxY" TargetMode="External"/><Relationship Id="rId90" Type="http://schemas.openxmlformats.org/officeDocument/2006/relationships/hyperlink" Target="https://drive.google.com/open?id=1hZwNNDnRxFTly_s8Ej_J5N-X9fhc6hb_" TargetMode="External"/><Relationship Id="rId186" Type="http://schemas.openxmlformats.org/officeDocument/2006/relationships/hyperlink" Target="https://drive.google.com/open?id=19Dyen8KZJY-pRFZ3oEQ4Dt6VJN4YcEj5" TargetMode="External"/><Relationship Id="rId393" Type="http://schemas.openxmlformats.org/officeDocument/2006/relationships/hyperlink" Target="https://drive.google.com/open?id=19IHPateG02gLZd1XXDUfcmhG6wxoyHhb" TargetMode="External"/><Relationship Id="rId407" Type="http://schemas.openxmlformats.org/officeDocument/2006/relationships/hyperlink" Target="https://drive.google.com/open?id=1knPK5WIPw3Jh-h0wDELKe9H4J1GRnJie" TargetMode="External"/><Relationship Id="rId614" Type="http://schemas.openxmlformats.org/officeDocument/2006/relationships/hyperlink" Target="https://drive.google.com/open?id=1kzeR8aTwPVQK_oHdSvILmXbPxZnaiZuK" TargetMode="External"/><Relationship Id="rId821" Type="http://schemas.openxmlformats.org/officeDocument/2006/relationships/hyperlink" Target="https://drive.google.com/open?id=1rHKaS86OP6S-dAgs0nsQk1L2mg4_UQeO" TargetMode="External"/><Relationship Id="rId253" Type="http://schemas.openxmlformats.org/officeDocument/2006/relationships/hyperlink" Target="https://drive.google.com/open?id=197ymn_gVg9XF8ab52XHozB602yTY1BKn" TargetMode="External"/><Relationship Id="rId460" Type="http://schemas.openxmlformats.org/officeDocument/2006/relationships/hyperlink" Target="https://drive.google.com/open?id=1BsuNYqPeAOGZwNOtJL7JDcLC2-7X3pfs" TargetMode="External"/><Relationship Id="rId698" Type="http://schemas.openxmlformats.org/officeDocument/2006/relationships/hyperlink" Target="https://drive.google.com/open?id=1tUWRkV6Lb_p28WMpKwh5E7AoJlmrEqNb" TargetMode="External"/><Relationship Id="rId919" Type="http://schemas.openxmlformats.org/officeDocument/2006/relationships/hyperlink" Target="https://drive.google.com/open?id=1J2VWSN1EjZCULSw8r-kx1OfggrO3yxXL" TargetMode="External"/><Relationship Id="rId48" Type="http://schemas.openxmlformats.org/officeDocument/2006/relationships/hyperlink" Target="https://drive.google.com/open?id=1KyZkHuSDZjLyezp3FBBWx5LjbuzCF2Dj" TargetMode="External"/><Relationship Id="rId113" Type="http://schemas.openxmlformats.org/officeDocument/2006/relationships/hyperlink" Target="https://drive.google.com/open?id=13mTcK8UhouFOV342_SpMjiEgzgb9DpWa" TargetMode="External"/><Relationship Id="rId320" Type="http://schemas.openxmlformats.org/officeDocument/2006/relationships/hyperlink" Target="https://drive.google.com/open?id=11IITcBkqPcVtXPukMiXfBI6R1-ZSAZ92" TargetMode="External"/><Relationship Id="rId558" Type="http://schemas.openxmlformats.org/officeDocument/2006/relationships/hyperlink" Target="https://drive.google.com/open?id=1OVGvNbJMbXQP3_GenZtB1tcQOG0vTvEf" TargetMode="External"/><Relationship Id="rId765" Type="http://schemas.openxmlformats.org/officeDocument/2006/relationships/hyperlink" Target="https://drive.google.com/open?id=11Z6zU1iqaaQMR4djq0AdDXQhbfZxUrjx" TargetMode="External"/><Relationship Id="rId972" Type="http://schemas.openxmlformats.org/officeDocument/2006/relationships/hyperlink" Target="https://drive.google.com/open?id=12qP2YrDX0y5zYwOf_iOU3-f19xctuXSh" TargetMode="External"/><Relationship Id="rId197" Type="http://schemas.openxmlformats.org/officeDocument/2006/relationships/hyperlink" Target="https://drive.google.com/open?id=1fjeWsPdCP1K1lvbmFlSKUYJ7TGox10JD" TargetMode="External"/><Relationship Id="rId418" Type="http://schemas.openxmlformats.org/officeDocument/2006/relationships/hyperlink" Target="https://drive.google.com/open?id=1j0iDhE0Fdk3IldEqeNMUcJXpd9-JKCbE" TargetMode="External"/><Relationship Id="rId625" Type="http://schemas.openxmlformats.org/officeDocument/2006/relationships/hyperlink" Target="https://drive.google.com/open?id=1Idg7T-pA4T050VZ0dauiL9oPPTAUk7EH" TargetMode="External"/><Relationship Id="rId832" Type="http://schemas.openxmlformats.org/officeDocument/2006/relationships/hyperlink" Target="https://drive.google.com/open?id=1JAmkp-2sWb9x8gxWaLdLBE9fp5h_NzYO" TargetMode="External"/><Relationship Id="rId264" Type="http://schemas.openxmlformats.org/officeDocument/2006/relationships/hyperlink" Target="https://drive.google.com/open?id=1hE_viZm69hjHX9riwml0A5z6WSNsZZdN" TargetMode="External"/><Relationship Id="rId471" Type="http://schemas.openxmlformats.org/officeDocument/2006/relationships/hyperlink" Target="https://drive.google.com/open?id=1TYtmn7k3VTwRJ5hTp00y6klpXG0sQqch" TargetMode="External"/><Relationship Id="rId59" Type="http://schemas.openxmlformats.org/officeDocument/2006/relationships/hyperlink" Target="https://drive.google.com/open?id=1rPIXDwmsCfu2wkNnIjo3BMUoRa5ryWUo" TargetMode="External"/><Relationship Id="rId124" Type="http://schemas.openxmlformats.org/officeDocument/2006/relationships/hyperlink" Target="https://drive.google.com/open?id=1MXZDP-UcNqkh878BVTXMrlAuTPGuTgpY" TargetMode="External"/><Relationship Id="rId569" Type="http://schemas.openxmlformats.org/officeDocument/2006/relationships/hyperlink" Target="https://drive.google.com/open?id=1pr14aFEi2Y5JuDw2xw296GUTDWRPMzBY" TargetMode="External"/><Relationship Id="rId776" Type="http://schemas.openxmlformats.org/officeDocument/2006/relationships/hyperlink" Target="https://drive.google.com/open?id=17eX2FqyN9E2icz5EQXKM1qDCmg9mNqU4" TargetMode="External"/><Relationship Id="rId983" Type="http://schemas.openxmlformats.org/officeDocument/2006/relationships/hyperlink" Target="https://drive.google.com/open?id=1vN7F6WyOW-6lhiAkwpt79r9fUjhybPG2" TargetMode="External"/><Relationship Id="rId331" Type="http://schemas.openxmlformats.org/officeDocument/2006/relationships/hyperlink" Target="https://drive.google.com/open?id=1aEQK4QwE20X6S4LTdpWrdbI8NfjHt4CL" TargetMode="External"/><Relationship Id="rId429" Type="http://schemas.openxmlformats.org/officeDocument/2006/relationships/hyperlink" Target="https://drive.google.com/open?id=12JQNbRhVUBc_-PNc8imfS2z1dlmduA_7" TargetMode="External"/><Relationship Id="rId636" Type="http://schemas.openxmlformats.org/officeDocument/2006/relationships/hyperlink" Target="https://drive.google.com/open?id=1SId867HH02RUXlnmmJVOhKF40ddqxOl-" TargetMode="External"/><Relationship Id="rId843" Type="http://schemas.openxmlformats.org/officeDocument/2006/relationships/hyperlink" Target="https://drive.google.com/open?id=1t_q9YId8XdyEaPCRuRyJAlDL_r2gf7yI" TargetMode="External"/><Relationship Id="rId275" Type="http://schemas.openxmlformats.org/officeDocument/2006/relationships/hyperlink" Target="https://drive.google.com/open?id=1gNFY1ZkWl_FRfiUNzzROnEcuXv0M1-OP" TargetMode="External"/><Relationship Id="rId482" Type="http://schemas.openxmlformats.org/officeDocument/2006/relationships/hyperlink" Target="https://drive.google.com/open?id=1ANZJfr732iHqRkystk63VmBdTvPERjnX" TargetMode="External"/><Relationship Id="rId703" Type="http://schemas.openxmlformats.org/officeDocument/2006/relationships/hyperlink" Target="https://drive.google.com/open?id=1-KpjtpDGsmM2Gd605O831C_YezD78nhl" TargetMode="External"/><Relationship Id="rId910" Type="http://schemas.openxmlformats.org/officeDocument/2006/relationships/hyperlink" Target="https://drive.google.com/open?id=18PNX_cAuS8royFnfyBmqW9UTIxUZQYOF" TargetMode="External"/><Relationship Id="rId135" Type="http://schemas.openxmlformats.org/officeDocument/2006/relationships/hyperlink" Target="https://drive.google.com/open?id=1ZM024ggvHGNQ1GJRj0NSTsIPlEb6a1jY" TargetMode="External"/><Relationship Id="rId342" Type="http://schemas.openxmlformats.org/officeDocument/2006/relationships/hyperlink" Target="https://drive.google.com/open?id=1K0NMBr__bce0J8bKI7kCIVWwQW6XRGfp" TargetMode="External"/><Relationship Id="rId787" Type="http://schemas.openxmlformats.org/officeDocument/2006/relationships/hyperlink" Target="https://drive.google.com/open?id=1ZbKXwN6zp2_7tfJNjYZYvuE5Up_YYAiP" TargetMode="External"/><Relationship Id="rId994" Type="http://schemas.openxmlformats.org/officeDocument/2006/relationships/hyperlink" Target="https://drive.google.com/open?id=1M8bfwPSjPQH19yBkIlmJ1T6nD93AcG5z" TargetMode="External"/><Relationship Id="rId202" Type="http://schemas.openxmlformats.org/officeDocument/2006/relationships/hyperlink" Target="https://drive.google.com/open?id=1LcgaRQuHAHv47U_MTEnskv5t6KXVhnd4" TargetMode="External"/><Relationship Id="rId647" Type="http://schemas.openxmlformats.org/officeDocument/2006/relationships/hyperlink" Target="https://drive.google.com/open?id=12YMZmvcxh5qeJ3i7mC2NvA-MZfzXrquP" TargetMode="External"/><Relationship Id="rId854" Type="http://schemas.openxmlformats.org/officeDocument/2006/relationships/hyperlink" Target="https://drive.google.com/open?id=1LLvo8zVVarGmKXVuzpeBQzPdleLb8oSl" TargetMode="External"/><Relationship Id="rId286" Type="http://schemas.openxmlformats.org/officeDocument/2006/relationships/hyperlink" Target="https://drive.google.com/open?id=1BV4fB0as88tMcF1WuFg5HS6mAqFThyvS" TargetMode="External"/><Relationship Id="rId493" Type="http://schemas.openxmlformats.org/officeDocument/2006/relationships/hyperlink" Target="https://drive.google.com/open?id=1z_YsftOU2WyyiEEH3DHEzxfGF5sQvRSj" TargetMode="External"/><Relationship Id="rId507" Type="http://schemas.openxmlformats.org/officeDocument/2006/relationships/hyperlink" Target="https://drive.google.com/open?id=1CxSlNWWZhW2ZzgOGRlNY9oFH_EqdXpBh" TargetMode="External"/><Relationship Id="rId714" Type="http://schemas.openxmlformats.org/officeDocument/2006/relationships/hyperlink" Target="https://drive.google.com/open?id=18_8ptSJAToFC-OoI_j2Rh3c1UkRqi1Sw" TargetMode="External"/><Relationship Id="rId921" Type="http://schemas.openxmlformats.org/officeDocument/2006/relationships/hyperlink" Target="https://drive.google.com/open?id=1_7x4Z3HDKVLTjv5ZoX3yvCrRRd15pjqW" TargetMode="External"/><Relationship Id="rId50" Type="http://schemas.openxmlformats.org/officeDocument/2006/relationships/hyperlink" Target="https://drive.google.com/open?id=1mcnTk4EqwNbVay3hlgvAt7127HWeU7vo" TargetMode="External"/><Relationship Id="rId146" Type="http://schemas.openxmlformats.org/officeDocument/2006/relationships/hyperlink" Target="https://drive.google.com/open?id=1_mJyQEp7OO3_ETNCjzxt2px703EtN132" TargetMode="External"/><Relationship Id="rId353" Type="http://schemas.openxmlformats.org/officeDocument/2006/relationships/hyperlink" Target="https://drive.google.com/open?id=1JDp2wkgLvo7xPU1vUgyFitW3J_S1bI97" TargetMode="External"/><Relationship Id="rId560" Type="http://schemas.openxmlformats.org/officeDocument/2006/relationships/hyperlink" Target="https://drive.google.com/open?id=1PRZFwP0os7N_yE_AyMwppv-psr073CrQ" TargetMode="External"/><Relationship Id="rId798" Type="http://schemas.openxmlformats.org/officeDocument/2006/relationships/hyperlink" Target="https://drive.google.com/open?id=1axlJdJKFerZsGIJsdaaFWVxKBGKT0zH3" TargetMode="External"/><Relationship Id="rId213" Type="http://schemas.openxmlformats.org/officeDocument/2006/relationships/hyperlink" Target="https://drive.google.com/open?id=1-l2RuzBBvjiJSzmIBvcieHafW-0kYeXe" TargetMode="External"/><Relationship Id="rId420" Type="http://schemas.openxmlformats.org/officeDocument/2006/relationships/hyperlink" Target="https://drive.google.com/open?id=1kGgsFFYHeel4HK5z578TbZQePFhQ5lJQ" TargetMode="External"/><Relationship Id="rId658" Type="http://schemas.openxmlformats.org/officeDocument/2006/relationships/hyperlink" Target="https://drive.google.com/open?id=1hvIcLVGHHeYGDHPGAc2cnaWbx3o1RrDy" TargetMode="External"/><Relationship Id="rId865" Type="http://schemas.openxmlformats.org/officeDocument/2006/relationships/hyperlink" Target="https://drive.google.com/open?id=1Va3YwJHrCMDCBP6v2LaDRQMVdMcreCMl" TargetMode="External"/><Relationship Id="rId297" Type="http://schemas.openxmlformats.org/officeDocument/2006/relationships/hyperlink" Target="https://drive.google.com/open?id=1ZPJslKFvMabGhq6n_DlIN60YsV_hzMd3" TargetMode="External"/><Relationship Id="rId518" Type="http://schemas.openxmlformats.org/officeDocument/2006/relationships/hyperlink" Target="https://drive.google.com/open?id=1Kyh3L5G8NTW7MU2LWNgKb9KtqN232vO5" TargetMode="External"/><Relationship Id="rId725" Type="http://schemas.openxmlformats.org/officeDocument/2006/relationships/hyperlink" Target="https://drive.google.com/open?id=1vYKq07Yx9GCHzJKGqhNxbqKNUEcLXNkh" TargetMode="External"/><Relationship Id="rId932" Type="http://schemas.openxmlformats.org/officeDocument/2006/relationships/hyperlink" Target="https://drive.google.com/open?id=1Ljn894nHkgCg1p0c-9_DTttD0ao4oAja" TargetMode="External"/><Relationship Id="rId157" Type="http://schemas.openxmlformats.org/officeDocument/2006/relationships/hyperlink" Target="https://drive.google.com/open?id=1to1SsS5iC-qk3sWFKKM8xoKNoXheYZRw" TargetMode="External"/><Relationship Id="rId364" Type="http://schemas.openxmlformats.org/officeDocument/2006/relationships/hyperlink" Target="https://drive.google.com/open?id=1TmvVhAdPMaepE-OsFfiFVyoHdDq078ck" TargetMode="External"/><Relationship Id="rId61" Type="http://schemas.openxmlformats.org/officeDocument/2006/relationships/hyperlink" Target="https://drive.google.com/open?id=1ZFRQvtH_JWorZc2DkGdFDOiZWK3ijPsG" TargetMode="External"/><Relationship Id="rId571" Type="http://schemas.openxmlformats.org/officeDocument/2006/relationships/hyperlink" Target="https://drive.google.com/open?id=1h7GDFXf5jphdwGgaEm6htWi13oweSk-M" TargetMode="External"/><Relationship Id="rId669" Type="http://schemas.openxmlformats.org/officeDocument/2006/relationships/hyperlink" Target="https://drive.google.com/open?id=1fOhGxnHSjE_la3w7r0vklBB7eM58R8DR" TargetMode="External"/><Relationship Id="rId876" Type="http://schemas.openxmlformats.org/officeDocument/2006/relationships/hyperlink" Target="https://drive.google.com/open?id=17l8z1zTRyMr5sSvv51D-xFKCU-Lv1Eyt" TargetMode="External"/><Relationship Id="rId19" Type="http://schemas.openxmlformats.org/officeDocument/2006/relationships/hyperlink" Target="https://drive.google.com/open?id=1muhhx2tI6O-dsWo4FP6ZKVzpHu_VbI-t" TargetMode="External"/><Relationship Id="rId224" Type="http://schemas.openxmlformats.org/officeDocument/2006/relationships/hyperlink" Target="https://drive.google.com/open?id=1QRLGH_X2AW_YjddG5QXBw9JTdERF8pPt" TargetMode="External"/><Relationship Id="rId431" Type="http://schemas.openxmlformats.org/officeDocument/2006/relationships/hyperlink" Target="https://drive.google.com/open?id=1yETM0djnO8fiVNun7elgKGcJWCI4-VU6" TargetMode="External"/><Relationship Id="rId529" Type="http://schemas.openxmlformats.org/officeDocument/2006/relationships/hyperlink" Target="https://drive.google.com/open?id=17IWFYtwVql54-svRxysRwDPx0o64odxU" TargetMode="External"/><Relationship Id="rId736" Type="http://schemas.openxmlformats.org/officeDocument/2006/relationships/hyperlink" Target="https://drive.google.com/open?id=12yfbUfklebPqKbnAroud35zC2UW2uZGH" TargetMode="External"/><Relationship Id="rId168" Type="http://schemas.openxmlformats.org/officeDocument/2006/relationships/hyperlink" Target="https://drive.google.com/open?id=1v6_lcOOyY6g6zjWQJxQhTCZmO91B3A-K" TargetMode="External"/><Relationship Id="rId943" Type="http://schemas.openxmlformats.org/officeDocument/2006/relationships/hyperlink" Target="https://drive.google.com/open?id=1q-dl0gCrQbsx_btZkBQX6sGp7CXKRjvv" TargetMode="External"/><Relationship Id="rId72" Type="http://schemas.openxmlformats.org/officeDocument/2006/relationships/hyperlink" Target="https://drive.google.com/open?id=1VCHGF9sAJvEwoJv18sR3t5tJwm4erNbO" TargetMode="External"/><Relationship Id="rId375" Type="http://schemas.openxmlformats.org/officeDocument/2006/relationships/hyperlink" Target="https://drive.google.com/open?id=1TwP-0NQwVcKlglApsMmumSWnwMCytkIY" TargetMode="External"/><Relationship Id="rId582" Type="http://schemas.openxmlformats.org/officeDocument/2006/relationships/hyperlink" Target="https://drive.google.com/open?id=1XTws3KDSyCdVh-Tl7uFvIuDsdR1tfhxJ" TargetMode="External"/><Relationship Id="rId803" Type="http://schemas.openxmlformats.org/officeDocument/2006/relationships/hyperlink" Target="https://drive.google.com/open?id=1JpFv2vWtfCZYeC_z-tvBXknhz4oKVLWI" TargetMode="External"/><Relationship Id="rId3" Type="http://schemas.openxmlformats.org/officeDocument/2006/relationships/hyperlink" Target="https://drive.google.com/open?id=1RgPY6LsOUHKnWxjr8bGGR1iKx7YEnQfX" TargetMode="External"/><Relationship Id="rId235" Type="http://schemas.openxmlformats.org/officeDocument/2006/relationships/hyperlink" Target="https://drive.google.com/open?id=12AZZcrUyNz2zUXr4Oyz0CmV6G1PjqPw_" TargetMode="External"/><Relationship Id="rId442" Type="http://schemas.openxmlformats.org/officeDocument/2006/relationships/hyperlink" Target="https://drive.google.com/open?id=1NBEVD7JH16IDXR6bXu2pfqZXGVW3cKs6" TargetMode="External"/><Relationship Id="rId887" Type="http://schemas.openxmlformats.org/officeDocument/2006/relationships/hyperlink" Target="https://drive.google.com/open?id=10qmuCdCnB9MLY_RzEsAfeaxKxd9lgeF1" TargetMode="External"/><Relationship Id="rId302" Type="http://schemas.openxmlformats.org/officeDocument/2006/relationships/hyperlink" Target="https://drive.google.com/open?id=1F1OzpqZfjYRJMa3ErEW0RZenk5kWtOzm" TargetMode="External"/><Relationship Id="rId747" Type="http://schemas.openxmlformats.org/officeDocument/2006/relationships/hyperlink" Target="https://drive.google.com/open?id=1zVrFnrZ7GC4Szv94DT5PdumlHAJNDmaP" TargetMode="External"/><Relationship Id="rId954" Type="http://schemas.openxmlformats.org/officeDocument/2006/relationships/hyperlink" Target="https://drive.google.com/open?id=1Sy09Tr2Gfvwdx_BcYGI3VP-4FQAu4C3L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Relationship Id="rId4" Type="http://schemas.microsoft.com/office/2007/relationships/slicer" Target="../slicers/slicer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7"/>
  <sheetViews>
    <sheetView showGridLines="0" topLeftCell="B1" zoomScale="90" zoomScaleNormal="90" workbookViewId="0">
      <selection activeCell="B3" sqref="B3:M17"/>
    </sheetView>
  </sheetViews>
  <sheetFormatPr defaultRowHeight="13.8"/>
  <cols>
    <col min="2" max="2" width="11.59765625" customWidth="1"/>
    <col min="3" max="3" width="38.8984375" bestFit="1" customWidth="1"/>
    <col min="4" max="4" width="12.8984375" bestFit="1" customWidth="1"/>
    <col min="5" max="5" width="10.69921875" bestFit="1" customWidth="1"/>
    <col min="6" max="6" width="11" bestFit="1" customWidth="1"/>
    <col min="7" max="7" width="10.3984375" bestFit="1" customWidth="1"/>
    <col min="8" max="8" width="18" bestFit="1" customWidth="1"/>
    <col min="9" max="9" width="11.09765625" bestFit="1" customWidth="1"/>
    <col min="10" max="10" width="18.296875" customWidth="1"/>
    <col min="11" max="11" width="12.3984375" customWidth="1"/>
    <col min="12" max="12" width="22.69921875" bestFit="1" customWidth="1"/>
    <col min="13" max="13" width="20.69921875" bestFit="1" customWidth="1"/>
    <col min="14" max="14" width="35.59765625" bestFit="1" customWidth="1"/>
  </cols>
  <sheetData>
    <row r="1" spans="2:14">
      <c r="B1" s="18" t="s">
        <v>68</v>
      </c>
      <c r="K1" t="s">
        <v>76</v>
      </c>
    </row>
    <row r="2" spans="2:14">
      <c r="B2" s="18"/>
    </row>
    <row r="3" spans="2:14" ht="14.4">
      <c r="B3" s="17" t="str">
        <f>'Por Supervisor'!$B$2&amp;" "&amp;'Por Supervisor'!$B$1</f>
        <v>1ª Quinzena SETEMBRO</v>
      </c>
      <c r="C3" s="17"/>
      <c r="K3" s="25" t="s">
        <v>109</v>
      </c>
    </row>
    <row r="4" spans="2:14" ht="14.4" thickBot="1">
      <c r="B4" t="s">
        <v>1</v>
      </c>
      <c r="C4" t="s">
        <v>0</v>
      </c>
      <c r="D4" t="s">
        <v>104</v>
      </c>
      <c r="E4" t="s">
        <v>87</v>
      </c>
      <c r="F4" t="s">
        <v>2</v>
      </c>
      <c r="G4" t="s">
        <v>3</v>
      </c>
      <c r="H4" t="s">
        <v>4</v>
      </c>
      <c r="I4" t="s">
        <v>5</v>
      </c>
      <c r="J4" t="s">
        <v>65</v>
      </c>
      <c r="K4" t="s">
        <v>108</v>
      </c>
      <c r="L4" t="s">
        <v>90</v>
      </c>
      <c r="M4" s="11" t="s">
        <v>64</v>
      </c>
      <c r="N4" t="s">
        <v>113</v>
      </c>
    </row>
    <row r="5" spans="2:14" ht="14.4">
      <c r="B5" t="s">
        <v>143</v>
      </c>
      <c r="C5" t="s">
        <v>132</v>
      </c>
      <c r="D5" t="s">
        <v>105</v>
      </c>
      <c r="E5" s="11">
        <v>2907</v>
      </c>
      <c r="F5" s="7">
        <f>SUMIFS('Por Supervisor'!F:F,'Por Supervisor'!$A:$A,Tabela2[[#This Row],[Nome]])</f>
        <v>999.9899999999999</v>
      </c>
      <c r="G5" s="7">
        <f>SUMIFS('Por Supervisor'!G:G,'Por Supervisor'!$A:$A,Tabela2[[#This Row],[Nome]])</f>
        <v>28.5</v>
      </c>
      <c r="H5" s="7">
        <f>SUMIFS('Por Supervisor'!H:H,'Por Supervisor'!$A:$A,Tabela2[[#This Row],[Nome]])</f>
        <v>0</v>
      </c>
      <c r="I5" s="7">
        <f>SUMIFS('Por Supervisor'!I:I,'Por Supervisor'!$A:$A,Tabela2[[#This Row],[Nome]])</f>
        <v>43</v>
      </c>
      <c r="J5" s="30">
        <f>SUM(Tabela2[[#This Row],[Valor KM]:[Diversas]])</f>
        <v>1071.4899999999998</v>
      </c>
      <c r="K5" s="13">
        <f>SUMIFS('Por Supervisor'!K:K,'Por Supervisor'!$A:$A,Tabela2[[#This Row],[Nome]])</f>
        <v>0</v>
      </c>
      <c r="L5" s="31"/>
      <c r="M5" s="33">
        <f>IF(AND(J5=0,Tabela2[[#This Row],[Adiantamento / Saldo]]=""),"-",(Tabela2[[#This Row],[TT Reembolsavel]]+Tabela2[[#This Row],[Adiantamento / Saldo]]))</f>
        <v>1071.4899999999998</v>
      </c>
    </row>
    <row r="6" spans="2:14">
      <c r="B6" s="103" t="s">
        <v>1500</v>
      </c>
      <c r="C6" t="s">
        <v>1696</v>
      </c>
      <c r="D6" s="121" t="s">
        <v>105</v>
      </c>
      <c r="E6" s="11">
        <v>2907</v>
      </c>
      <c r="F6" s="7">
        <f>SUMIFS('Por Supervisor'!F:F,'Por Supervisor'!$A:$A,Tabela2[[#This Row],[Nome]])</f>
        <v>755.22</v>
      </c>
      <c r="G6" s="7">
        <f>SUMIFS('Por Supervisor'!G:G,'Por Supervisor'!$A:$A,Tabela2[[#This Row],[Nome]])</f>
        <v>0</v>
      </c>
      <c r="H6" s="7">
        <f>SUMIFS('Por Supervisor'!H:H,'Por Supervisor'!$A:$A,Tabela2[[#This Row],[Nome]])</f>
        <v>0</v>
      </c>
      <c r="I6" s="7">
        <f>SUMIFS('Por Supervisor'!I:I,'Por Supervisor'!$A:$A,Tabela2[[#This Row],[Nome]])</f>
        <v>0</v>
      </c>
      <c r="J6" s="104">
        <f>SUM(Tabela2[[#This Row],[Valor KM]:[Diversas]])</f>
        <v>755.22</v>
      </c>
      <c r="K6" s="105">
        <f>SUMIFS('Por Supervisor'!K:K,'Por Supervisor'!$A:$A,Tabela2[[#This Row],[Nome]])</f>
        <v>0</v>
      </c>
      <c r="L6" s="32"/>
      <c r="M6" s="34">
        <f>IF(AND(J6=0,Tabela2[[#This Row],[Adiantamento / Saldo]]=""),"-",(Tabela2[[#This Row],[TT Reembolsavel]]+Tabela2[[#This Row],[Adiantamento / Saldo]]))</f>
        <v>755.22</v>
      </c>
    </row>
    <row r="7" spans="2:14" ht="14.4">
      <c r="B7" t="s">
        <v>1422</v>
      </c>
      <c r="C7" t="s">
        <v>44</v>
      </c>
      <c r="D7" t="s">
        <v>105</v>
      </c>
      <c r="E7" s="11">
        <v>2907</v>
      </c>
      <c r="F7" s="7">
        <f>SUMIFS('Por Supervisor'!F:F,'Por Supervisor'!$A:$A,Tabela2[[#This Row],[Nome]])</f>
        <v>763.82999999999993</v>
      </c>
      <c r="G7" s="7">
        <f>SUMIFS('Por Supervisor'!G:G,'Por Supervisor'!$A:$A,Tabela2[[#This Row],[Nome]])</f>
        <v>5.7</v>
      </c>
      <c r="H7" s="7">
        <f>SUMIFS('Por Supervisor'!H:H,'Por Supervisor'!$A:$A,Tabela2[[#This Row],[Nome]])</f>
        <v>0</v>
      </c>
      <c r="I7" s="7">
        <f>SUMIFS('Por Supervisor'!I:I,'Por Supervisor'!$A:$A,Tabela2[[#This Row],[Nome]])</f>
        <v>0</v>
      </c>
      <c r="J7" s="30">
        <f>SUM(Tabela2[[#This Row],[Valor KM]:[Diversas]])</f>
        <v>769.53</v>
      </c>
      <c r="K7" s="13">
        <f>SUMIFS('Por Supervisor'!K:K,'Por Supervisor'!$A:$A,Tabela2[[#This Row],[Nome]])</f>
        <v>0</v>
      </c>
      <c r="L7" s="31"/>
      <c r="M7" s="34">
        <f>IF(AND(J7=0,Tabela2[[#This Row],[Adiantamento / Saldo]]=""),"-",(Tabela2[[#This Row],[TT Reembolsavel]]+Tabela2[[#This Row],[Adiantamento / Saldo]]))</f>
        <v>769.53</v>
      </c>
    </row>
    <row r="8" spans="2:14" ht="14.4">
      <c r="B8" t="s">
        <v>144</v>
      </c>
      <c r="C8" t="s">
        <v>134</v>
      </c>
      <c r="D8" t="s">
        <v>105</v>
      </c>
      <c r="E8" s="11">
        <v>2907</v>
      </c>
      <c r="F8" s="7">
        <f>SUMIFS('Por Supervisor'!F:F,'Por Supervisor'!$A:$A,Tabela2[[#This Row],[Nome]])</f>
        <v>313.64999999999998</v>
      </c>
      <c r="G8" s="7">
        <f>SUMIFS('Por Supervisor'!G:G,'Por Supervisor'!$A:$A,Tabela2[[#This Row],[Nome]])</f>
        <v>0</v>
      </c>
      <c r="H8" s="7">
        <f>SUMIFS('Por Supervisor'!H:H,'Por Supervisor'!$A:$A,Tabela2[[#This Row],[Nome]])</f>
        <v>0</v>
      </c>
      <c r="I8" s="7">
        <f>SUMIFS('Por Supervisor'!I:I,'Por Supervisor'!$A:$A,Tabela2[[#This Row],[Nome]])</f>
        <v>0</v>
      </c>
      <c r="J8" s="30">
        <f>SUM(Tabela2[[#This Row],[Valor KM]:[Diversas]])</f>
        <v>313.64999999999998</v>
      </c>
      <c r="K8" s="13">
        <f>SUMIFS('Por Supervisor'!K:K,'Por Supervisor'!$A:$A,Tabela2[[#This Row],[Nome]])</f>
        <v>0</v>
      </c>
      <c r="L8" s="32"/>
      <c r="M8" s="34">
        <f>IF(AND(J8=0,Tabela2[[#This Row],[Adiantamento / Saldo]]=""),"-",(Tabela2[[#This Row],[TT Reembolsavel]]+Tabela2[[#This Row],[Adiantamento / Saldo]]))</f>
        <v>313.64999999999998</v>
      </c>
    </row>
    <row r="9" spans="2:14" ht="14.4">
      <c r="B9" t="s">
        <v>266</v>
      </c>
      <c r="C9" t="s">
        <v>250</v>
      </c>
      <c r="D9" t="s">
        <v>105</v>
      </c>
      <c r="E9" s="11">
        <v>2907</v>
      </c>
      <c r="F9" s="7">
        <f>SUMIFS('Por Supervisor'!F:F,'Por Supervisor'!$A:$A,Tabela2[[#This Row],[Nome]])</f>
        <v>687.56999999999994</v>
      </c>
      <c r="G9" s="7">
        <f>SUMIFS('Por Supervisor'!G:G,'Por Supervisor'!$A:$A,Tabela2[[#This Row],[Nome]])</f>
        <v>0</v>
      </c>
      <c r="H9" s="7">
        <f>SUMIFS('Por Supervisor'!H:H,'Por Supervisor'!$A:$A,Tabela2[[#This Row],[Nome]])</f>
        <v>0</v>
      </c>
      <c r="I9" s="7">
        <f>SUMIFS('Por Supervisor'!I:I,'Por Supervisor'!$A:$A,Tabela2[[#This Row],[Nome]])</f>
        <v>0</v>
      </c>
      <c r="J9" s="30">
        <f>SUM(Tabela2[[#This Row],[Valor KM]:[Diversas]])</f>
        <v>687.56999999999994</v>
      </c>
      <c r="K9" s="13">
        <f>SUMIFS('Por Supervisor'!K:K,'Por Supervisor'!$A:$A,Tabela2[[#This Row],[Nome]])</f>
        <v>0</v>
      </c>
      <c r="L9" s="32"/>
      <c r="M9" s="34">
        <f>IF(AND(J9=0,Tabela2[[#This Row],[Adiantamento / Saldo]]=""),"-",(Tabela2[[#This Row],[TT Reembolsavel]]+Tabela2[[#This Row],[Adiantamento / Saldo]]))</f>
        <v>687.56999999999994</v>
      </c>
    </row>
    <row r="10" spans="2:14" ht="14.4">
      <c r="B10" t="s">
        <v>145</v>
      </c>
      <c r="C10" t="s">
        <v>136</v>
      </c>
      <c r="D10" t="s">
        <v>105</v>
      </c>
      <c r="E10" s="11">
        <v>2907</v>
      </c>
      <c r="F10" s="7">
        <f>SUMIFS('Por Supervisor'!F:F,'Por Supervisor'!$A:$A,Tabela2[[#This Row],[Nome]])</f>
        <v>321.02999999999997</v>
      </c>
      <c r="G10" s="7">
        <f>SUMIFS('Por Supervisor'!G:G,'Por Supervisor'!$A:$A,Tabela2[[#This Row],[Nome]])</f>
        <v>0</v>
      </c>
      <c r="H10" s="7">
        <f>SUMIFS('Por Supervisor'!H:H,'Por Supervisor'!$A:$A,Tabela2[[#This Row],[Nome]])</f>
        <v>0</v>
      </c>
      <c r="I10" s="7">
        <f>SUMIFS('Por Supervisor'!I:I,'Por Supervisor'!$A:$A,Tabela2[[#This Row],[Nome]])</f>
        <v>0</v>
      </c>
      <c r="J10" s="30">
        <f>SUM(Tabela2[[#This Row],[Valor KM]:[Diversas]])</f>
        <v>321.02999999999997</v>
      </c>
      <c r="K10" s="13">
        <f>SUMIFS('Por Supervisor'!K:K,'Por Supervisor'!$A:$A,Tabela2[[#This Row],[Nome]])</f>
        <v>0</v>
      </c>
      <c r="L10" s="32"/>
      <c r="M10" s="34">
        <f>IF(AND(J10=0,Tabela2[[#This Row],[Adiantamento / Saldo]]=""),"-",(Tabela2[[#This Row],[TT Reembolsavel]]+Tabela2[[#This Row],[Adiantamento / Saldo]]))</f>
        <v>321.02999999999997</v>
      </c>
    </row>
    <row r="11" spans="2:14" ht="14.4" hidden="1">
      <c r="B11" t="s">
        <v>267</v>
      </c>
      <c r="C11" t="s">
        <v>262</v>
      </c>
      <c r="D11" t="s">
        <v>106</v>
      </c>
      <c r="E11" s="11">
        <v>2907</v>
      </c>
      <c r="F11" s="7">
        <f>SUMIFS('Por Supervisor'!F:F,'Por Supervisor'!$A:$A,Tabela2[[#This Row],[Nome]])</f>
        <v>0</v>
      </c>
      <c r="G11" s="7">
        <f>SUMIFS('Por Supervisor'!G:G,'Por Supervisor'!$A:$A,Tabela2[[#This Row],[Nome]])</f>
        <v>0</v>
      </c>
      <c r="H11" s="7">
        <f>SUMIFS('Por Supervisor'!H:H,'Por Supervisor'!$A:$A,Tabela2[[#This Row],[Nome]])</f>
        <v>0</v>
      </c>
      <c r="I11" s="7">
        <f>SUMIFS('Por Supervisor'!I:I,'Por Supervisor'!$A:$A,Tabela2[[#This Row],[Nome]])</f>
        <v>0</v>
      </c>
      <c r="J11" s="30">
        <f>SUM(Tabela2[[#This Row],[Valor KM]:[Diversas]])</f>
        <v>0</v>
      </c>
      <c r="K11" s="13">
        <f>SUMIFS('Por Supervisor'!K:K,'Por Supervisor'!$A:$A,Tabela2[[#This Row],[Nome]])</f>
        <v>0</v>
      </c>
      <c r="L11" s="31"/>
      <c r="M11" s="34" t="str">
        <f>IF(AND(J11=0,Tabela2[[#This Row],[Adiantamento / Saldo]]=""),"-",(Tabela2[[#This Row],[TT Reembolsavel]]+Tabela2[[#This Row],[Adiantamento / Saldo]]))</f>
        <v>-</v>
      </c>
    </row>
    <row r="12" spans="2:14">
      <c r="B12" s="103" t="s">
        <v>543</v>
      </c>
      <c r="C12" t="s">
        <v>498</v>
      </c>
      <c r="D12" t="s">
        <v>105</v>
      </c>
      <c r="E12" s="11">
        <v>2907</v>
      </c>
      <c r="F12" s="7">
        <f>SUMIFS('Por Supervisor'!F:F,'Por Supervisor'!$A:$A,Tabela2[[#This Row],[Nome]])</f>
        <v>977.84999999999991</v>
      </c>
      <c r="G12" s="7">
        <f>SUMIFS('Por Supervisor'!G:G,'Por Supervisor'!$A:$A,Tabela2[[#This Row],[Nome]])</f>
        <v>33.799999999999997</v>
      </c>
      <c r="H12" s="7">
        <f>SUMIFS('Por Supervisor'!H:H,'Por Supervisor'!$A:$A,Tabela2[[#This Row],[Nome]])</f>
        <v>0</v>
      </c>
      <c r="I12" s="7">
        <f>SUMIFS('Por Supervisor'!I:I,'Por Supervisor'!$A:$A,Tabela2[[#This Row],[Nome]])</f>
        <v>0</v>
      </c>
      <c r="J12" s="104">
        <f>SUM(Tabela2[[#This Row],[Valor KM]:[Diversas]])</f>
        <v>1011.6499999999999</v>
      </c>
      <c r="K12" s="105"/>
      <c r="L12" s="32"/>
      <c r="M12" s="34">
        <f>IF(AND(J12=0,Tabela2[[#This Row],[Adiantamento / Saldo]]=""),"-",(Tabela2[[#This Row],[TT Reembolsavel]]+Tabela2[[#This Row],[Adiantamento / Saldo]]))</f>
        <v>1011.6499999999999</v>
      </c>
    </row>
    <row r="13" spans="2:14" ht="14.4">
      <c r="B13" t="s">
        <v>542</v>
      </c>
      <c r="C13" t="s">
        <v>505</v>
      </c>
      <c r="D13" t="s">
        <v>105</v>
      </c>
      <c r="E13" s="11">
        <v>2907</v>
      </c>
      <c r="F13" s="7">
        <f>SUMIFS('Por Supervisor'!F:F,'Por Supervisor'!$A:$A,Tabela2[[#This Row],[Nome]])</f>
        <v>626.06999999999994</v>
      </c>
      <c r="G13" s="7">
        <f>SUMIFS('Por Supervisor'!G:G,'Por Supervisor'!$A:$A,Tabela2[[#This Row],[Nome]])</f>
        <v>11.4</v>
      </c>
      <c r="H13" s="7">
        <f>SUMIFS('Por Supervisor'!H:H,'Por Supervisor'!$A:$A,Tabela2[[#This Row],[Nome]])</f>
        <v>0</v>
      </c>
      <c r="I13" s="7">
        <f>SUMIFS('Por Supervisor'!I:I,'Por Supervisor'!$A:$A,Tabela2[[#This Row],[Nome]])</f>
        <v>0</v>
      </c>
      <c r="J13" s="30">
        <f>SUM(Tabela2[[#This Row],[Valor KM]:[Diversas]])</f>
        <v>637.46999999999991</v>
      </c>
      <c r="K13" s="13">
        <f>SUMIFS('Por Supervisor'!K:K,'Por Supervisor'!$A:$A,Tabela2[[#This Row],[Nome]])</f>
        <v>0</v>
      </c>
      <c r="L13" s="31"/>
      <c r="M13" s="34">
        <f>IF(AND(J13=0,Tabela2[[#This Row],[Adiantamento / Saldo]]=""),"-",(Tabela2[[#This Row],[TT Reembolsavel]]+Tabela2[[#This Row],[Adiantamento / Saldo]]))</f>
        <v>637.46999999999991</v>
      </c>
    </row>
    <row r="14" spans="2:14" ht="14.4" hidden="1">
      <c r="B14" t="s">
        <v>50</v>
      </c>
      <c r="C14" t="s">
        <v>24</v>
      </c>
      <c r="D14" t="s">
        <v>106</v>
      </c>
      <c r="E14" s="11">
        <v>2907</v>
      </c>
      <c r="F14" s="7">
        <f>SUMIFS('Por Supervisor'!F:F,'Por Supervisor'!$A:$A,Tabela2[[#This Row],[Nome]])</f>
        <v>0</v>
      </c>
      <c r="G14" s="7">
        <f>SUMIFS('Por Supervisor'!G:G,'Por Supervisor'!$A:$A,Tabela2[[#This Row],[Nome]])</f>
        <v>0</v>
      </c>
      <c r="H14" s="7">
        <f>SUMIFS('Por Supervisor'!H:H,'Por Supervisor'!$A:$A,Tabela2[[#This Row],[Nome]])</f>
        <v>0</v>
      </c>
      <c r="I14" s="7">
        <f>SUMIFS('Por Supervisor'!I:I,'Por Supervisor'!$A:$A,Tabela2[[#This Row],[Nome]])</f>
        <v>0</v>
      </c>
      <c r="J14" s="30">
        <f>SUM(Tabela2[[#This Row],[Valor KM]:[Diversas]])</f>
        <v>0</v>
      </c>
      <c r="K14" s="13">
        <f>SUMIFS('Por Supervisor'!K:K,'Por Supervisor'!$A:$A,Tabela2[[#This Row],[Nome]])</f>
        <v>0</v>
      </c>
      <c r="L14" s="32"/>
      <c r="M14" s="34" t="str">
        <f>IF(AND(J14=0,Tabela2[[#This Row],[Adiantamento / Saldo]]=""),"-",(Tabela2[[#This Row],[TT Reembolsavel]]+Tabela2[[#This Row],[Adiantamento / Saldo]]))</f>
        <v>-</v>
      </c>
    </row>
    <row r="15" spans="2:14" ht="14.4" hidden="1">
      <c r="E15" s="11"/>
      <c r="F15" s="7">
        <f>SUMIFS('Por Supervisor'!F:F,'Por Supervisor'!$A:$A,Tabela2[[#This Row],[Nome]])</f>
        <v>0</v>
      </c>
      <c r="G15" s="7">
        <f>SUMIFS('Por Supervisor'!G:G,'Por Supervisor'!$A:$A,Tabela2[[#This Row],[Nome]])</f>
        <v>0</v>
      </c>
      <c r="H15" s="7">
        <f>SUMIFS('Por Supervisor'!H:H,'Por Supervisor'!$A:$A,Tabela2[[#This Row],[Nome]])</f>
        <v>0</v>
      </c>
      <c r="I15" s="7">
        <f>SUMIFS('Por Supervisor'!I:I,'Por Supervisor'!$A:$A,Tabela2[[#This Row],[Nome]])</f>
        <v>0</v>
      </c>
      <c r="J15" s="30">
        <f>SUM(Tabela2[[#This Row],[Valor KM]:[Diversas]])</f>
        <v>0</v>
      </c>
      <c r="K15" s="13">
        <f>SUMIFS('Por Supervisor'!K:K,'Por Supervisor'!$A:$A,Tabela2[[#This Row],[Nome]])</f>
        <v>0</v>
      </c>
      <c r="L15" s="31"/>
      <c r="M15" s="34" t="str">
        <f>IF(AND(J15=0,Tabela2[[#This Row],[Adiantamento / Saldo]]=""),"-",(Tabela2[[#This Row],[TT Reembolsavel]]+Tabela2[[#This Row],[Adiantamento / Saldo]]))</f>
        <v>-</v>
      </c>
    </row>
    <row r="16" spans="2:14" ht="14.4" hidden="1">
      <c r="E16" s="11"/>
      <c r="F16" s="7">
        <f>SUMIFS('Por Supervisor'!F:F,'Por Supervisor'!$A:$A,Tabela2[[#This Row],[Nome]])</f>
        <v>0</v>
      </c>
      <c r="G16" s="7">
        <f>SUMIFS('Por Supervisor'!G:G,'Por Supervisor'!$A:$A,Tabela2[[#This Row],[Nome]])</f>
        <v>0</v>
      </c>
      <c r="H16" s="7">
        <f>SUMIFS('Por Supervisor'!H:H,'Por Supervisor'!$A:$A,Tabela2[[#This Row],[Nome]])</f>
        <v>0</v>
      </c>
      <c r="I16" s="7">
        <f>SUMIFS('Por Supervisor'!I:I,'Por Supervisor'!$A:$A,Tabela2[[#This Row],[Nome]])</f>
        <v>0</v>
      </c>
      <c r="J16" s="30">
        <f>SUM(Tabela2[[#This Row],[Valor KM]:[Diversas]])</f>
        <v>0</v>
      </c>
      <c r="K16" s="13">
        <f>SUMIFS('Por Supervisor'!K:K,'Por Supervisor'!$A:$A,Tabela2[[#This Row],[Nome]])</f>
        <v>0</v>
      </c>
      <c r="L16" s="32"/>
      <c r="M16" s="34" t="str">
        <f>IF(AND(J16=0,Tabela2[[#This Row],[Adiantamento / Saldo]]=""),"-",(Tabela2[[#This Row],[TT Reembolsavel]]+Tabela2[[#This Row],[Adiantamento / Saldo]]))</f>
        <v>-</v>
      </c>
    </row>
    <row r="17" spans="5:13" ht="14.4" thickBot="1">
      <c r="E17" s="11"/>
      <c r="F17" s="70"/>
      <c r="G17" s="70"/>
      <c r="H17" s="70"/>
      <c r="I17" s="70"/>
      <c r="J17" s="100">
        <f>SUBTOTAL(109,Tabela2[TT Reembolsavel])</f>
        <v>5567.61</v>
      </c>
      <c r="K17" s="101"/>
      <c r="L17" s="71"/>
      <c r="M17" s="102">
        <f>SUBTOTAL(109,Tabela2[Valor a depositar])</f>
        <v>5567.61</v>
      </c>
    </row>
  </sheetData>
  <conditionalFormatting sqref="F4:K17">
    <cfRule type="cellIs" dxfId="98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49"/>
  <sheetViews>
    <sheetView showGridLines="0" topLeftCell="A21" workbookViewId="0">
      <selection activeCell="B44" sqref="B44"/>
    </sheetView>
  </sheetViews>
  <sheetFormatPr defaultRowHeight="13.8"/>
  <cols>
    <col min="1" max="1" width="38.69921875" bestFit="1" customWidth="1"/>
    <col min="2" max="2" width="14" bestFit="1" customWidth="1"/>
    <col min="3" max="3" width="12.296875" bestFit="1" customWidth="1"/>
    <col min="4" max="4" width="10.8984375" bestFit="1" customWidth="1"/>
    <col min="5" max="5" width="12.8984375" bestFit="1" customWidth="1"/>
    <col min="6" max="6" width="11.8984375" bestFit="1" customWidth="1"/>
    <col min="7" max="7" width="10" bestFit="1" customWidth="1"/>
    <col min="8" max="8" width="17.19921875" bestFit="1" customWidth="1"/>
    <col min="9" max="9" width="10.59765625" bestFit="1" customWidth="1"/>
    <col min="10" max="10" width="18.69921875" bestFit="1" customWidth="1"/>
    <col min="11" max="11" width="14.59765625" bestFit="1" customWidth="1"/>
  </cols>
  <sheetData>
    <row r="1" spans="1:11">
      <c r="A1" s="3" t="s">
        <v>56</v>
      </c>
      <c r="B1" t="s">
        <v>258</v>
      </c>
    </row>
    <row r="2" spans="1:11">
      <c r="A2" s="3" t="s">
        <v>57</v>
      </c>
      <c r="B2" t="s">
        <v>2099</v>
      </c>
    </row>
    <row r="4" spans="1:11">
      <c r="A4" s="3" t="s">
        <v>9</v>
      </c>
      <c r="B4" s="3" t="s">
        <v>78</v>
      </c>
      <c r="C4" s="3" t="s">
        <v>79</v>
      </c>
      <c r="D4" s="3" t="s">
        <v>80</v>
      </c>
      <c r="E4" s="3" t="s">
        <v>25</v>
      </c>
      <c r="F4" t="s">
        <v>32</v>
      </c>
      <c r="G4" t="s">
        <v>33</v>
      </c>
      <c r="H4" t="s">
        <v>35</v>
      </c>
      <c r="I4" t="s">
        <v>34</v>
      </c>
      <c r="J4" t="s">
        <v>37</v>
      </c>
      <c r="K4" t="s">
        <v>36</v>
      </c>
    </row>
    <row r="5" spans="1:11">
      <c r="A5" t="s">
        <v>1635</v>
      </c>
      <c r="B5" s="2">
        <v>46267</v>
      </c>
      <c r="C5">
        <v>137264</v>
      </c>
      <c r="D5">
        <v>137535</v>
      </c>
      <c r="E5" s="75">
        <v>271</v>
      </c>
      <c r="F5" s="4">
        <v>333.33</v>
      </c>
      <c r="G5" s="4">
        <v>5.7</v>
      </c>
      <c r="H5" s="4">
        <v>0</v>
      </c>
      <c r="I5" s="4">
        <v>0</v>
      </c>
      <c r="J5" s="4">
        <v>339.03</v>
      </c>
      <c r="K5" s="4">
        <v>0</v>
      </c>
    </row>
    <row r="6" spans="1:11">
      <c r="A6" t="s">
        <v>1635</v>
      </c>
      <c r="B6" s="2">
        <v>46268</v>
      </c>
      <c r="C6">
        <v>137535</v>
      </c>
      <c r="D6">
        <v>137607</v>
      </c>
      <c r="E6" s="75">
        <v>72</v>
      </c>
      <c r="F6" s="4">
        <v>88.56</v>
      </c>
      <c r="G6" s="4">
        <v>0</v>
      </c>
      <c r="H6" s="4">
        <v>0</v>
      </c>
      <c r="I6" s="4">
        <v>0</v>
      </c>
      <c r="J6" s="4">
        <v>88.56</v>
      </c>
      <c r="K6" s="4">
        <v>0</v>
      </c>
    </row>
    <row r="7" spans="1:11">
      <c r="A7" t="s">
        <v>1635</v>
      </c>
      <c r="B7" s="2">
        <v>46269</v>
      </c>
      <c r="C7">
        <v>137607</v>
      </c>
      <c r="D7">
        <v>137672</v>
      </c>
      <c r="E7" s="75">
        <v>65</v>
      </c>
      <c r="F7" s="4">
        <v>79.95</v>
      </c>
      <c r="G7" s="4">
        <v>0</v>
      </c>
      <c r="H7" s="4">
        <v>0</v>
      </c>
      <c r="I7" s="4">
        <v>0</v>
      </c>
      <c r="J7" s="4">
        <v>79.95</v>
      </c>
      <c r="K7" s="4">
        <v>0</v>
      </c>
    </row>
    <row r="8" spans="1:11">
      <c r="A8" t="s">
        <v>1635</v>
      </c>
      <c r="B8" s="2">
        <v>46273</v>
      </c>
      <c r="C8">
        <v>137727</v>
      </c>
      <c r="D8">
        <v>137804</v>
      </c>
      <c r="E8" s="75">
        <v>77</v>
      </c>
      <c r="F8" s="4">
        <v>94.71</v>
      </c>
      <c r="G8" s="4">
        <v>0</v>
      </c>
      <c r="H8" s="4">
        <v>0</v>
      </c>
      <c r="I8" s="4">
        <v>0</v>
      </c>
      <c r="J8" s="4">
        <v>94.71</v>
      </c>
      <c r="K8" s="4">
        <v>0</v>
      </c>
    </row>
    <row r="9" spans="1:11">
      <c r="A9" t="s">
        <v>1635</v>
      </c>
      <c r="B9" s="2">
        <v>46274</v>
      </c>
      <c r="C9">
        <v>137804</v>
      </c>
      <c r="D9">
        <v>137852</v>
      </c>
      <c r="E9" s="75">
        <v>48</v>
      </c>
      <c r="F9" s="4">
        <v>59.04</v>
      </c>
      <c r="G9" s="4">
        <v>0</v>
      </c>
      <c r="H9" s="4">
        <v>0</v>
      </c>
      <c r="I9" s="4">
        <v>0</v>
      </c>
      <c r="J9" s="4">
        <v>59.04</v>
      </c>
      <c r="K9" s="4">
        <v>0</v>
      </c>
    </row>
    <row r="10" spans="1:11">
      <c r="A10" t="s">
        <v>1635</v>
      </c>
      <c r="B10" s="2">
        <v>46280</v>
      </c>
      <c r="C10">
        <v>138221</v>
      </c>
      <c r="D10">
        <v>138309</v>
      </c>
      <c r="E10" s="75">
        <v>88</v>
      </c>
      <c r="F10" s="4">
        <v>108.24</v>
      </c>
      <c r="G10" s="4">
        <v>0</v>
      </c>
      <c r="H10" s="4">
        <v>0</v>
      </c>
      <c r="I10" s="4">
        <v>0</v>
      </c>
      <c r="J10" s="4">
        <v>108.24</v>
      </c>
      <c r="K10" s="4">
        <v>0</v>
      </c>
    </row>
    <row r="11" spans="1:11">
      <c r="A11" s="5" t="s">
        <v>1644</v>
      </c>
      <c r="B11" s="5"/>
      <c r="C11" s="5"/>
      <c r="D11" s="5"/>
      <c r="E11" s="5"/>
      <c r="F11" s="6">
        <v>763.82999999999993</v>
      </c>
      <c r="G11" s="6">
        <v>5.7</v>
      </c>
      <c r="H11" s="6">
        <v>0</v>
      </c>
      <c r="I11" s="6">
        <v>0</v>
      </c>
      <c r="J11" s="6">
        <v>769.53</v>
      </c>
      <c r="K11" s="6">
        <v>0</v>
      </c>
    </row>
    <row r="12" spans="1:11">
      <c r="A12" t="s">
        <v>132</v>
      </c>
      <c r="B12" s="2">
        <v>46266</v>
      </c>
      <c r="C12">
        <v>198047</v>
      </c>
      <c r="D12">
        <v>198102</v>
      </c>
      <c r="E12" s="75">
        <v>55</v>
      </c>
      <c r="F12" s="4">
        <v>67.650000000000006</v>
      </c>
      <c r="G12" s="4">
        <v>0</v>
      </c>
      <c r="H12" s="4">
        <v>0</v>
      </c>
      <c r="I12" s="4">
        <v>0</v>
      </c>
      <c r="J12" s="4">
        <v>67.650000000000006</v>
      </c>
      <c r="K12" s="4">
        <v>0</v>
      </c>
    </row>
    <row r="13" spans="1:11">
      <c r="A13" t="s">
        <v>132</v>
      </c>
      <c r="B13" s="2">
        <v>46267</v>
      </c>
      <c r="C13">
        <v>198102</v>
      </c>
      <c r="D13">
        <v>198175</v>
      </c>
      <c r="E13" s="75">
        <v>73</v>
      </c>
      <c r="F13" s="4">
        <v>89.789999999999992</v>
      </c>
      <c r="G13" s="4">
        <v>0</v>
      </c>
      <c r="H13" s="4">
        <v>0</v>
      </c>
      <c r="I13" s="4">
        <v>0</v>
      </c>
      <c r="J13" s="4">
        <v>89.789999999999992</v>
      </c>
      <c r="K13" s="4">
        <v>0</v>
      </c>
    </row>
    <row r="14" spans="1:11">
      <c r="A14" t="s">
        <v>132</v>
      </c>
      <c r="B14" s="2">
        <v>46268</v>
      </c>
      <c r="C14">
        <v>198175</v>
      </c>
      <c r="D14">
        <v>198212</v>
      </c>
      <c r="E14" s="75">
        <v>37</v>
      </c>
      <c r="F14" s="4">
        <v>45.51</v>
      </c>
      <c r="G14" s="4">
        <v>0</v>
      </c>
      <c r="H14" s="4">
        <v>0</v>
      </c>
      <c r="I14" s="4">
        <v>0</v>
      </c>
      <c r="J14" s="4">
        <v>45.51</v>
      </c>
      <c r="K14" s="4">
        <v>0</v>
      </c>
    </row>
    <row r="15" spans="1:11">
      <c r="A15" t="s">
        <v>132</v>
      </c>
      <c r="B15" s="2">
        <v>46269</v>
      </c>
      <c r="C15">
        <v>198212</v>
      </c>
      <c r="D15">
        <v>198255</v>
      </c>
      <c r="E15" s="75">
        <v>43</v>
      </c>
      <c r="F15" s="4">
        <v>52.89</v>
      </c>
      <c r="G15" s="4">
        <v>0</v>
      </c>
      <c r="H15" s="4">
        <v>0</v>
      </c>
      <c r="I15" s="4">
        <v>0</v>
      </c>
      <c r="J15" s="4">
        <v>52.89</v>
      </c>
      <c r="K15" s="4">
        <v>0</v>
      </c>
    </row>
    <row r="16" spans="1:11">
      <c r="A16" t="s">
        <v>132</v>
      </c>
      <c r="B16" s="2">
        <v>46273</v>
      </c>
      <c r="C16">
        <v>198280</v>
      </c>
      <c r="D16">
        <v>198693</v>
      </c>
      <c r="E16" s="75">
        <v>413</v>
      </c>
      <c r="F16" s="4">
        <v>507.99</v>
      </c>
      <c r="G16" s="4">
        <v>28.5</v>
      </c>
      <c r="H16" s="4">
        <v>0</v>
      </c>
      <c r="I16" s="4">
        <v>43</v>
      </c>
      <c r="J16" s="4">
        <v>579.49</v>
      </c>
      <c r="K16" s="4">
        <v>0</v>
      </c>
    </row>
    <row r="17" spans="1:11">
      <c r="A17" t="s">
        <v>132</v>
      </c>
      <c r="B17" s="2">
        <v>46274</v>
      </c>
      <c r="C17">
        <v>198693</v>
      </c>
      <c r="D17">
        <v>198766</v>
      </c>
      <c r="E17" s="75">
        <v>73</v>
      </c>
      <c r="F17" s="4">
        <v>89.789999999999992</v>
      </c>
      <c r="G17" s="4">
        <v>0</v>
      </c>
      <c r="H17" s="4">
        <v>0</v>
      </c>
      <c r="I17" s="4">
        <v>0</v>
      </c>
      <c r="J17" s="4">
        <v>89.789999999999992</v>
      </c>
      <c r="K17" s="4">
        <v>0</v>
      </c>
    </row>
    <row r="18" spans="1:11">
      <c r="A18" t="s">
        <v>132</v>
      </c>
      <c r="B18" s="2">
        <v>46276</v>
      </c>
      <c r="C18">
        <v>198766</v>
      </c>
      <c r="D18">
        <v>198841</v>
      </c>
      <c r="E18" s="75">
        <v>75</v>
      </c>
      <c r="F18" s="4">
        <v>92.25</v>
      </c>
      <c r="G18" s="4">
        <v>0</v>
      </c>
      <c r="H18" s="4">
        <v>0</v>
      </c>
      <c r="I18" s="4">
        <v>0</v>
      </c>
      <c r="J18" s="4">
        <v>92.25</v>
      </c>
      <c r="K18" s="4">
        <v>0</v>
      </c>
    </row>
    <row r="19" spans="1:11">
      <c r="A19" t="s">
        <v>132</v>
      </c>
      <c r="B19" s="2">
        <v>46277</v>
      </c>
      <c r="C19">
        <v>198841</v>
      </c>
      <c r="D19">
        <v>198876</v>
      </c>
      <c r="E19" s="75">
        <v>35</v>
      </c>
      <c r="F19" s="4">
        <v>43.05</v>
      </c>
      <c r="G19" s="4">
        <v>0</v>
      </c>
      <c r="H19" s="4">
        <v>0</v>
      </c>
      <c r="I19" s="4">
        <v>0</v>
      </c>
      <c r="J19" s="4">
        <v>43.05</v>
      </c>
      <c r="K19" s="4">
        <v>0</v>
      </c>
    </row>
    <row r="20" spans="1:11">
      <c r="A20" t="s">
        <v>132</v>
      </c>
      <c r="B20" s="2">
        <v>46280</v>
      </c>
      <c r="C20">
        <v>198901</v>
      </c>
      <c r="D20">
        <v>198910</v>
      </c>
      <c r="E20" s="75">
        <v>9</v>
      </c>
      <c r="F20" s="4">
        <v>11.07</v>
      </c>
      <c r="G20" s="4">
        <v>0</v>
      </c>
      <c r="H20" s="4">
        <v>0</v>
      </c>
      <c r="I20" s="4">
        <v>0</v>
      </c>
      <c r="J20" s="4">
        <v>11.07</v>
      </c>
      <c r="K20" s="4">
        <v>0</v>
      </c>
    </row>
    <row r="21" spans="1:11">
      <c r="A21" s="5" t="s">
        <v>1318</v>
      </c>
      <c r="B21" s="5"/>
      <c r="C21" s="5"/>
      <c r="D21" s="5"/>
      <c r="E21" s="5"/>
      <c r="F21" s="6">
        <v>999.9899999999999</v>
      </c>
      <c r="G21" s="6">
        <v>28.5</v>
      </c>
      <c r="H21" s="6">
        <v>0</v>
      </c>
      <c r="I21" s="6">
        <v>43</v>
      </c>
      <c r="J21" s="6">
        <v>1071.4899999999998</v>
      </c>
      <c r="K21" s="6">
        <v>0</v>
      </c>
    </row>
    <row r="22" spans="1:11">
      <c r="A22" t="s">
        <v>134</v>
      </c>
      <c r="B22" s="2">
        <v>46280</v>
      </c>
      <c r="C22">
        <v>178367</v>
      </c>
      <c r="D22">
        <v>178622</v>
      </c>
      <c r="E22" s="75">
        <v>255</v>
      </c>
      <c r="F22" s="4">
        <v>313.64999999999998</v>
      </c>
      <c r="G22" s="4">
        <v>0</v>
      </c>
      <c r="H22" s="4">
        <v>0</v>
      </c>
      <c r="I22" s="4">
        <v>0</v>
      </c>
      <c r="J22" s="4">
        <v>313.64999999999998</v>
      </c>
      <c r="K22" s="4">
        <v>0</v>
      </c>
    </row>
    <row r="23" spans="1:11">
      <c r="A23" s="5" t="s">
        <v>261</v>
      </c>
      <c r="B23" s="5"/>
      <c r="C23" s="5"/>
      <c r="D23" s="5"/>
      <c r="E23" s="5"/>
      <c r="F23" s="6">
        <v>313.64999999999998</v>
      </c>
      <c r="G23" s="6">
        <v>0</v>
      </c>
      <c r="H23" s="6">
        <v>0</v>
      </c>
      <c r="I23" s="6">
        <v>0</v>
      </c>
      <c r="J23" s="6">
        <v>313.64999999999998</v>
      </c>
      <c r="K23" s="6">
        <v>0</v>
      </c>
    </row>
    <row r="24" spans="1:11">
      <c r="A24" t="s">
        <v>136</v>
      </c>
      <c r="B24" s="2">
        <v>46273</v>
      </c>
      <c r="C24">
        <v>135217</v>
      </c>
      <c r="D24">
        <v>135269</v>
      </c>
      <c r="E24" s="75">
        <v>52</v>
      </c>
      <c r="F24" s="4">
        <v>63.96</v>
      </c>
      <c r="G24" s="4">
        <v>0</v>
      </c>
      <c r="H24" s="4">
        <v>0</v>
      </c>
      <c r="I24" s="4">
        <v>0</v>
      </c>
      <c r="J24" s="4">
        <v>63.96</v>
      </c>
      <c r="K24" s="4">
        <v>0</v>
      </c>
    </row>
    <row r="25" spans="1:11">
      <c r="A25" t="s">
        <v>136</v>
      </c>
      <c r="B25" s="2">
        <v>46274</v>
      </c>
      <c r="C25">
        <v>135269</v>
      </c>
      <c r="D25">
        <v>135400</v>
      </c>
      <c r="E25" s="75">
        <v>131</v>
      </c>
      <c r="F25" s="4">
        <v>161.13</v>
      </c>
      <c r="G25" s="4">
        <v>0</v>
      </c>
      <c r="H25" s="4">
        <v>0</v>
      </c>
      <c r="I25" s="4">
        <v>0</v>
      </c>
      <c r="J25" s="4">
        <v>161.13</v>
      </c>
      <c r="K25" s="4">
        <v>0</v>
      </c>
    </row>
    <row r="26" spans="1:11">
      <c r="A26" t="s">
        <v>136</v>
      </c>
      <c r="B26" s="2">
        <v>46276</v>
      </c>
      <c r="C26">
        <v>135511</v>
      </c>
      <c r="D26">
        <v>135555</v>
      </c>
      <c r="E26" s="75">
        <v>44</v>
      </c>
      <c r="F26" s="4">
        <v>54.12</v>
      </c>
      <c r="G26" s="4">
        <v>0</v>
      </c>
      <c r="H26" s="4">
        <v>0</v>
      </c>
      <c r="I26" s="4">
        <v>0</v>
      </c>
      <c r="J26" s="4">
        <v>54.12</v>
      </c>
      <c r="K26" s="4">
        <v>0</v>
      </c>
    </row>
    <row r="27" spans="1:11">
      <c r="A27" t="s">
        <v>136</v>
      </c>
      <c r="B27" s="2">
        <v>46279</v>
      </c>
      <c r="C27">
        <v>135669</v>
      </c>
      <c r="D27">
        <v>135703</v>
      </c>
      <c r="E27" s="75">
        <v>34</v>
      </c>
      <c r="F27" s="4">
        <v>41.82</v>
      </c>
      <c r="G27" s="4">
        <v>0</v>
      </c>
      <c r="H27" s="4">
        <v>0</v>
      </c>
      <c r="I27" s="4">
        <v>0</v>
      </c>
      <c r="J27" s="4">
        <v>41.82</v>
      </c>
      <c r="K27" s="4">
        <v>0</v>
      </c>
    </row>
    <row r="28" spans="1:11">
      <c r="A28" s="5" t="s">
        <v>945</v>
      </c>
      <c r="B28" s="5"/>
      <c r="C28" s="5"/>
      <c r="D28" s="5"/>
      <c r="E28" s="5"/>
      <c r="F28" s="6">
        <v>321.02999999999997</v>
      </c>
      <c r="G28" s="6">
        <v>0</v>
      </c>
      <c r="H28" s="6">
        <v>0</v>
      </c>
      <c r="I28" s="6">
        <v>0</v>
      </c>
      <c r="J28" s="6">
        <v>321.02999999999997</v>
      </c>
      <c r="K28" s="6">
        <v>0</v>
      </c>
    </row>
    <row r="29" spans="1:11">
      <c r="A29" t="s">
        <v>250</v>
      </c>
      <c r="B29" s="2">
        <v>46266</v>
      </c>
      <c r="C29">
        <v>137979</v>
      </c>
      <c r="D29">
        <v>138138</v>
      </c>
      <c r="E29" s="75">
        <v>85</v>
      </c>
      <c r="F29" s="4">
        <v>104.55</v>
      </c>
      <c r="G29" s="4">
        <v>0</v>
      </c>
      <c r="H29" s="4">
        <v>0</v>
      </c>
      <c r="I29" s="4">
        <v>0</v>
      </c>
      <c r="J29" s="4">
        <v>104.55</v>
      </c>
      <c r="K29" s="4">
        <v>0</v>
      </c>
    </row>
    <row r="30" spans="1:11">
      <c r="A30" t="s">
        <v>250</v>
      </c>
      <c r="B30" s="2">
        <v>46267</v>
      </c>
      <c r="C30">
        <v>138138</v>
      </c>
      <c r="D30">
        <v>138256</v>
      </c>
      <c r="E30" s="75">
        <v>118</v>
      </c>
      <c r="F30" s="4">
        <v>145.13999999999999</v>
      </c>
      <c r="G30" s="4">
        <v>0</v>
      </c>
      <c r="H30" s="4">
        <v>0</v>
      </c>
      <c r="I30" s="4">
        <v>0</v>
      </c>
      <c r="J30" s="4">
        <v>145.13999999999999</v>
      </c>
      <c r="K30" s="4">
        <v>0</v>
      </c>
    </row>
    <row r="31" spans="1:11">
      <c r="A31" t="s">
        <v>250</v>
      </c>
      <c r="B31" s="2">
        <v>46274</v>
      </c>
      <c r="C31">
        <v>138585</v>
      </c>
      <c r="D31">
        <v>138807</v>
      </c>
      <c r="E31" s="75">
        <v>222</v>
      </c>
      <c r="F31" s="4">
        <v>273.06</v>
      </c>
      <c r="G31" s="4">
        <v>0</v>
      </c>
      <c r="H31" s="4">
        <v>0</v>
      </c>
      <c r="I31" s="4">
        <v>0</v>
      </c>
      <c r="J31" s="4">
        <v>273.06</v>
      </c>
      <c r="K31" s="4">
        <v>0</v>
      </c>
    </row>
    <row r="32" spans="1:11">
      <c r="A32" t="s">
        <v>250</v>
      </c>
      <c r="B32" s="2">
        <v>46275</v>
      </c>
      <c r="C32">
        <v>138807</v>
      </c>
      <c r="D32">
        <v>138941</v>
      </c>
      <c r="E32" s="75">
        <v>134</v>
      </c>
      <c r="F32" s="4">
        <v>164.82</v>
      </c>
      <c r="G32" s="4">
        <v>0</v>
      </c>
      <c r="H32" s="4">
        <v>0</v>
      </c>
      <c r="I32" s="4">
        <v>0</v>
      </c>
      <c r="J32" s="4">
        <v>164.82</v>
      </c>
      <c r="K32" s="4">
        <v>0</v>
      </c>
    </row>
    <row r="33" spans="1:11">
      <c r="A33" s="5" t="s">
        <v>2098</v>
      </c>
      <c r="B33" s="5"/>
      <c r="C33" s="5"/>
      <c r="D33" s="5"/>
      <c r="E33" s="5"/>
      <c r="F33" s="6">
        <v>687.56999999999994</v>
      </c>
      <c r="G33" s="6">
        <v>0</v>
      </c>
      <c r="H33" s="6">
        <v>0</v>
      </c>
      <c r="I33" s="6">
        <v>0</v>
      </c>
      <c r="J33" s="6">
        <v>687.56999999999994</v>
      </c>
      <c r="K33" s="6">
        <v>0</v>
      </c>
    </row>
    <row r="34" spans="1:11">
      <c r="A34" t="s">
        <v>498</v>
      </c>
      <c r="B34" s="2">
        <v>46269</v>
      </c>
      <c r="C34">
        <v>56611</v>
      </c>
      <c r="D34">
        <v>57011</v>
      </c>
      <c r="E34" s="75">
        <v>400</v>
      </c>
      <c r="F34" s="4">
        <v>492</v>
      </c>
      <c r="G34" s="4">
        <v>23.4</v>
      </c>
      <c r="H34" s="4">
        <v>0</v>
      </c>
      <c r="I34" s="4">
        <v>0</v>
      </c>
      <c r="J34" s="4">
        <v>515.4</v>
      </c>
      <c r="K34" s="4">
        <v>0</v>
      </c>
    </row>
    <row r="35" spans="1:11">
      <c r="A35" t="s">
        <v>498</v>
      </c>
      <c r="B35" s="2">
        <v>46274</v>
      </c>
      <c r="C35">
        <v>57684</v>
      </c>
      <c r="D35">
        <v>58079</v>
      </c>
      <c r="E35" s="75">
        <v>395</v>
      </c>
      <c r="F35" s="4">
        <v>485.84999999999997</v>
      </c>
      <c r="G35" s="4">
        <v>10.4</v>
      </c>
      <c r="H35" s="4">
        <v>0</v>
      </c>
      <c r="I35" s="4">
        <v>0</v>
      </c>
      <c r="J35" s="4">
        <v>496.24999999999994</v>
      </c>
      <c r="K35" s="4">
        <v>0</v>
      </c>
    </row>
    <row r="36" spans="1:11">
      <c r="A36" s="5" t="s">
        <v>1421</v>
      </c>
      <c r="B36" s="5"/>
      <c r="C36" s="5"/>
      <c r="D36" s="5"/>
      <c r="E36" s="5"/>
      <c r="F36" s="6">
        <v>977.84999999999991</v>
      </c>
      <c r="G36" s="6">
        <v>33.799999999999997</v>
      </c>
      <c r="H36" s="6">
        <v>0</v>
      </c>
      <c r="I36" s="6">
        <v>0</v>
      </c>
      <c r="J36" s="6">
        <v>1011.6499999999999</v>
      </c>
      <c r="K36" s="6">
        <v>0</v>
      </c>
    </row>
    <row r="37" spans="1:11">
      <c r="A37" t="s">
        <v>505</v>
      </c>
      <c r="B37" s="2">
        <v>46266</v>
      </c>
      <c r="C37">
        <v>110218</v>
      </c>
      <c r="D37">
        <v>110316</v>
      </c>
      <c r="E37" s="75">
        <v>98</v>
      </c>
      <c r="F37" s="4">
        <v>120.53999999999999</v>
      </c>
      <c r="G37" s="4">
        <v>0</v>
      </c>
      <c r="H37" s="4">
        <v>0</v>
      </c>
      <c r="I37" s="4">
        <v>0</v>
      </c>
      <c r="J37" s="4">
        <v>120.53999999999999</v>
      </c>
      <c r="K37" s="4">
        <v>0</v>
      </c>
    </row>
    <row r="38" spans="1:11">
      <c r="A38" t="s">
        <v>505</v>
      </c>
      <c r="B38" s="2">
        <v>46273</v>
      </c>
      <c r="C38">
        <v>110616</v>
      </c>
      <c r="D38">
        <v>110668</v>
      </c>
      <c r="E38" s="75">
        <v>52</v>
      </c>
      <c r="F38" s="4">
        <v>63.96</v>
      </c>
      <c r="G38" s="4">
        <v>0</v>
      </c>
      <c r="H38" s="4">
        <v>0</v>
      </c>
      <c r="I38" s="4">
        <v>0</v>
      </c>
      <c r="J38" s="4">
        <v>63.96</v>
      </c>
      <c r="K38" s="4">
        <v>0</v>
      </c>
    </row>
    <row r="39" spans="1:11">
      <c r="A39" t="s">
        <v>505</v>
      </c>
      <c r="B39" s="2">
        <v>46274</v>
      </c>
      <c r="C39">
        <v>110668</v>
      </c>
      <c r="D39">
        <v>110811</v>
      </c>
      <c r="E39" s="75">
        <v>143</v>
      </c>
      <c r="F39" s="4">
        <v>175.89</v>
      </c>
      <c r="G39" s="4">
        <v>11.4</v>
      </c>
      <c r="H39" s="4">
        <v>0</v>
      </c>
      <c r="I39" s="4">
        <v>0</v>
      </c>
      <c r="J39" s="4">
        <v>187.29</v>
      </c>
      <c r="K39" s="4">
        <v>0</v>
      </c>
    </row>
    <row r="40" spans="1:11">
      <c r="A40" t="s">
        <v>505</v>
      </c>
      <c r="B40" s="2">
        <v>46275</v>
      </c>
      <c r="C40">
        <v>110812</v>
      </c>
      <c r="D40">
        <v>110916</v>
      </c>
      <c r="E40" s="75">
        <v>104</v>
      </c>
      <c r="F40" s="4">
        <v>127.92</v>
      </c>
      <c r="G40" s="4">
        <v>0</v>
      </c>
      <c r="H40" s="4">
        <v>0</v>
      </c>
      <c r="I40" s="4">
        <v>0</v>
      </c>
      <c r="J40" s="4">
        <v>127.92</v>
      </c>
      <c r="K40" s="4">
        <v>0</v>
      </c>
    </row>
    <row r="41" spans="1:11">
      <c r="A41" t="s">
        <v>505</v>
      </c>
      <c r="B41" s="2">
        <v>46280</v>
      </c>
      <c r="C41">
        <v>110965</v>
      </c>
      <c r="D41">
        <v>111077</v>
      </c>
      <c r="E41" s="75">
        <v>112</v>
      </c>
      <c r="F41" s="4">
        <v>137.76</v>
      </c>
      <c r="G41" s="4">
        <v>0</v>
      </c>
      <c r="H41" s="4">
        <v>0</v>
      </c>
      <c r="I41" s="4">
        <v>0</v>
      </c>
      <c r="J41" s="4">
        <v>137.76</v>
      </c>
      <c r="K41" s="4">
        <v>0</v>
      </c>
    </row>
    <row r="42" spans="1:11">
      <c r="A42" s="5" t="s">
        <v>541</v>
      </c>
      <c r="B42" s="5"/>
      <c r="C42" s="5"/>
      <c r="D42" s="5"/>
      <c r="E42" s="5"/>
      <c r="F42" s="6">
        <v>626.06999999999994</v>
      </c>
      <c r="G42" s="6">
        <v>11.4</v>
      </c>
      <c r="H42" s="6">
        <v>0</v>
      </c>
      <c r="I42" s="6">
        <v>0</v>
      </c>
      <c r="J42" s="6">
        <v>637.46999999999991</v>
      </c>
      <c r="K42" s="6">
        <v>0</v>
      </c>
    </row>
    <row r="43" spans="1:11">
      <c r="A43" t="s">
        <v>1696</v>
      </c>
      <c r="B43" s="2">
        <v>46266</v>
      </c>
      <c r="C43">
        <v>121870</v>
      </c>
      <c r="D43">
        <v>122012</v>
      </c>
      <c r="E43" s="75">
        <v>142</v>
      </c>
      <c r="F43" s="4">
        <v>174.66</v>
      </c>
      <c r="G43" s="4">
        <v>0</v>
      </c>
      <c r="H43" s="4">
        <v>0</v>
      </c>
      <c r="I43" s="4">
        <v>0</v>
      </c>
      <c r="J43" s="4">
        <v>174.66</v>
      </c>
      <c r="K43" s="4">
        <v>0</v>
      </c>
    </row>
    <row r="44" spans="1:11">
      <c r="A44" t="s">
        <v>1696</v>
      </c>
      <c r="B44" s="2">
        <v>46267</v>
      </c>
      <c r="C44">
        <v>122044</v>
      </c>
      <c r="D44">
        <v>122139</v>
      </c>
      <c r="E44" s="75">
        <v>95</v>
      </c>
      <c r="F44" s="4">
        <v>116.85</v>
      </c>
      <c r="G44" s="4">
        <v>0</v>
      </c>
      <c r="H44" s="4">
        <v>0</v>
      </c>
      <c r="I44" s="4">
        <v>0</v>
      </c>
      <c r="J44" s="4">
        <v>116.85</v>
      </c>
      <c r="K44" s="4">
        <v>0</v>
      </c>
    </row>
    <row r="45" spans="1:11">
      <c r="A45" t="s">
        <v>1696</v>
      </c>
      <c r="B45" s="2">
        <v>46273</v>
      </c>
      <c r="C45">
        <v>122274</v>
      </c>
      <c r="D45">
        <v>122397</v>
      </c>
      <c r="E45" s="75">
        <v>123</v>
      </c>
      <c r="F45" s="4">
        <v>151.29</v>
      </c>
      <c r="G45" s="4">
        <v>0</v>
      </c>
      <c r="H45" s="4">
        <v>0</v>
      </c>
      <c r="I45" s="4">
        <v>0</v>
      </c>
      <c r="J45" s="4">
        <v>151.29</v>
      </c>
      <c r="K45" s="4">
        <v>0</v>
      </c>
    </row>
    <row r="46" spans="1:11">
      <c r="A46" t="s">
        <v>1696</v>
      </c>
      <c r="B46" s="2">
        <v>46276</v>
      </c>
      <c r="C46">
        <v>122529</v>
      </c>
      <c r="D46">
        <v>122720</v>
      </c>
      <c r="E46" s="75">
        <v>191</v>
      </c>
      <c r="F46" s="4">
        <v>234.93</v>
      </c>
      <c r="G46" s="4">
        <v>0</v>
      </c>
      <c r="H46" s="4">
        <v>0</v>
      </c>
      <c r="I46" s="4">
        <v>0</v>
      </c>
      <c r="J46" s="4">
        <v>234.93</v>
      </c>
      <c r="K46" s="4">
        <v>0</v>
      </c>
    </row>
    <row r="47" spans="1:11">
      <c r="A47" t="s">
        <v>1696</v>
      </c>
      <c r="B47" s="2">
        <v>46280</v>
      </c>
      <c r="C47">
        <v>122796</v>
      </c>
      <c r="D47">
        <v>122859</v>
      </c>
      <c r="E47" s="75">
        <v>63</v>
      </c>
      <c r="F47" s="4">
        <v>77.489999999999995</v>
      </c>
      <c r="G47" s="4">
        <v>0</v>
      </c>
      <c r="H47" s="4">
        <v>0</v>
      </c>
      <c r="I47" s="4">
        <v>0</v>
      </c>
      <c r="J47" s="4">
        <v>77.489999999999995</v>
      </c>
      <c r="K47" s="4">
        <v>0</v>
      </c>
    </row>
    <row r="48" spans="1:11">
      <c r="A48" s="5" t="s">
        <v>1771</v>
      </c>
      <c r="B48" s="5"/>
      <c r="C48" s="5"/>
      <c r="D48" s="5"/>
      <c r="E48" s="5"/>
      <c r="F48" s="6">
        <v>755.22</v>
      </c>
      <c r="G48" s="6">
        <v>0</v>
      </c>
      <c r="H48" s="6">
        <v>0</v>
      </c>
      <c r="I48" s="6">
        <v>0</v>
      </c>
      <c r="J48" s="6">
        <v>755.22</v>
      </c>
      <c r="K48" s="6">
        <v>0</v>
      </c>
    </row>
    <row r="49" spans="1:11">
      <c r="A49" t="s">
        <v>31</v>
      </c>
      <c r="F49" s="4">
        <v>5445.2100000000009</v>
      </c>
      <c r="G49" s="4">
        <v>79.400000000000006</v>
      </c>
      <c r="H49" s="4">
        <v>0</v>
      </c>
      <c r="I49" s="4">
        <v>43</v>
      </c>
      <c r="J49" s="4">
        <v>5567.6100000000006</v>
      </c>
      <c r="K49" s="4">
        <v>0</v>
      </c>
    </row>
  </sheetData>
  <conditionalFormatting sqref="C1:C1048576">
    <cfRule type="duplicateValues" dxfId="77" priority="2"/>
  </conditionalFormatting>
  <conditionalFormatting sqref="D1:D1048576">
    <cfRule type="duplicateValues" dxfId="76" priority="1"/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C620"/>
  <sheetViews>
    <sheetView showGridLines="0" topLeftCell="C582" zoomScaleNormal="100" workbookViewId="0">
      <selection activeCell="I591" sqref="I591"/>
    </sheetView>
  </sheetViews>
  <sheetFormatPr defaultColWidth="9.09765625" defaultRowHeight="13.8"/>
  <cols>
    <col min="1" max="1" width="16.3984375" style="63" bestFit="1" customWidth="1"/>
    <col min="2" max="2" width="35" style="63" customWidth="1"/>
    <col min="3" max="3" width="32.8984375" style="63" bestFit="1" customWidth="1"/>
    <col min="4" max="4" width="11.8984375" style="63" bestFit="1" customWidth="1"/>
    <col min="5" max="5" width="15.69921875" style="63" bestFit="1" customWidth="1"/>
    <col min="6" max="6" width="12.59765625" style="63" bestFit="1" customWidth="1"/>
    <col min="7" max="7" width="20.3984375" style="63" customWidth="1"/>
    <col min="8" max="8" width="9.296875" style="63" customWidth="1"/>
    <col min="9" max="9" width="21.69921875" style="63" customWidth="1"/>
    <col min="10" max="10" width="28.296875" style="63" customWidth="1"/>
    <col min="11" max="11" width="16.296875" style="63" customWidth="1"/>
    <col min="12" max="12" width="13.8984375" style="63" customWidth="1"/>
    <col min="13" max="13" width="15.3984375" style="63" customWidth="1"/>
    <col min="14" max="14" width="20.69921875" style="63" customWidth="1"/>
    <col min="15" max="15" width="18.09765625" style="63" customWidth="1"/>
    <col min="16" max="16" width="17" style="63" customWidth="1"/>
    <col min="17" max="18" width="13.3984375" style="63" customWidth="1"/>
    <col min="19" max="19" width="19.296875" style="63" customWidth="1"/>
    <col min="20" max="20" width="19.3984375" style="63" customWidth="1"/>
    <col min="21" max="21" width="13.59765625" style="63" bestFit="1" customWidth="1"/>
    <col min="22" max="22" width="15.296875" style="63" bestFit="1" customWidth="1"/>
    <col min="23" max="23" width="13.59765625" style="63" bestFit="1" customWidth="1"/>
    <col min="24" max="24" width="19.8984375" style="63" bestFit="1" customWidth="1"/>
    <col min="25" max="25" width="12.8984375" style="63" bestFit="1" customWidth="1"/>
    <col min="26" max="26" width="17" style="63" bestFit="1" customWidth="1"/>
    <col min="27" max="27" width="11.8984375" style="63" bestFit="1" customWidth="1"/>
    <col min="28" max="28" width="10.3984375" style="63" bestFit="1" customWidth="1"/>
    <col min="29" max="29" width="38" style="63" bestFit="1" customWidth="1"/>
    <col min="30" max="16384" width="9.09765625" style="63"/>
  </cols>
  <sheetData>
    <row r="1" spans="1:29" s="62" customFormat="1" ht="69">
      <c r="A1" s="42" t="s">
        <v>7</v>
      </c>
      <c r="B1" s="43" t="s">
        <v>8</v>
      </c>
      <c r="C1" s="43" t="s">
        <v>9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14</v>
      </c>
      <c r="I1" s="43" t="s">
        <v>15</v>
      </c>
      <c r="J1" s="43" t="s">
        <v>130</v>
      </c>
      <c r="K1" s="43" t="s">
        <v>16</v>
      </c>
      <c r="L1" s="66" t="s">
        <v>17</v>
      </c>
      <c r="M1" s="43" t="s">
        <v>18</v>
      </c>
      <c r="N1" s="66" t="s">
        <v>19</v>
      </c>
      <c r="O1" s="43" t="s">
        <v>4</v>
      </c>
      <c r="P1" s="67" t="s">
        <v>20</v>
      </c>
      <c r="Q1" s="78" t="s">
        <v>21</v>
      </c>
      <c r="R1" s="66" t="s">
        <v>22</v>
      </c>
      <c r="S1" s="43" t="s">
        <v>23</v>
      </c>
      <c r="T1" s="43" t="s">
        <v>129</v>
      </c>
      <c r="U1" s="44" t="s">
        <v>25</v>
      </c>
      <c r="V1" s="45" t="s">
        <v>2</v>
      </c>
      <c r="W1" s="46" t="s">
        <v>26</v>
      </c>
      <c r="X1" s="44" t="s">
        <v>27</v>
      </c>
      <c r="Y1" s="44" t="s">
        <v>28</v>
      </c>
      <c r="Z1" s="44" t="s">
        <v>29</v>
      </c>
      <c r="AA1" s="47" t="s">
        <v>57</v>
      </c>
      <c r="AB1" s="47" t="s">
        <v>56</v>
      </c>
      <c r="AC1" s="48" t="s">
        <v>71</v>
      </c>
    </row>
    <row r="2" spans="1:29">
      <c r="A2" s="59">
        <v>46034.350960648146</v>
      </c>
      <c r="B2" s="60" t="s">
        <v>190</v>
      </c>
      <c r="C2" s="60" t="s">
        <v>135</v>
      </c>
      <c r="D2" s="60" t="s">
        <v>191</v>
      </c>
      <c r="E2" s="61">
        <v>46024</v>
      </c>
      <c r="F2" s="60">
        <v>105642</v>
      </c>
      <c r="G2" s="60" t="s">
        <v>192</v>
      </c>
      <c r="H2" s="60">
        <v>105788</v>
      </c>
      <c r="I2" s="60" t="s">
        <v>193</v>
      </c>
      <c r="J2" s="60" t="s">
        <v>194</v>
      </c>
      <c r="K2" s="60"/>
      <c r="L2" s="60" t="s">
        <v>60</v>
      </c>
      <c r="M2" s="60"/>
      <c r="N2" s="60"/>
      <c r="O2" s="60"/>
      <c r="P2" s="60"/>
      <c r="Q2" s="60"/>
      <c r="R2" s="60"/>
      <c r="S2" s="60"/>
      <c r="T2" s="60"/>
      <c r="U2" s="54">
        <f>(Tabela1[[#This Row],[Informe o KM final do dia]]-Tabela1[[#This Row],[Informe o KM inicial do dia]])-Tabela1[[#This Row],[Caso tenha rodado particular alguma parte do trajeto, informe o total de KM a ser deduzido.]]</f>
        <v>146</v>
      </c>
      <c r="V2" s="55">
        <f>IF(Tabela1[[#This Row],[Informe a data]]&lt;DATE(2026,3,16), Tabela1[[#This Row],[KM Rodado]]*1.1, Tabela1[[#This Row],[KM Rodado]]*1.23)</f>
        <v>160.60000000000002</v>
      </c>
      <c r="W2" s="55">
        <f>IFERROR(SUBSTITUTE(Tabela1[[#This Row],[Pedágio]],".",",",1)*1,0)</f>
        <v>0</v>
      </c>
      <c r="X2" s="55">
        <f>IFERROR(SUBSTITUTE(Tabela1[[#This Row],[Estacionamento]],".",",",1)*1,0)</f>
        <v>0</v>
      </c>
      <c r="Y2" s="55">
        <f>IFERROR(SUBSTITUTE(Tabela1[[#This Row],[Despesas Diversas 
(Jantar em viagem, Impressões, Etc)]],".",",",1)*1,0)</f>
        <v>0</v>
      </c>
      <c r="Z2" s="55">
        <f>IFERROR(SUBSTITUTE(Tabela1[[#This Row],[Hospedagem]],".",",",1)*1,0)</f>
        <v>0</v>
      </c>
      <c r="AA2" s="56" t="str">
        <f>IF(DAY(Tabela1[[#This Row],[Informe a data]])&lt;=15,"1ª Quinzena","2ª Quinzena")</f>
        <v>1ª Quinzena</v>
      </c>
      <c r="AB2" s="56" t="str">
        <f>UPPER(TEXT(Tabela1[[#This Row],[Informe a data]],"mmmm"))</f>
        <v>JANEIRO</v>
      </c>
      <c r="AC2" s="57" t="e">
        <f ca="1">_xlfn.CONCAT(Tabela1[[#This Row],[Selecione o Usuário]]," - ",TEXT(Tabela1[[#This Row],[Informe a data]],"dd-mm-aa"))</f>
        <v>#NAME?</v>
      </c>
    </row>
    <row r="3" spans="1:29">
      <c r="A3" s="59">
        <v>46031.607870370368</v>
      </c>
      <c r="B3" s="60" t="s">
        <v>137</v>
      </c>
      <c r="C3" s="60" t="s">
        <v>139</v>
      </c>
      <c r="D3" s="60" t="s">
        <v>138</v>
      </c>
      <c r="E3" s="61">
        <v>46024</v>
      </c>
      <c r="F3" s="60">
        <v>212986</v>
      </c>
      <c r="G3" s="60" t="s">
        <v>161</v>
      </c>
      <c r="H3" s="60">
        <v>213022</v>
      </c>
      <c r="I3" s="60" t="s">
        <v>162</v>
      </c>
      <c r="J3" s="60" t="s">
        <v>163</v>
      </c>
      <c r="K3" s="60"/>
      <c r="L3" s="60" t="s">
        <v>60</v>
      </c>
      <c r="M3" s="60"/>
      <c r="N3" s="60"/>
      <c r="O3" s="60"/>
      <c r="P3" s="60"/>
      <c r="Q3" s="60"/>
      <c r="R3" s="60"/>
      <c r="S3" s="60"/>
      <c r="T3" s="60"/>
      <c r="U3" s="54">
        <f>(Tabela1[[#This Row],[Informe o KM final do dia]]-Tabela1[[#This Row],[Informe o KM inicial do dia]])-Tabela1[[#This Row],[Caso tenha rodado particular alguma parte do trajeto, informe o total de KM a ser deduzido.]]</f>
        <v>36</v>
      </c>
      <c r="V3" s="55">
        <f>IF(Tabela1[[#This Row],[Informe a data]]&lt;DATE(2026,3,16), Tabela1[[#This Row],[KM Rodado]]*1.1, Tabela1[[#This Row],[KM Rodado]]*1.23)</f>
        <v>39.6</v>
      </c>
      <c r="W3" s="55">
        <f>IFERROR(SUBSTITUTE(Tabela1[[#This Row],[Pedágio]],".",",",1)*1,0)</f>
        <v>0</v>
      </c>
      <c r="X3" s="55">
        <f>IFERROR(SUBSTITUTE(Tabela1[[#This Row],[Estacionamento]],".",",",1)*1,0)</f>
        <v>0</v>
      </c>
      <c r="Y3" s="55">
        <f>IFERROR(SUBSTITUTE(Tabela1[[#This Row],[Despesas Diversas 
(Jantar em viagem, Impressões, Etc)]],".",",",1)*1,0)</f>
        <v>0</v>
      </c>
      <c r="Z3" s="55">
        <f>IFERROR(SUBSTITUTE(Tabela1[[#This Row],[Hospedagem]],".",",",1)*1,0)</f>
        <v>0</v>
      </c>
      <c r="AA3" s="56" t="str">
        <f>IF(DAY(Tabela1[[#This Row],[Informe a data]])&lt;=15,"1ª Quinzena","2ª Quinzena")</f>
        <v>1ª Quinzena</v>
      </c>
      <c r="AB3" s="56" t="str">
        <f>UPPER(TEXT(Tabela1[[#This Row],[Informe a data]],"mmmm"))</f>
        <v>JANEIRO</v>
      </c>
      <c r="AC3" s="57" t="e">
        <f ca="1">_xlfn.CONCAT(Tabela1[[#This Row],[Selecione o Usuário]]," - ",TEXT(Tabela1[[#This Row],[Informe a data]],"dd-mm-aa"))</f>
        <v>#NAME?</v>
      </c>
    </row>
    <row r="4" spans="1:29" ht="41.4">
      <c r="A4" s="49">
        <v>46027.959918981483</v>
      </c>
      <c r="B4" s="50" t="s">
        <v>140</v>
      </c>
      <c r="C4" s="50" t="s">
        <v>141</v>
      </c>
      <c r="D4" s="50" t="s">
        <v>142</v>
      </c>
      <c r="E4" s="51">
        <v>46027</v>
      </c>
      <c r="F4" s="52">
        <v>172770</v>
      </c>
      <c r="G4" s="58" t="s">
        <v>147</v>
      </c>
      <c r="H4" s="52">
        <v>172848</v>
      </c>
      <c r="I4" s="58" t="s">
        <v>148</v>
      </c>
      <c r="J4" s="79" t="s">
        <v>149</v>
      </c>
      <c r="K4" s="50"/>
      <c r="L4" s="53" t="s">
        <v>60</v>
      </c>
      <c r="M4" s="53"/>
      <c r="N4" s="53"/>
      <c r="O4" s="53"/>
      <c r="P4" s="53"/>
      <c r="Q4" s="53"/>
      <c r="R4" s="53"/>
      <c r="S4" s="53"/>
      <c r="T4" s="53"/>
      <c r="U4" s="54">
        <f>(Tabela1[[#This Row],[Informe o KM final do dia]]-Tabela1[[#This Row],[Informe o KM inicial do dia]])-Tabela1[[#This Row],[Caso tenha rodado particular alguma parte do trajeto, informe o total de KM a ser deduzido.]]</f>
        <v>78</v>
      </c>
      <c r="V4" s="55">
        <f>IF(Tabela1[[#This Row],[Informe a data]]&lt;DATE(2026,3,16), Tabela1[[#This Row],[KM Rodado]]*1.1, Tabela1[[#This Row],[KM Rodado]]*1.23)</f>
        <v>85.800000000000011</v>
      </c>
      <c r="W4" s="55">
        <f>IFERROR(SUBSTITUTE(Tabela1[[#This Row],[Pedágio]],".",",",1)*1,0)</f>
        <v>0</v>
      </c>
      <c r="X4" s="55">
        <f>IFERROR(SUBSTITUTE(Tabela1[[#This Row],[Estacionamento]],".",",",1)*1,0)</f>
        <v>0</v>
      </c>
      <c r="Y4" s="55">
        <f>IFERROR(SUBSTITUTE(Tabela1[[#This Row],[Despesas Diversas 
(Jantar em viagem, Impressões, Etc)]],".",",",1)*1,0)</f>
        <v>0</v>
      </c>
      <c r="Z4" s="55">
        <f>IFERROR(SUBSTITUTE(Tabela1[[#This Row],[Hospedagem]],".",",",1)*1,0)</f>
        <v>0</v>
      </c>
      <c r="AA4" s="56" t="str">
        <f>IF(DAY(Tabela1[[#This Row],[Informe a data]])&lt;=15,"1ª Quinzena","2ª Quinzena")</f>
        <v>1ª Quinzena</v>
      </c>
      <c r="AB4" s="56" t="str">
        <f>UPPER(TEXT(Tabela1[[#This Row],[Informe a data]],"mmmm"))</f>
        <v>JANEIRO</v>
      </c>
      <c r="AC4" s="57" t="e">
        <f ca="1">_xlfn.CONCAT(Tabela1[[#This Row],[Selecione o Usuário]]," - ",TEXT(Tabela1[[#This Row],[Informe a data]],"dd-mm-aa"))</f>
        <v>#NAME?</v>
      </c>
    </row>
    <row r="5" spans="1:29">
      <c r="A5" s="59">
        <v>46028.78197916667</v>
      </c>
      <c r="B5" s="60" t="s">
        <v>131</v>
      </c>
      <c r="C5" s="60" t="s">
        <v>132</v>
      </c>
      <c r="D5" s="60" t="s">
        <v>133</v>
      </c>
      <c r="E5" s="61">
        <v>46028</v>
      </c>
      <c r="F5" s="60">
        <v>185450</v>
      </c>
      <c r="G5" s="60" t="s">
        <v>150</v>
      </c>
      <c r="H5" s="60">
        <v>185504</v>
      </c>
      <c r="I5" s="60" t="s">
        <v>151</v>
      </c>
      <c r="J5" s="60" t="s">
        <v>152</v>
      </c>
      <c r="K5" s="60"/>
      <c r="L5" s="60" t="s">
        <v>60</v>
      </c>
      <c r="M5" s="60"/>
      <c r="N5" s="60"/>
      <c r="O5" s="60"/>
      <c r="P5" s="60"/>
      <c r="Q5" s="60"/>
      <c r="R5" s="60"/>
      <c r="S5" s="60"/>
      <c r="T5" s="60"/>
      <c r="U5" s="54">
        <f>(Tabela1[[#This Row],[Informe o KM final do dia]]-Tabela1[[#This Row],[Informe o KM inicial do dia]])-Tabela1[[#This Row],[Caso tenha rodado particular alguma parte do trajeto, informe o total de KM a ser deduzido.]]</f>
        <v>54</v>
      </c>
      <c r="V5" s="55">
        <f>IF(Tabela1[[#This Row],[Informe a data]]&lt;DATE(2026,3,16), Tabela1[[#This Row],[KM Rodado]]*1.1, Tabela1[[#This Row],[KM Rodado]]*1.23)</f>
        <v>59.400000000000006</v>
      </c>
      <c r="W5" s="55">
        <f>IFERROR(SUBSTITUTE(Tabela1[[#This Row],[Pedágio]],".",",",1)*1,0)</f>
        <v>0</v>
      </c>
      <c r="X5" s="55">
        <f>IFERROR(SUBSTITUTE(Tabela1[[#This Row],[Estacionamento]],".",",",1)*1,0)</f>
        <v>0</v>
      </c>
      <c r="Y5" s="55">
        <f>IFERROR(SUBSTITUTE(Tabela1[[#This Row],[Despesas Diversas 
(Jantar em viagem, Impressões, Etc)]],".",",",1)*1,0)</f>
        <v>0</v>
      </c>
      <c r="Z5" s="55">
        <f>IFERROR(SUBSTITUTE(Tabela1[[#This Row],[Hospedagem]],".",",",1)*1,0)</f>
        <v>0</v>
      </c>
      <c r="AA5" s="56" t="str">
        <f>IF(DAY(Tabela1[[#This Row],[Informe a data]])&lt;=15,"1ª Quinzena","2ª Quinzena")</f>
        <v>1ª Quinzena</v>
      </c>
      <c r="AB5" s="56" t="str">
        <f>UPPER(TEXT(Tabela1[[#This Row],[Informe a data]],"mmmm"))</f>
        <v>JANEIRO</v>
      </c>
      <c r="AC5" s="57" t="e">
        <f ca="1">_xlfn.CONCAT(Tabela1[[#This Row],[Selecione o Usuário]]," - ",TEXT(Tabela1[[#This Row],[Informe a data]],"dd-mm-aa"))</f>
        <v>#NAME?</v>
      </c>
    </row>
    <row r="6" spans="1:29">
      <c r="A6" s="59">
        <v>46031.976770833331</v>
      </c>
      <c r="B6" s="60" t="s">
        <v>176</v>
      </c>
      <c r="C6" s="60" t="s">
        <v>136</v>
      </c>
      <c r="D6" s="60" t="s">
        <v>177</v>
      </c>
      <c r="E6" s="61">
        <v>46028</v>
      </c>
      <c r="F6" s="60">
        <v>167575</v>
      </c>
      <c r="G6" s="60" t="s">
        <v>178</v>
      </c>
      <c r="H6" s="60">
        <v>167625</v>
      </c>
      <c r="I6" s="60" t="s">
        <v>179</v>
      </c>
      <c r="J6" s="60" t="s">
        <v>180</v>
      </c>
      <c r="K6" s="60"/>
      <c r="L6" s="60" t="s">
        <v>60</v>
      </c>
      <c r="M6" s="60"/>
      <c r="N6" s="60"/>
      <c r="O6" s="60"/>
      <c r="P6" s="60"/>
      <c r="Q6" s="60"/>
      <c r="R6" s="60"/>
      <c r="S6" s="60"/>
      <c r="T6" s="60"/>
      <c r="U6" s="54">
        <f>(Tabela1[[#This Row],[Informe o KM final do dia]]-Tabela1[[#This Row],[Informe o KM inicial do dia]])-Tabela1[[#This Row],[Caso tenha rodado particular alguma parte do trajeto, informe o total de KM a ser deduzido.]]</f>
        <v>50</v>
      </c>
      <c r="V6" s="55">
        <f>IF(Tabela1[[#This Row],[Informe a data]]&lt;DATE(2026,3,16), Tabela1[[#This Row],[KM Rodado]]*1.1, Tabela1[[#This Row],[KM Rodado]]*1.23)</f>
        <v>55.000000000000007</v>
      </c>
      <c r="W6" s="55">
        <f>IFERROR(SUBSTITUTE(Tabela1[[#This Row],[Pedágio]],".",",",1)*1,0)</f>
        <v>0</v>
      </c>
      <c r="X6" s="55">
        <f>IFERROR(SUBSTITUTE(Tabela1[[#This Row],[Estacionamento]],".",",",1)*1,0)</f>
        <v>0</v>
      </c>
      <c r="Y6" s="55">
        <f>IFERROR(SUBSTITUTE(Tabela1[[#This Row],[Despesas Diversas 
(Jantar em viagem, Impressões, Etc)]],".",",",1)*1,0)</f>
        <v>0</v>
      </c>
      <c r="Z6" s="55">
        <f>IFERROR(SUBSTITUTE(Tabela1[[#This Row],[Hospedagem]],".",",",1)*1,0)</f>
        <v>0</v>
      </c>
      <c r="AA6" s="56" t="str">
        <f>IF(DAY(Tabela1[[#This Row],[Informe a data]])&lt;=15,"1ª Quinzena","2ª Quinzena")</f>
        <v>1ª Quinzena</v>
      </c>
      <c r="AB6" s="56" t="str">
        <f>UPPER(TEXT(Tabela1[[#This Row],[Informe a data]],"mmmm"))</f>
        <v>JANEIRO</v>
      </c>
      <c r="AC6" s="57" t="e">
        <f ca="1">_xlfn.CONCAT(Tabela1[[#This Row],[Selecione o Usuário]]," - ",TEXT(Tabela1[[#This Row],[Informe a data]],"dd-mm-aa"))</f>
        <v>#NAME?</v>
      </c>
    </row>
    <row r="7" spans="1:29">
      <c r="A7" s="59">
        <v>46034.353796296295</v>
      </c>
      <c r="B7" s="60" t="s">
        <v>190</v>
      </c>
      <c r="C7" s="60" t="s">
        <v>135</v>
      </c>
      <c r="D7" s="60" t="s">
        <v>191</v>
      </c>
      <c r="E7" s="61">
        <v>46028</v>
      </c>
      <c r="F7" s="60">
        <v>105821</v>
      </c>
      <c r="G7" s="60" t="s">
        <v>195</v>
      </c>
      <c r="H7" s="60">
        <v>105831</v>
      </c>
      <c r="I7" s="60" t="s">
        <v>196</v>
      </c>
      <c r="J7" s="60" t="s">
        <v>197</v>
      </c>
      <c r="K7" s="60"/>
      <c r="L7" s="60" t="s">
        <v>60</v>
      </c>
      <c r="M7" s="60"/>
      <c r="N7" s="60"/>
      <c r="O7" s="60"/>
      <c r="P7" s="60"/>
      <c r="Q7" s="60"/>
      <c r="R7" s="60"/>
      <c r="S7" s="60"/>
      <c r="T7" s="60"/>
      <c r="U7" s="54">
        <f>(Tabela1[[#This Row],[Informe o KM final do dia]]-Tabela1[[#This Row],[Informe o KM inicial do dia]])-Tabela1[[#This Row],[Caso tenha rodado particular alguma parte do trajeto, informe o total de KM a ser deduzido.]]</f>
        <v>10</v>
      </c>
      <c r="V7" s="55">
        <f>IF(Tabela1[[#This Row],[Informe a data]]&lt;DATE(2026,3,16), Tabela1[[#This Row],[KM Rodado]]*1.1, Tabela1[[#This Row],[KM Rodado]]*1.23)</f>
        <v>11</v>
      </c>
      <c r="W7" s="55">
        <f>IFERROR(SUBSTITUTE(Tabela1[[#This Row],[Pedágio]],".",",",1)*1,0)</f>
        <v>0</v>
      </c>
      <c r="X7" s="55">
        <f>IFERROR(SUBSTITUTE(Tabela1[[#This Row],[Estacionamento]],".",",",1)*1,0)</f>
        <v>0</v>
      </c>
      <c r="Y7" s="55">
        <f>IFERROR(SUBSTITUTE(Tabela1[[#This Row],[Despesas Diversas 
(Jantar em viagem, Impressões, Etc)]],".",",",1)*1,0)</f>
        <v>0</v>
      </c>
      <c r="Z7" s="55">
        <f>IFERROR(SUBSTITUTE(Tabela1[[#This Row],[Hospedagem]],".",",",1)*1,0)</f>
        <v>0</v>
      </c>
      <c r="AA7" s="56" t="str">
        <f>IF(DAY(Tabela1[[#This Row],[Informe a data]])&lt;=15,"1ª Quinzena","2ª Quinzena")</f>
        <v>1ª Quinzena</v>
      </c>
      <c r="AB7" s="56" t="str">
        <f>UPPER(TEXT(Tabela1[[#This Row],[Informe a data]],"mmmm"))</f>
        <v>JANEIRO</v>
      </c>
      <c r="AC7" s="57" t="e">
        <f ca="1">_xlfn.CONCAT(Tabela1[[#This Row],[Selecione o Usuário]]," - ",TEXT(Tabela1[[#This Row],[Informe a data]],"dd-mm-aa"))</f>
        <v>#NAME?</v>
      </c>
    </row>
    <row r="8" spans="1:29">
      <c r="A8" s="59">
        <v>46031.609675925924</v>
      </c>
      <c r="B8" s="60" t="s">
        <v>137</v>
      </c>
      <c r="C8" s="60" t="s">
        <v>139</v>
      </c>
      <c r="D8" s="60" t="s">
        <v>138</v>
      </c>
      <c r="E8" s="61">
        <v>46028</v>
      </c>
      <c r="F8" s="60">
        <v>213548</v>
      </c>
      <c r="G8" s="60" t="s">
        <v>164</v>
      </c>
      <c r="H8" s="60">
        <v>213630</v>
      </c>
      <c r="I8" s="60" t="s">
        <v>165</v>
      </c>
      <c r="J8" s="60" t="s">
        <v>166</v>
      </c>
      <c r="K8" s="60"/>
      <c r="L8" s="60" t="s">
        <v>60</v>
      </c>
      <c r="M8" s="60"/>
      <c r="N8" s="60"/>
      <c r="O8" s="60"/>
      <c r="P8" s="60"/>
      <c r="Q8" s="60"/>
      <c r="R8" s="60"/>
      <c r="S8" s="60"/>
      <c r="T8" s="60"/>
      <c r="U8" s="54">
        <f>(Tabela1[[#This Row],[Informe o KM final do dia]]-Tabela1[[#This Row],[Informe o KM inicial do dia]])-Tabela1[[#This Row],[Caso tenha rodado particular alguma parte do trajeto, informe o total de KM a ser deduzido.]]</f>
        <v>82</v>
      </c>
      <c r="V8" s="55">
        <f>IF(Tabela1[[#This Row],[Informe a data]]&lt;DATE(2026,3,16), Tabela1[[#This Row],[KM Rodado]]*1.1, Tabela1[[#This Row],[KM Rodado]]*1.23)</f>
        <v>90.2</v>
      </c>
      <c r="W8" s="55">
        <f>IFERROR(SUBSTITUTE(Tabela1[[#This Row],[Pedágio]],".",",",1)*1,0)</f>
        <v>0</v>
      </c>
      <c r="X8" s="55">
        <f>IFERROR(SUBSTITUTE(Tabela1[[#This Row],[Estacionamento]],".",",",1)*1,0)</f>
        <v>0</v>
      </c>
      <c r="Y8" s="55">
        <f>IFERROR(SUBSTITUTE(Tabela1[[#This Row],[Despesas Diversas 
(Jantar em viagem, Impressões, Etc)]],".",",",1)*1,0)</f>
        <v>0</v>
      </c>
      <c r="Z8" s="55">
        <f>IFERROR(SUBSTITUTE(Tabela1[[#This Row],[Hospedagem]],".",",",1)*1,0)</f>
        <v>0</v>
      </c>
      <c r="AA8" s="56" t="str">
        <f>IF(DAY(Tabela1[[#This Row],[Informe a data]])&lt;=15,"1ª Quinzena","2ª Quinzena")</f>
        <v>1ª Quinzena</v>
      </c>
      <c r="AB8" s="56" t="str">
        <f>UPPER(TEXT(Tabela1[[#This Row],[Informe a data]],"mmmm"))</f>
        <v>JANEIRO</v>
      </c>
      <c r="AC8" s="57" t="e">
        <f ca="1">_xlfn.CONCAT(Tabela1[[#This Row],[Selecione o Usuário]]," - ",TEXT(Tabela1[[#This Row],[Informe a data]],"dd-mm-aa"))</f>
        <v>#NAME?</v>
      </c>
    </row>
    <row r="9" spans="1:29">
      <c r="A9" s="59">
        <v>46029.81695601852</v>
      </c>
      <c r="B9" s="60" t="s">
        <v>131</v>
      </c>
      <c r="C9" s="60" t="s">
        <v>132</v>
      </c>
      <c r="D9" s="60" t="s">
        <v>133</v>
      </c>
      <c r="E9" s="61">
        <v>46029</v>
      </c>
      <c r="F9" s="60">
        <v>185504</v>
      </c>
      <c r="G9" s="60" t="s">
        <v>153</v>
      </c>
      <c r="H9" s="60">
        <v>185564</v>
      </c>
      <c r="I9" s="60" t="s">
        <v>154</v>
      </c>
      <c r="J9" s="60" t="s">
        <v>155</v>
      </c>
      <c r="K9" s="60"/>
      <c r="L9" s="60" t="s">
        <v>61</v>
      </c>
      <c r="M9" s="60"/>
      <c r="N9" s="60"/>
      <c r="O9" s="60" t="s">
        <v>69</v>
      </c>
      <c r="P9" s="60" t="s">
        <v>156</v>
      </c>
      <c r="Q9" s="60"/>
      <c r="R9" s="60"/>
      <c r="S9" s="60"/>
      <c r="T9" s="60"/>
      <c r="U9" s="54">
        <f>(Tabela1[[#This Row],[Informe o KM final do dia]]-Tabela1[[#This Row],[Informe o KM inicial do dia]])-Tabela1[[#This Row],[Caso tenha rodado particular alguma parte do trajeto, informe o total de KM a ser deduzido.]]</f>
        <v>60</v>
      </c>
      <c r="V9" s="55">
        <f>IF(Tabela1[[#This Row],[Informe a data]]&lt;DATE(2026,3,16), Tabela1[[#This Row],[KM Rodado]]*1.1, Tabela1[[#This Row],[KM Rodado]]*1.23)</f>
        <v>66</v>
      </c>
      <c r="W9" s="55">
        <f>IFERROR(SUBSTITUTE(Tabela1[[#This Row],[Pedágio]],".",",",1)*1,0)</f>
        <v>0</v>
      </c>
      <c r="X9" s="55">
        <f>IFERROR(SUBSTITUTE(Tabela1[[#This Row],[Estacionamento]],".",",",1)*1,0)</f>
        <v>18</v>
      </c>
      <c r="Y9" s="55">
        <f>IFERROR(SUBSTITUTE(Tabela1[[#This Row],[Despesas Diversas 
(Jantar em viagem, Impressões, Etc)]],".",",",1)*1,0)</f>
        <v>0</v>
      </c>
      <c r="Z9" s="55">
        <f>IFERROR(SUBSTITUTE(Tabela1[[#This Row],[Hospedagem]],".",",",1)*1,0)</f>
        <v>0</v>
      </c>
      <c r="AA9" s="56" t="str">
        <f>IF(DAY(Tabela1[[#This Row],[Informe a data]])&lt;=15,"1ª Quinzena","2ª Quinzena")</f>
        <v>1ª Quinzena</v>
      </c>
      <c r="AB9" s="56" t="str">
        <f>UPPER(TEXT(Tabela1[[#This Row],[Informe a data]],"mmmm"))</f>
        <v>JANEIRO</v>
      </c>
      <c r="AC9" s="57" t="e">
        <f ca="1">_xlfn.CONCAT(Tabela1[[#This Row],[Selecione o Usuário]]," - ",TEXT(Tabela1[[#This Row],[Informe a data]],"dd-mm-aa"))</f>
        <v>#NAME?</v>
      </c>
    </row>
    <row r="10" spans="1:29">
      <c r="A10" s="59">
        <v>46031.980428240742</v>
      </c>
      <c r="B10" s="60" t="s">
        <v>176</v>
      </c>
      <c r="C10" s="60" t="s">
        <v>136</v>
      </c>
      <c r="D10" s="60" t="s">
        <v>177</v>
      </c>
      <c r="E10" s="61">
        <v>46029</v>
      </c>
      <c r="F10" s="60">
        <v>167625</v>
      </c>
      <c r="G10" s="60" t="s">
        <v>181</v>
      </c>
      <c r="H10" s="60">
        <v>167732</v>
      </c>
      <c r="I10" s="60" t="s">
        <v>182</v>
      </c>
      <c r="J10" s="60" t="s">
        <v>183</v>
      </c>
      <c r="K10" s="60"/>
      <c r="L10" s="60" t="s">
        <v>60</v>
      </c>
      <c r="M10" s="60"/>
      <c r="N10" s="60"/>
      <c r="O10" s="60"/>
      <c r="P10" s="60"/>
      <c r="Q10" s="60"/>
      <c r="R10" s="60"/>
      <c r="S10" s="60"/>
      <c r="T10" s="60"/>
      <c r="U10" s="54">
        <f>(Tabela1[[#This Row],[Informe o KM final do dia]]-Tabela1[[#This Row],[Informe o KM inicial do dia]])-Tabela1[[#This Row],[Caso tenha rodado particular alguma parte do trajeto, informe o total de KM a ser deduzido.]]</f>
        <v>107</v>
      </c>
      <c r="V10" s="55">
        <f>IF(Tabela1[[#This Row],[Informe a data]]&lt;DATE(2026,3,16), Tabela1[[#This Row],[KM Rodado]]*1.1, Tabela1[[#This Row],[KM Rodado]]*1.23)</f>
        <v>117.7</v>
      </c>
      <c r="W10" s="55">
        <f>IFERROR(SUBSTITUTE(Tabela1[[#This Row],[Pedágio]],".",",",1)*1,0)</f>
        <v>0</v>
      </c>
      <c r="X10" s="55">
        <f>IFERROR(SUBSTITUTE(Tabela1[[#This Row],[Estacionamento]],".",",",1)*1,0)</f>
        <v>0</v>
      </c>
      <c r="Y10" s="55">
        <f>IFERROR(SUBSTITUTE(Tabela1[[#This Row],[Despesas Diversas 
(Jantar em viagem, Impressões, Etc)]],".",",",1)*1,0)</f>
        <v>0</v>
      </c>
      <c r="Z10" s="55">
        <f>IFERROR(SUBSTITUTE(Tabela1[[#This Row],[Hospedagem]],".",",",1)*1,0)</f>
        <v>0</v>
      </c>
      <c r="AA10" s="56" t="str">
        <f>IF(DAY(Tabela1[[#This Row],[Informe a data]])&lt;=15,"1ª Quinzena","2ª Quinzena")</f>
        <v>1ª Quinzena</v>
      </c>
      <c r="AB10" s="56" t="str">
        <f>UPPER(TEXT(Tabela1[[#This Row],[Informe a data]],"mmmm"))</f>
        <v>JANEIRO</v>
      </c>
      <c r="AC10" s="57" t="e">
        <f ca="1">_xlfn.CONCAT(Tabela1[[#This Row],[Selecione o Usuário]]," - ",TEXT(Tabela1[[#This Row],[Informe a data]],"dd-mm-aa"))</f>
        <v>#NAME?</v>
      </c>
    </row>
    <row r="11" spans="1:29">
      <c r="A11" s="59">
        <v>46034.356400462966</v>
      </c>
      <c r="B11" s="60" t="s">
        <v>190</v>
      </c>
      <c r="C11" s="60" t="s">
        <v>135</v>
      </c>
      <c r="D11" s="60" t="s">
        <v>198</v>
      </c>
      <c r="E11" s="61">
        <v>46029</v>
      </c>
      <c r="F11" s="60">
        <v>105842</v>
      </c>
      <c r="G11" s="60" t="s">
        <v>199</v>
      </c>
      <c r="H11" s="60">
        <v>105850</v>
      </c>
      <c r="I11" s="60" t="s">
        <v>200</v>
      </c>
      <c r="J11" s="60" t="s">
        <v>201</v>
      </c>
      <c r="K11" s="60"/>
      <c r="L11" s="60" t="s">
        <v>60</v>
      </c>
      <c r="M11" s="60"/>
      <c r="N11" s="60"/>
      <c r="O11" s="60"/>
      <c r="P11" s="60"/>
      <c r="Q11" s="60"/>
      <c r="R11" s="60"/>
      <c r="S11" s="60"/>
      <c r="T11" s="60"/>
      <c r="U11" s="54">
        <f>(Tabela1[[#This Row],[Informe o KM final do dia]]-Tabela1[[#This Row],[Informe o KM inicial do dia]])-Tabela1[[#This Row],[Caso tenha rodado particular alguma parte do trajeto, informe o total de KM a ser deduzido.]]</f>
        <v>8</v>
      </c>
      <c r="V11" s="55">
        <f>IF(Tabela1[[#This Row],[Informe a data]]&lt;DATE(2026,3,16), Tabela1[[#This Row],[KM Rodado]]*1.1, Tabela1[[#This Row],[KM Rodado]]*1.23)</f>
        <v>8.8000000000000007</v>
      </c>
      <c r="W11" s="55">
        <f>IFERROR(SUBSTITUTE(Tabela1[[#This Row],[Pedágio]],".",",",1)*1,0)</f>
        <v>0</v>
      </c>
      <c r="X11" s="55">
        <f>IFERROR(SUBSTITUTE(Tabela1[[#This Row],[Estacionamento]],".",",",1)*1,0)</f>
        <v>0</v>
      </c>
      <c r="Y11" s="55">
        <f>IFERROR(SUBSTITUTE(Tabela1[[#This Row],[Despesas Diversas 
(Jantar em viagem, Impressões, Etc)]],".",",",1)*1,0)</f>
        <v>0</v>
      </c>
      <c r="Z11" s="55">
        <f>IFERROR(SUBSTITUTE(Tabela1[[#This Row],[Hospedagem]],".",",",1)*1,0)</f>
        <v>0</v>
      </c>
      <c r="AA11" s="56" t="str">
        <f>IF(DAY(Tabela1[[#This Row],[Informe a data]])&lt;=15,"1ª Quinzena","2ª Quinzena")</f>
        <v>1ª Quinzena</v>
      </c>
      <c r="AB11" s="56" t="str">
        <f>UPPER(TEXT(Tabela1[[#This Row],[Informe a data]],"mmmm"))</f>
        <v>JANEIRO</v>
      </c>
      <c r="AC11" s="57" t="e">
        <f ca="1">_xlfn.CONCAT(Tabela1[[#This Row],[Selecione o Usuário]]," - ",TEXT(Tabela1[[#This Row],[Informe a data]],"dd-mm-aa"))</f>
        <v>#NAME?</v>
      </c>
    </row>
    <row r="12" spans="1:29">
      <c r="A12" s="59">
        <v>46031.480266203704</v>
      </c>
      <c r="B12" s="60" t="s">
        <v>131</v>
      </c>
      <c r="C12" s="60" t="s">
        <v>132</v>
      </c>
      <c r="D12" s="60" t="s">
        <v>133</v>
      </c>
      <c r="E12" s="61">
        <v>46030</v>
      </c>
      <c r="F12" s="60">
        <v>151395</v>
      </c>
      <c r="G12" s="60" t="s">
        <v>157</v>
      </c>
      <c r="H12" s="60">
        <v>151755</v>
      </c>
      <c r="I12" s="60" t="s">
        <v>158</v>
      </c>
      <c r="J12" s="60" t="s">
        <v>159</v>
      </c>
      <c r="K12" s="60"/>
      <c r="L12" s="60" t="s">
        <v>61</v>
      </c>
      <c r="M12" s="60" t="s">
        <v>128</v>
      </c>
      <c r="N12" s="60" t="s">
        <v>160</v>
      </c>
      <c r="O12" s="60"/>
      <c r="P12" s="60"/>
      <c r="Q12" s="60"/>
      <c r="R12" s="60"/>
      <c r="S12" s="60"/>
      <c r="T12" s="60"/>
      <c r="U12" s="54">
        <f>(Tabela1[[#This Row],[Informe o KM final do dia]]-Tabela1[[#This Row],[Informe o KM inicial do dia]])-Tabela1[[#This Row],[Caso tenha rodado particular alguma parte do trajeto, informe o total de KM a ser deduzido.]]</f>
        <v>360</v>
      </c>
      <c r="V12" s="55">
        <f>IF(Tabela1[[#This Row],[Informe a data]]&lt;DATE(2026,3,16), Tabela1[[#This Row],[KM Rodado]]*1.1, Tabela1[[#This Row],[KM Rodado]]*1.23)</f>
        <v>396.00000000000006</v>
      </c>
      <c r="W12" s="55">
        <f>IFERROR(SUBSTITUTE(Tabela1[[#This Row],[Pedágio]],".",",",1)*1,0)</f>
        <v>11.4</v>
      </c>
      <c r="X12" s="55">
        <f>IFERROR(SUBSTITUTE(Tabela1[[#This Row],[Estacionamento]],".",",",1)*1,0)</f>
        <v>0</v>
      </c>
      <c r="Y12" s="55">
        <f>IFERROR(SUBSTITUTE(Tabela1[[#This Row],[Despesas Diversas 
(Jantar em viagem, Impressões, Etc)]],".",",",1)*1,0)</f>
        <v>0</v>
      </c>
      <c r="Z12" s="55">
        <f>IFERROR(SUBSTITUTE(Tabela1[[#This Row],[Hospedagem]],".",",",1)*1,0)</f>
        <v>0</v>
      </c>
      <c r="AA12" s="56" t="str">
        <f>IF(DAY(Tabela1[[#This Row],[Informe a data]])&lt;=15,"1ª Quinzena","2ª Quinzena")</f>
        <v>1ª Quinzena</v>
      </c>
      <c r="AB12" s="56" t="str">
        <f>UPPER(TEXT(Tabela1[[#This Row],[Informe a data]],"mmmm"))</f>
        <v>JANEIRO</v>
      </c>
      <c r="AC12" s="57" t="e">
        <f ca="1">_xlfn.CONCAT(Tabela1[[#This Row],[Selecione o Usuário]]," - ",TEXT(Tabela1[[#This Row],[Informe a data]],"dd-mm-aa"))</f>
        <v>#NAME?</v>
      </c>
    </row>
    <row r="13" spans="1:29">
      <c r="A13" s="59">
        <v>46034.360937500001</v>
      </c>
      <c r="B13" s="60" t="s">
        <v>190</v>
      </c>
      <c r="C13" s="60" t="s">
        <v>135</v>
      </c>
      <c r="D13" s="60" t="s">
        <v>198</v>
      </c>
      <c r="E13" s="61">
        <v>46030</v>
      </c>
      <c r="F13" s="60">
        <v>105891</v>
      </c>
      <c r="G13" s="60" t="s">
        <v>202</v>
      </c>
      <c r="H13" s="60">
        <v>105938</v>
      </c>
      <c r="I13" s="60" t="s">
        <v>203</v>
      </c>
      <c r="J13" s="60" t="s">
        <v>204</v>
      </c>
      <c r="K13" s="60"/>
      <c r="L13" s="60" t="s">
        <v>60</v>
      </c>
      <c r="M13" s="60"/>
      <c r="N13" s="60"/>
      <c r="O13" s="60"/>
      <c r="P13" s="60"/>
      <c r="Q13" s="60"/>
      <c r="R13" s="60"/>
      <c r="S13" s="60"/>
      <c r="T13" s="60"/>
      <c r="U13" s="54">
        <f>(Tabela1[[#This Row],[Informe o KM final do dia]]-Tabela1[[#This Row],[Informe o KM inicial do dia]])-Tabela1[[#This Row],[Caso tenha rodado particular alguma parte do trajeto, informe o total de KM a ser deduzido.]]</f>
        <v>47</v>
      </c>
      <c r="V13" s="55">
        <f>IF(Tabela1[[#This Row],[Informe a data]]&lt;DATE(2026,3,16), Tabela1[[#This Row],[KM Rodado]]*1.1, Tabela1[[#This Row],[KM Rodado]]*1.23)</f>
        <v>51.7</v>
      </c>
      <c r="W13" s="55">
        <f>IFERROR(SUBSTITUTE(Tabela1[[#This Row],[Pedágio]],".",",",1)*1,0)</f>
        <v>0</v>
      </c>
      <c r="X13" s="55">
        <f>IFERROR(SUBSTITUTE(Tabela1[[#This Row],[Estacionamento]],".",",",1)*1,0)</f>
        <v>0</v>
      </c>
      <c r="Y13" s="55">
        <f>IFERROR(SUBSTITUTE(Tabela1[[#This Row],[Despesas Diversas 
(Jantar em viagem, Impressões, Etc)]],".",",",1)*1,0)</f>
        <v>0</v>
      </c>
      <c r="Z13" s="55">
        <f>IFERROR(SUBSTITUTE(Tabela1[[#This Row],[Hospedagem]],".",",",1)*1,0)</f>
        <v>0</v>
      </c>
      <c r="AA13" s="56" t="str">
        <f>IF(DAY(Tabela1[[#This Row],[Informe a data]])&lt;=15,"1ª Quinzena","2ª Quinzena")</f>
        <v>1ª Quinzena</v>
      </c>
      <c r="AB13" s="56" t="str">
        <f>UPPER(TEXT(Tabela1[[#This Row],[Informe a data]],"mmmm"))</f>
        <v>JANEIRO</v>
      </c>
      <c r="AC13" s="57" t="e">
        <f ca="1">_xlfn.CONCAT(Tabela1[[#This Row],[Selecione o Usuário]]," - ",TEXT(Tabela1[[#This Row],[Informe a data]],"dd-mm-aa"))</f>
        <v>#NAME?</v>
      </c>
    </row>
    <row r="14" spans="1:29">
      <c r="A14" s="59">
        <v>46031.757731481484</v>
      </c>
      <c r="B14" s="60" t="s">
        <v>131</v>
      </c>
      <c r="C14" s="60" t="s">
        <v>132</v>
      </c>
      <c r="D14" s="60" t="s">
        <v>133</v>
      </c>
      <c r="E14" s="61">
        <v>46031</v>
      </c>
      <c r="F14" s="60">
        <v>185564</v>
      </c>
      <c r="G14" s="60" t="s">
        <v>173</v>
      </c>
      <c r="H14" s="60">
        <v>185593</v>
      </c>
      <c r="I14" s="60" t="s">
        <v>174</v>
      </c>
      <c r="J14" s="60" t="s">
        <v>175</v>
      </c>
      <c r="K14" s="60"/>
      <c r="L14" s="60" t="s">
        <v>60</v>
      </c>
      <c r="M14" s="60"/>
      <c r="N14" s="60"/>
      <c r="O14" s="60"/>
      <c r="P14" s="60"/>
      <c r="Q14" s="60"/>
      <c r="R14" s="60"/>
      <c r="S14" s="60"/>
      <c r="T14" s="60"/>
      <c r="U14" s="54">
        <f>(Tabela1[[#This Row],[Informe o KM final do dia]]-Tabela1[[#This Row],[Informe o KM inicial do dia]])-Tabela1[[#This Row],[Caso tenha rodado particular alguma parte do trajeto, informe o total de KM a ser deduzido.]]</f>
        <v>29</v>
      </c>
      <c r="V14" s="55">
        <f>IF(Tabela1[[#This Row],[Informe a data]]&lt;DATE(2026,3,16), Tabela1[[#This Row],[KM Rodado]]*1.1, Tabela1[[#This Row],[KM Rodado]]*1.23)</f>
        <v>31.900000000000002</v>
      </c>
      <c r="W14" s="55">
        <f>IFERROR(SUBSTITUTE(Tabela1[[#This Row],[Pedágio]],".",",",1)*1,0)</f>
        <v>0</v>
      </c>
      <c r="X14" s="55">
        <f>IFERROR(SUBSTITUTE(Tabela1[[#This Row],[Estacionamento]],".",",",1)*1,0)</f>
        <v>0</v>
      </c>
      <c r="Y14" s="55">
        <f>IFERROR(SUBSTITUTE(Tabela1[[#This Row],[Despesas Diversas 
(Jantar em viagem, Impressões, Etc)]],".",",",1)*1,0)</f>
        <v>0</v>
      </c>
      <c r="Z14" s="55">
        <f>IFERROR(SUBSTITUTE(Tabela1[[#This Row],[Hospedagem]],".",",",1)*1,0)</f>
        <v>0</v>
      </c>
      <c r="AA14" s="56" t="str">
        <f>IF(DAY(Tabela1[[#This Row],[Informe a data]])&lt;=15,"1ª Quinzena","2ª Quinzena")</f>
        <v>1ª Quinzena</v>
      </c>
      <c r="AB14" s="56" t="str">
        <f>UPPER(TEXT(Tabela1[[#This Row],[Informe a data]],"mmmm"))</f>
        <v>JANEIRO</v>
      </c>
      <c r="AC14" s="57" t="e">
        <f ca="1">_xlfn.CONCAT(Tabela1[[#This Row],[Selecione o Usuário]]," - ",TEXT(Tabela1[[#This Row],[Informe a data]],"dd-mm-aa"))</f>
        <v>#NAME?</v>
      </c>
    </row>
    <row r="15" spans="1:29">
      <c r="A15" s="59">
        <v>46031.988402777781</v>
      </c>
      <c r="B15" s="60" t="s">
        <v>176</v>
      </c>
      <c r="C15" s="60" t="s">
        <v>136</v>
      </c>
      <c r="D15" s="60" t="s">
        <v>177</v>
      </c>
      <c r="E15" s="61">
        <v>46031</v>
      </c>
      <c r="F15" s="60">
        <v>167982</v>
      </c>
      <c r="G15" s="60" t="s">
        <v>187</v>
      </c>
      <c r="H15" s="60">
        <v>168055</v>
      </c>
      <c r="I15" s="60" t="s">
        <v>188</v>
      </c>
      <c r="J15" s="60" t="s">
        <v>189</v>
      </c>
      <c r="K15" s="60"/>
      <c r="L15" s="60" t="s">
        <v>60</v>
      </c>
      <c r="M15" s="60"/>
      <c r="N15" s="60"/>
      <c r="O15" s="60"/>
      <c r="P15" s="60"/>
      <c r="Q15" s="60"/>
      <c r="R15" s="60"/>
      <c r="S15" s="60"/>
      <c r="T15" s="60"/>
      <c r="U15" s="54">
        <f>(Tabela1[[#This Row],[Informe o KM final do dia]]-Tabela1[[#This Row],[Informe o KM inicial do dia]])-Tabela1[[#This Row],[Caso tenha rodado particular alguma parte do trajeto, informe o total de KM a ser deduzido.]]</f>
        <v>73</v>
      </c>
      <c r="V15" s="55">
        <f>IF(Tabela1[[#This Row],[Informe a data]]&lt;DATE(2026,3,16), Tabela1[[#This Row],[KM Rodado]]*1.1, Tabela1[[#This Row],[KM Rodado]]*1.23)</f>
        <v>80.300000000000011</v>
      </c>
      <c r="W15" s="55">
        <f>IFERROR(SUBSTITUTE(Tabela1[[#This Row],[Pedágio]],".",",",1)*1,0)</f>
        <v>0</v>
      </c>
      <c r="X15" s="55">
        <f>IFERROR(SUBSTITUTE(Tabela1[[#This Row],[Estacionamento]],".",",",1)*1,0)</f>
        <v>0</v>
      </c>
      <c r="Y15" s="55">
        <f>IFERROR(SUBSTITUTE(Tabela1[[#This Row],[Despesas Diversas 
(Jantar em viagem, Impressões, Etc)]],".",",",1)*1,0)</f>
        <v>0</v>
      </c>
      <c r="Z15" s="55">
        <f>IFERROR(SUBSTITUTE(Tabela1[[#This Row],[Hospedagem]],".",",",1)*1,0)</f>
        <v>0</v>
      </c>
      <c r="AA15" s="56" t="str">
        <f>IF(DAY(Tabela1[[#This Row],[Informe a data]])&lt;=15,"1ª Quinzena","2ª Quinzena")</f>
        <v>1ª Quinzena</v>
      </c>
      <c r="AB15" s="56" t="str">
        <f>UPPER(TEXT(Tabela1[[#This Row],[Informe a data]],"mmmm"))</f>
        <v>JANEIRO</v>
      </c>
      <c r="AC15" s="57" t="e">
        <f ca="1">_xlfn.CONCAT(Tabela1[[#This Row],[Selecione o Usuário]]," - ",TEXT(Tabela1[[#This Row],[Informe a data]],"dd-mm-aa"))</f>
        <v>#NAME?</v>
      </c>
    </row>
    <row r="16" spans="1:29" ht="69">
      <c r="A16" s="59">
        <v>46031.744884259257</v>
      </c>
      <c r="B16" s="60" t="s">
        <v>168</v>
      </c>
      <c r="C16" s="60" t="s">
        <v>141</v>
      </c>
      <c r="D16" s="60" t="s">
        <v>169</v>
      </c>
      <c r="E16" s="61">
        <v>46031</v>
      </c>
      <c r="F16" s="60">
        <v>172907</v>
      </c>
      <c r="G16" s="60" t="s">
        <v>170</v>
      </c>
      <c r="H16" s="60">
        <v>173040</v>
      </c>
      <c r="I16" s="60" t="s">
        <v>171</v>
      </c>
      <c r="J16" s="84" t="s">
        <v>172</v>
      </c>
      <c r="K16" s="60"/>
      <c r="L16" s="60" t="s">
        <v>60</v>
      </c>
      <c r="M16" s="60"/>
      <c r="N16" s="60"/>
      <c r="O16" s="60"/>
      <c r="P16" s="60"/>
      <c r="Q16" s="60"/>
      <c r="R16" s="60"/>
      <c r="S16" s="60"/>
      <c r="T16" s="60"/>
      <c r="U16" s="54">
        <f>(Tabela1[[#This Row],[Informe o KM final do dia]]-Tabela1[[#This Row],[Informe o KM inicial do dia]])-Tabela1[[#This Row],[Caso tenha rodado particular alguma parte do trajeto, informe o total de KM a ser deduzido.]]</f>
        <v>133</v>
      </c>
      <c r="V16" s="55">
        <f>IF(Tabela1[[#This Row],[Informe a data]]&lt;DATE(2026,3,16), Tabela1[[#This Row],[KM Rodado]]*1.1, Tabela1[[#This Row],[KM Rodado]]*1.23)</f>
        <v>146.30000000000001</v>
      </c>
      <c r="W16" s="55">
        <f>IFERROR(SUBSTITUTE(Tabela1[[#This Row],[Pedágio]],".",",",1)*1,0)</f>
        <v>0</v>
      </c>
      <c r="X16" s="55">
        <f>IFERROR(SUBSTITUTE(Tabela1[[#This Row],[Estacionamento]],".",",",1)*1,0)</f>
        <v>0</v>
      </c>
      <c r="Y16" s="55">
        <f>IFERROR(SUBSTITUTE(Tabela1[[#This Row],[Despesas Diversas 
(Jantar em viagem, Impressões, Etc)]],".",",",1)*1,0)</f>
        <v>0</v>
      </c>
      <c r="Z16" s="55">
        <f>IFERROR(SUBSTITUTE(Tabela1[[#This Row],[Hospedagem]],".",",",1)*1,0)</f>
        <v>0</v>
      </c>
      <c r="AA16" s="56" t="str">
        <f>IF(DAY(Tabela1[[#This Row],[Informe a data]])&lt;=15,"1ª Quinzena","2ª Quinzena")</f>
        <v>1ª Quinzena</v>
      </c>
      <c r="AB16" s="56" t="str">
        <f>UPPER(TEXT(Tabela1[[#This Row],[Informe a data]],"mmmm"))</f>
        <v>JANEIRO</v>
      </c>
      <c r="AC16" s="57" t="e">
        <f ca="1">_xlfn.CONCAT(Tabela1[[#This Row],[Selecione o Usuário]]," - ",TEXT(Tabela1[[#This Row],[Informe a data]],"dd-mm-aa"))</f>
        <v>#NAME?</v>
      </c>
    </row>
    <row r="17" spans="1:29">
      <c r="A17" s="59">
        <v>46035.38821759259</v>
      </c>
      <c r="B17" s="60" t="s">
        <v>131</v>
      </c>
      <c r="C17" s="60" t="s">
        <v>132</v>
      </c>
      <c r="D17" s="60" t="s">
        <v>133</v>
      </c>
      <c r="E17" s="61">
        <v>46034</v>
      </c>
      <c r="F17" s="60">
        <v>185599</v>
      </c>
      <c r="G17" s="60" t="s">
        <v>205</v>
      </c>
      <c r="H17" s="60">
        <v>185643</v>
      </c>
      <c r="I17" s="60" t="s">
        <v>206</v>
      </c>
      <c r="J17" s="60" t="s">
        <v>207</v>
      </c>
      <c r="K17" s="60"/>
      <c r="L17" s="60" t="s">
        <v>60</v>
      </c>
      <c r="M17" s="60"/>
      <c r="N17" s="60"/>
      <c r="O17" s="60"/>
      <c r="P17" s="60"/>
      <c r="Q17" s="60"/>
      <c r="R17" s="60"/>
      <c r="S17" s="60"/>
      <c r="T17" s="60"/>
      <c r="U17" s="54">
        <f>(Tabela1[[#This Row],[Informe o KM final do dia]]-Tabela1[[#This Row],[Informe o KM inicial do dia]])-Tabela1[[#This Row],[Caso tenha rodado particular alguma parte do trajeto, informe o total de KM a ser deduzido.]]</f>
        <v>44</v>
      </c>
      <c r="V17" s="55">
        <f>IF(Tabela1[[#This Row],[Informe a data]]&lt;DATE(2026,3,16), Tabela1[[#This Row],[KM Rodado]]*1.1, Tabela1[[#This Row],[KM Rodado]]*1.23)</f>
        <v>48.400000000000006</v>
      </c>
      <c r="W17" s="55">
        <f>IFERROR(SUBSTITUTE(Tabela1[[#This Row],[Pedágio]],".",",",1)*1,0)</f>
        <v>0</v>
      </c>
      <c r="X17" s="55">
        <f>IFERROR(SUBSTITUTE(Tabela1[[#This Row],[Estacionamento]],".",",",1)*1,0)</f>
        <v>0</v>
      </c>
      <c r="Y17" s="55">
        <f>IFERROR(SUBSTITUTE(Tabela1[[#This Row],[Despesas Diversas 
(Jantar em viagem, Impressões, Etc)]],".",",",1)*1,0)</f>
        <v>0</v>
      </c>
      <c r="Z17" s="55">
        <f>IFERROR(SUBSTITUTE(Tabela1[[#This Row],[Hospedagem]],".",",",1)*1,0)</f>
        <v>0</v>
      </c>
      <c r="AA17" s="56" t="str">
        <f>IF(DAY(Tabela1[[#This Row],[Informe a data]])&lt;=15,"1ª Quinzena","2ª Quinzena")</f>
        <v>1ª Quinzena</v>
      </c>
      <c r="AB17" s="56" t="str">
        <f>UPPER(TEXT(Tabela1[[#This Row],[Informe a data]],"mmmm"))</f>
        <v>JANEIRO</v>
      </c>
      <c r="AC17" s="57" t="e">
        <f ca="1">_xlfn.CONCAT(Tabela1[[#This Row],[Selecione o Usuário]]," - ",TEXT(Tabela1[[#This Row],[Informe a data]],"dd-mm-aa"))</f>
        <v>#NAME?</v>
      </c>
    </row>
    <row r="18" spans="1:29">
      <c r="A18" s="59">
        <v>46035.806145833332</v>
      </c>
      <c r="B18" s="60" t="s">
        <v>214</v>
      </c>
      <c r="C18" s="60" t="s">
        <v>24</v>
      </c>
      <c r="D18" s="60" t="s">
        <v>215</v>
      </c>
      <c r="E18" s="61">
        <v>46035</v>
      </c>
      <c r="F18" s="60">
        <v>221889</v>
      </c>
      <c r="G18" s="60" t="s">
        <v>216</v>
      </c>
      <c r="H18" s="60">
        <v>221889</v>
      </c>
      <c r="I18" s="60" t="s">
        <v>217</v>
      </c>
      <c r="J18" s="60" t="s">
        <v>218</v>
      </c>
      <c r="K18" s="60"/>
      <c r="L18" s="60" t="s">
        <v>61</v>
      </c>
      <c r="M18" s="60"/>
      <c r="N18" s="60"/>
      <c r="O18" s="60"/>
      <c r="P18" s="60"/>
      <c r="Q18" s="60" t="s">
        <v>219</v>
      </c>
      <c r="R18" s="60" t="s">
        <v>220</v>
      </c>
      <c r="S18" s="60"/>
      <c r="T18" s="60" t="s">
        <v>221</v>
      </c>
      <c r="U18" s="54">
        <f>(Tabela1[[#This Row],[Informe o KM final do dia]]-Tabela1[[#This Row],[Informe o KM inicial do dia]])-Tabela1[[#This Row],[Caso tenha rodado particular alguma parte do trajeto, informe o total de KM a ser deduzido.]]</f>
        <v>0</v>
      </c>
      <c r="V18" s="55">
        <f>IF(Tabela1[[#This Row],[Informe a data]]&lt;DATE(2026,3,16), Tabela1[[#This Row],[KM Rodado]]*1.1, Tabela1[[#This Row],[KM Rodado]]*1.23)</f>
        <v>0</v>
      </c>
      <c r="W18" s="55">
        <f>IFERROR(SUBSTITUTE(Tabela1[[#This Row],[Pedágio]],".",",",1)*1,0)</f>
        <v>0</v>
      </c>
      <c r="X18" s="55">
        <f>IFERROR(SUBSTITUTE(Tabela1[[#This Row],[Estacionamento]],".",",",1)*1,0)</f>
        <v>0</v>
      </c>
      <c r="Y18" s="55">
        <f>IFERROR(SUBSTITUTE(Tabela1[[#This Row],[Despesas Diversas 
(Jantar em viagem, Impressões, Etc)]],".",",",1)*1,0)</f>
        <v>179.49</v>
      </c>
      <c r="Z18" s="55">
        <f>IFERROR(SUBSTITUTE(Tabela1[[#This Row],[Hospedagem]],".",",",1)*1,0)</f>
        <v>0</v>
      </c>
      <c r="AA18" s="56" t="str">
        <f>IF(DAY(Tabela1[[#This Row],[Informe a data]])&lt;=15,"1ª Quinzena","2ª Quinzena")</f>
        <v>1ª Quinzena</v>
      </c>
      <c r="AB18" s="56" t="str">
        <f>UPPER(TEXT(Tabela1[[#This Row],[Informe a data]],"mmmm"))</f>
        <v>JANEIRO</v>
      </c>
      <c r="AC18" s="57" t="e">
        <f ca="1">_xlfn.CONCAT(Tabela1[[#This Row],[Selecione o Usuário]]," - ",TEXT(Tabela1[[#This Row],[Informe a data]],"dd-mm-aa"))</f>
        <v>#NAME?</v>
      </c>
    </row>
    <row r="19" spans="1:29">
      <c r="A19" s="59">
        <v>46035.761562500003</v>
      </c>
      <c r="B19" s="60" t="s">
        <v>208</v>
      </c>
      <c r="C19" s="60" t="s">
        <v>134</v>
      </c>
      <c r="D19" s="60" t="s">
        <v>209</v>
      </c>
      <c r="E19" s="61">
        <v>46035</v>
      </c>
      <c r="F19" s="60">
        <v>158913</v>
      </c>
      <c r="G19" s="60" t="s">
        <v>210</v>
      </c>
      <c r="H19" s="60">
        <v>159149</v>
      </c>
      <c r="I19" s="60" t="s">
        <v>211</v>
      </c>
      <c r="J19" s="60" t="s">
        <v>212</v>
      </c>
      <c r="K19" s="60"/>
      <c r="L19" s="60" t="s">
        <v>61</v>
      </c>
      <c r="M19" s="60"/>
      <c r="N19" s="60"/>
      <c r="O19" s="60"/>
      <c r="P19" s="60"/>
      <c r="Q19" s="60"/>
      <c r="R19" s="60"/>
      <c r="S19" s="60" t="s">
        <v>213</v>
      </c>
      <c r="T19" s="60"/>
      <c r="U19" s="54">
        <f>(Tabela1[[#This Row],[Informe o KM final do dia]]-Tabela1[[#This Row],[Informe o KM inicial do dia]])-Tabela1[[#This Row],[Caso tenha rodado particular alguma parte do trajeto, informe o total de KM a ser deduzido.]]</f>
        <v>236</v>
      </c>
      <c r="V19" s="55">
        <f>IF(Tabela1[[#This Row],[Informe a data]]&lt;DATE(2026,3,16), Tabela1[[#This Row],[KM Rodado]]*1.1, Tabela1[[#This Row],[KM Rodado]]*1.23)</f>
        <v>259.60000000000002</v>
      </c>
      <c r="W19" s="55">
        <f>IFERROR(SUBSTITUTE(Tabela1[[#This Row],[Pedágio]],".",",",1)*1,0)</f>
        <v>0</v>
      </c>
      <c r="X19" s="55">
        <f>IFERROR(SUBSTITUTE(Tabela1[[#This Row],[Estacionamento]],".",",",1)*1,0)</f>
        <v>0</v>
      </c>
      <c r="Y19" s="55">
        <f>IFERROR(SUBSTITUTE(Tabela1[[#This Row],[Despesas Diversas 
(Jantar em viagem, Impressões, Etc)]],".",",",1)*1,0)</f>
        <v>0</v>
      </c>
      <c r="Z19" s="55">
        <f>IFERROR(SUBSTITUTE(Tabela1[[#This Row],[Hospedagem]],".",",",1)*1,0)</f>
        <v>219.94</v>
      </c>
      <c r="AA19" s="56" t="str">
        <f>IF(DAY(Tabela1[[#This Row],[Informe a data]])&lt;=15,"1ª Quinzena","2ª Quinzena")</f>
        <v>1ª Quinzena</v>
      </c>
      <c r="AB19" s="56" t="str">
        <f>UPPER(TEXT(Tabela1[[#This Row],[Informe a data]],"mmmm"))</f>
        <v>JANEIRO</v>
      </c>
      <c r="AC19" s="57" t="e">
        <f ca="1">_xlfn.CONCAT(Tabela1[[#This Row],[Selecione o Usuário]]," - ",TEXT(Tabela1[[#This Row],[Informe a data]],"dd-mm-aa"))</f>
        <v>#NAME?</v>
      </c>
    </row>
    <row r="20" spans="1:29">
      <c r="A20" s="59">
        <v>46037.341238425928</v>
      </c>
      <c r="B20" s="60" t="s">
        <v>131</v>
      </c>
      <c r="C20" s="60" t="s">
        <v>132</v>
      </c>
      <c r="D20" s="60" t="s">
        <v>133</v>
      </c>
      <c r="E20" s="61">
        <v>46036</v>
      </c>
      <c r="F20" s="60">
        <v>185662</v>
      </c>
      <c r="G20" s="60" t="s">
        <v>238</v>
      </c>
      <c r="H20" s="60">
        <v>185709</v>
      </c>
      <c r="I20" s="60" t="s">
        <v>239</v>
      </c>
      <c r="J20" s="60" t="s">
        <v>240</v>
      </c>
      <c r="K20" s="60"/>
      <c r="L20" s="60" t="s">
        <v>60</v>
      </c>
      <c r="M20" s="60"/>
      <c r="N20" s="60"/>
      <c r="O20" s="60"/>
      <c r="P20" s="60"/>
      <c r="Q20" s="60"/>
      <c r="R20" s="60"/>
      <c r="S20" s="60"/>
      <c r="T20" s="60"/>
      <c r="U20" s="54">
        <f>(Tabela1[[#This Row],[Informe o KM final do dia]]-Tabela1[[#This Row],[Informe o KM inicial do dia]])-Tabela1[[#This Row],[Caso tenha rodado particular alguma parte do trajeto, informe o total de KM a ser deduzido.]]</f>
        <v>47</v>
      </c>
      <c r="V20" s="55">
        <f>IF(Tabela1[[#This Row],[Informe a data]]&lt;DATE(2026,3,16), Tabela1[[#This Row],[KM Rodado]]*1.1, Tabela1[[#This Row],[KM Rodado]]*1.23)</f>
        <v>51.7</v>
      </c>
      <c r="W20" s="55">
        <f>IFERROR(SUBSTITUTE(Tabela1[[#This Row],[Pedágio]],".",",",1)*1,0)</f>
        <v>0</v>
      </c>
      <c r="X20" s="55">
        <f>IFERROR(SUBSTITUTE(Tabela1[[#This Row],[Estacionamento]],".",",",1)*1,0)</f>
        <v>0</v>
      </c>
      <c r="Y20" s="55">
        <f>IFERROR(SUBSTITUTE(Tabela1[[#This Row],[Despesas Diversas 
(Jantar em viagem, Impressões, Etc)]],".",",",1)*1,0)</f>
        <v>0</v>
      </c>
      <c r="Z20" s="55">
        <f>IFERROR(SUBSTITUTE(Tabela1[[#This Row],[Hospedagem]],".",",",1)*1,0)</f>
        <v>0</v>
      </c>
      <c r="AA20" s="56" t="str">
        <f>IF(DAY(Tabela1[[#This Row],[Informe a data]])&lt;=15,"1ª Quinzena","2ª Quinzena")</f>
        <v>1ª Quinzena</v>
      </c>
      <c r="AB20" s="56" t="str">
        <f>UPPER(TEXT(Tabela1[[#This Row],[Informe a data]],"mmmm"))</f>
        <v>JANEIRO</v>
      </c>
      <c r="AC20" s="57" t="e">
        <f ca="1">_xlfn.CONCAT(Tabela1[[#This Row],[Selecione o Usuário]]," - ",TEXT(Tabela1[[#This Row],[Informe a data]],"dd-mm-aa"))</f>
        <v>#NAME?</v>
      </c>
    </row>
    <row r="21" spans="1:29">
      <c r="A21" s="59">
        <v>46036.701041666667</v>
      </c>
      <c r="B21" s="60" t="s">
        <v>226</v>
      </c>
      <c r="C21" s="60" t="s">
        <v>227</v>
      </c>
      <c r="D21" s="60" t="s">
        <v>228</v>
      </c>
      <c r="E21" s="61">
        <v>46036</v>
      </c>
      <c r="F21" s="60">
        <v>117269</v>
      </c>
      <c r="G21" s="60" t="s">
        <v>229</v>
      </c>
      <c r="H21" s="60">
        <v>117506</v>
      </c>
      <c r="I21" s="60" t="s">
        <v>230</v>
      </c>
      <c r="J21" s="60" t="s">
        <v>231</v>
      </c>
      <c r="K21" s="60"/>
      <c r="L21" s="60" t="s">
        <v>60</v>
      </c>
      <c r="M21" s="60"/>
      <c r="N21" s="60"/>
      <c r="O21" s="60"/>
      <c r="P21" s="60"/>
      <c r="Q21" s="60"/>
      <c r="R21" s="60"/>
      <c r="S21" s="60"/>
      <c r="T21" s="60"/>
      <c r="U21" s="54">
        <f>(Tabela1[[#This Row],[Informe o KM final do dia]]-Tabela1[[#This Row],[Informe o KM inicial do dia]])-Tabela1[[#This Row],[Caso tenha rodado particular alguma parte do trajeto, informe o total de KM a ser deduzido.]]</f>
        <v>237</v>
      </c>
      <c r="V21" s="55">
        <f>IF(Tabela1[[#This Row],[Informe a data]]&lt;DATE(2026,3,16), Tabela1[[#This Row],[KM Rodado]]*1.1, Tabela1[[#This Row],[KM Rodado]]*1.23)</f>
        <v>260.70000000000005</v>
      </c>
      <c r="W21" s="55">
        <f>IFERROR(SUBSTITUTE(Tabela1[[#This Row],[Pedágio]],".",",",1)*1,0)</f>
        <v>0</v>
      </c>
      <c r="X21" s="55">
        <f>IFERROR(SUBSTITUTE(Tabela1[[#This Row],[Estacionamento]],".",",",1)*1,0)</f>
        <v>0</v>
      </c>
      <c r="Y21" s="55">
        <f>IFERROR(SUBSTITUTE(Tabela1[[#This Row],[Despesas Diversas 
(Jantar em viagem, Impressões, Etc)]],".",",",1)*1,0)</f>
        <v>0</v>
      </c>
      <c r="Z21" s="55">
        <f>IFERROR(SUBSTITUTE(Tabela1[[#This Row],[Hospedagem]],".",",",1)*1,0)</f>
        <v>0</v>
      </c>
      <c r="AA21" s="56" t="str">
        <f>IF(DAY(Tabela1[[#This Row],[Informe a data]])&lt;=15,"1ª Quinzena","2ª Quinzena")</f>
        <v>1ª Quinzena</v>
      </c>
      <c r="AB21" s="56" t="str">
        <f>UPPER(TEXT(Tabela1[[#This Row],[Informe a data]],"mmmm"))</f>
        <v>JANEIRO</v>
      </c>
      <c r="AC21" s="57" t="e">
        <f ca="1">_xlfn.CONCAT(Tabela1[[#This Row],[Selecione o Usuário]]," - ",TEXT(Tabela1[[#This Row],[Informe a data]],"dd-mm-aa"))</f>
        <v>#NAME?</v>
      </c>
    </row>
    <row r="22" spans="1:29">
      <c r="A22" s="59">
        <v>46036.800833333335</v>
      </c>
      <c r="B22" s="60" t="s">
        <v>208</v>
      </c>
      <c r="C22" s="60" t="s">
        <v>134</v>
      </c>
      <c r="D22" s="60" t="s">
        <v>209</v>
      </c>
      <c r="E22" s="61">
        <v>46036</v>
      </c>
      <c r="F22" s="60">
        <v>159149</v>
      </c>
      <c r="G22" s="60" t="s">
        <v>232</v>
      </c>
      <c r="H22" s="60">
        <v>159414</v>
      </c>
      <c r="I22" s="60" t="s">
        <v>233</v>
      </c>
      <c r="J22" s="60" t="s">
        <v>234</v>
      </c>
      <c r="K22" s="60"/>
      <c r="L22" s="60" t="s">
        <v>60</v>
      </c>
      <c r="M22" s="60"/>
      <c r="N22" s="60"/>
      <c r="O22" s="60"/>
      <c r="P22" s="60"/>
      <c r="Q22" s="60"/>
      <c r="R22" s="60"/>
      <c r="S22" s="60"/>
      <c r="T22" s="60"/>
      <c r="U22" s="54">
        <f>(Tabela1[[#This Row],[Informe o KM final do dia]]-Tabela1[[#This Row],[Informe o KM inicial do dia]])-Tabela1[[#This Row],[Caso tenha rodado particular alguma parte do trajeto, informe o total de KM a ser deduzido.]]</f>
        <v>265</v>
      </c>
      <c r="V22" s="55">
        <f>IF(Tabela1[[#This Row],[Informe a data]]&lt;DATE(2026,3,16), Tabela1[[#This Row],[KM Rodado]]*1.1, Tabela1[[#This Row],[KM Rodado]]*1.23)</f>
        <v>291.5</v>
      </c>
      <c r="W22" s="55">
        <f>IFERROR(SUBSTITUTE(Tabela1[[#This Row],[Pedágio]],".",",",1)*1,0)</f>
        <v>0</v>
      </c>
      <c r="X22" s="55">
        <f>IFERROR(SUBSTITUTE(Tabela1[[#This Row],[Estacionamento]],".",",",1)*1,0)</f>
        <v>0</v>
      </c>
      <c r="Y22" s="55">
        <f>IFERROR(SUBSTITUTE(Tabela1[[#This Row],[Despesas Diversas 
(Jantar em viagem, Impressões, Etc)]],".",",",1)*1,0)</f>
        <v>0</v>
      </c>
      <c r="Z22" s="55">
        <f>IFERROR(SUBSTITUTE(Tabela1[[#This Row],[Hospedagem]],".",",",1)*1,0)</f>
        <v>0</v>
      </c>
      <c r="AA22" s="56" t="str">
        <f>IF(DAY(Tabela1[[#This Row],[Informe a data]])&lt;=15,"1ª Quinzena","2ª Quinzena")</f>
        <v>1ª Quinzena</v>
      </c>
      <c r="AB22" s="56" t="str">
        <f>UPPER(TEXT(Tabela1[[#This Row],[Informe a data]],"mmmm"))</f>
        <v>JANEIRO</v>
      </c>
      <c r="AC22" s="57" t="e">
        <f ca="1">_xlfn.CONCAT(Tabela1[[#This Row],[Selecione o Usuário]]," - ",TEXT(Tabela1[[#This Row],[Informe a data]],"dd-mm-aa"))</f>
        <v>#NAME?</v>
      </c>
    </row>
    <row r="23" spans="1:29">
      <c r="A23" s="59">
        <v>46036.828333333331</v>
      </c>
      <c r="B23" s="60" t="s">
        <v>176</v>
      </c>
      <c r="C23" s="60" t="s">
        <v>136</v>
      </c>
      <c r="D23" s="60" t="s">
        <v>177</v>
      </c>
      <c r="E23" s="61">
        <v>46036</v>
      </c>
      <c r="F23" s="60">
        <v>168113</v>
      </c>
      <c r="G23" s="60" t="s">
        <v>235</v>
      </c>
      <c r="H23" s="60">
        <v>168215</v>
      </c>
      <c r="I23" s="60" t="s">
        <v>236</v>
      </c>
      <c r="J23" s="60" t="s">
        <v>237</v>
      </c>
      <c r="K23" s="60"/>
      <c r="L23" s="60" t="s">
        <v>60</v>
      </c>
      <c r="M23" s="60"/>
      <c r="N23" s="60"/>
      <c r="O23" s="60"/>
      <c r="P23" s="60"/>
      <c r="Q23" s="60"/>
      <c r="R23" s="60"/>
      <c r="S23" s="60"/>
      <c r="T23" s="60"/>
      <c r="U23" s="54">
        <f>(Tabela1[[#This Row],[Informe o KM final do dia]]-Tabela1[[#This Row],[Informe o KM inicial do dia]])-Tabela1[[#This Row],[Caso tenha rodado particular alguma parte do trajeto, informe o total de KM a ser deduzido.]]</f>
        <v>102</v>
      </c>
      <c r="V23" s="55">
        <f>IF(Tabela1[[#This Row],[Informe a data]]&lt;DATE(2026,3,16), Tabela1[[#This Row],[KM Rodado]]*1.1, Tabela1[[#This Row],[KM Rodado]]*1.23)</f>
        <v>112.2</v>
      </c>
      <c r="W23" s="55">
        <f>IFERROR(SUBSTITUTE(Tabela1[[#This Row],[Pedágio]],".",",",1)*1,0)</f>
        <v>0</v>
      </c>
      <c r="X23" s="55">
        <f>IFERROR(SUBSTITUTE(Tabela1[[#This Row],[Estacionamento]],".",",",1)*1,0)</f>
        <v>0</v>
      </c>
      <c r="Y23" s="55">
        <f>IFERROR(SUBSTITUTE(Tabela1[[#This Row],[Despesas Diversas 
(Jantar em viagem, Impressões, Etc)]],".",",",1)*1,0)</f>
        <v>0</v>
      </c>
      <c r="Z23" s="55">
        <f>IFERROR(SUBSTITUTE(Tabela1[[#This Row],[Hospedagem]],".",",",1)*1,0)</f>
        <v>0</v>
      </c>
      <c r="AA23" s="56" t="str">
        <f>IF(DAY(Tabela1[[#This Row],[Informe a data]])&lt;=15,"1ª Quinzena","2ª Quinzena")</f>
        <v>1ª Quinzena</v>
      </c>
      <c r="AB23" s="56" t="str">
        <f>UPPER(TEXT(Tabela1[[#This Row],[Informe a data]],"mmmm"))</f>
        <v>JANEIRO</v>
      </c>
      <c r="AC23" s="57" t="e">
        <f ca="1">_xlfn.CONCAT(Tabela1[[#This Row],[Selecione o Usuário]]," - ",TEXT(Tabela1[[#This Row],[Informe a data]],"dd-mm-aa"))</f>
        <v>#NAME?</v>
      </c>
    </row>
    <row r="24" spans="1:29" ht="82.8">
      <c r="A24" s="59">
        <v>46036.700509259259</v>
      </c>
      <c r="B24" s="60" t="s">
        <v>140</v>
      </c>
      <c r="C24" s="60" t="s">
        <v>141</v>
      </c>
      <c r="D24" s="60" t="s">
        <v>222</v>
      </c>
      <c r="E24" s="61">
        <v>46036</v>
      </c>
      <c r="F24" s="60">
        <v>173277</v>
      </c>
      <c r="G24" s="60" t="s">
        <v>223</v>
      </c>
      <c r="H24" s="60">
        <v>173401</v>
      </c>
      <c r="I24" s="60" t="s">
        <v>224</v>
      </c>
      <c r="J24" s="84" t="s">
        <v>225</v>
      </c>
      <c r="K24" s="60"/>
      <c r="L24" s="60" t="s">
        <v>60</v>
      </c>
      <c r="M24" s="60"/>
      <c r="N24" s="60"/>
      <c r="O24" s="60"/>
      <c r="P24" s="60"/>
      <c r="Q24" s="60"/>
      <c r="R24" s="60"/>
      <c r="S24" s="60"/>
      <c r="T24" s="60"/>
      <c r="U24" s="54">
        <f>(Tabela1[[#This Row],[Informe o KM final do dia]]-Tabela1[[#This Row],[Informe o KM inicial do dia]])-Tabela1[[#This Row],[Caso tenha rodado particular alguma parte do trajeto, informe o total de KM a ser deduzido.]]</f>
        <v>124</v>
      </c>
      <c r="V24" s="55">
        <f>IF(Tabela1[[#This Row],[Informe a data]]&lt;DATE(2026,3,16), Tabela1[[#This Row],[KM Rodado]]*1.1, Tabela1[[#This Row],[KM Rodado]]*1.23)</f>
        <v>136.4</v>
      </c>
      <c r="W24" s="55">
        <f>IFERROR(SUBSTITUTE(Tabela1[[#This Row],[Pedágio]],".",",",1)*1,0)</f>
        <v>0</v>
      </c>
      <c r="X24" s="55">
        <f>IFERROR(SUBSTITUTE(Tabela1[[#This Row],[Estacionamento]],".",",",1)*1,0)</f>
        <v>0</v>
      </c>
      <c r="Y24" s="55">
        <f>IFERROR(SUBSTITUTE(Tabela1[[#This Row],[Despesas Diversas 
(Jantar em viagem, Impressões, Etc)]],".",",",1)*1,0)</f>
        <v>0</v>
      </c>
      <c r="Z24" s="55">
        <f>IFERROR(SUBSTITUTE(Tabela1[[#This Row],[Hospedagem]],".",",",1)*1,0)</f>
        <v>0</v>
      </c>
      <c r="AA24" s="56" t="str">
        <f>IF(DAY(Tabela1[[#This Row],[Informe a data]])&lt;=15,"1ª Quinzena","2ª Quinzena")</f>
        <v>1ª Quinzena</v>
      </c>
      <c r="AB24" s="56" t="str">
        <f>UPPER(TEXT(Tabela1[[#This Row],[Informe a data]],"mmmm"))</f>
        <v>JANEIRO</v>
      </c>
      <c r="AC24" s="57" t="e">
        <f ca="1">_xlfn.CONCAT(Tabela1[[#This Row],[Selecione o Usuário]]," - ",TEXT(Tabela1[[#This Row],[Informe a data]],"dd-mm-aa"))</f>
        <v>#NAME?</v>
      </c>
    </row>
    <row r="25" spans="1:29">
      <c r="A25" s="59">
        <v>46037.840925925928</v>
      </c>
      <c r="B25" s="60" t="s">
        <v>131</v>
      </c>
      <c r="C25" s="60" t="s">
        <v>132</v>
      </c>
      <c r="D25" s="60" t="s">
        <v>133</v>
      </c>
      <c r="E25" s="61">
        <v>46037</v>
      </c>
      <c r="F25" s="60">
        <v>185709</v>
      </c>
      <c r="G25" s="60" t="s">
        <v>247</v>
      </c>
      <c r="H25" s="60">
        <v>185799</v>
      </c>
      <c r="I25" s="60" t="s">
        <v>248</v>
      </c>
      <c r="J25" s="60" t="s">
        <v>249</v>
      </c>
      <c r="K25" s="60"/>
      <c r="L25" s="60" t="s">
        <v>60</v>
      </c>
      <c r="M25" s="60"/>
      <c r="N25" s="60"/>
      <c r="O25" s="60"/>
      <c r="P25" s="60"/>
      <c r="Q25" s="60"/>
      <c r="R25" s="60"/>
      <c r="S25" s="60"/>
      <c r="T25" s="60"/>
      <c r="U25" s="54">
        <f>(Tabela1[[#This Row],[Informe o KM final do dia]]-Tabela1[[#This Row],[Informe o KM inicial do dia]])-Tabela1[[#This Row],[Caso tenha rodado particular alguma parte do trajeto, informe o total de KM a ser deduzido.]]</f>
        <v>90</v>
      </c>
      <c r="V25" s="55">
        <f>IF(Tabela1[[#This Row],[Informe a data]]&lt;DATE(2026,3,16), Tabela1[[#This Row],[KM Rodado]]*1.1, Tabela1[[#This Row],[KM Rodado]]*1.23)</f>
        <v>99.000000000000014</v>
      </c>
      <c r="W25" s="55">
        <f>IFERROR(SUBSTITUTE(Tabela1[[#This Row],[Pedágio]],".",",",1)*1,0)</f>
        <v>0</v>
      </c>
      <c r="X25" s="55">
        <f>IFERROR(SUBSTITUTE(Tabela1[[#This Row],[Estacionamento]],".",",",1)*1,0)</f>
        <v>0</v>
      </c>
      <c r="Y25" s="55">
        <f>IFERROR(SUBSTITUTE(Tabela1[[#This Row],[Despesas Diversas 
(Jantar em viagem, Impressões, Etc)]],".",",",1)*1,0)</f>
        <v>0</v>
      </c>
      <c r="Z25" s="55">
        <f>IFERROR(SUBSTITUTE(Tabela1[[#This Row],[Hospedagem]],".",",",1)*1,0)</f>
        <v>0</v>
      </c>
      <c r="AA25" s="56" t="str">
        <f>IF(DAY(Tabela1[[#This Row],[Informe a data]])&lt;=15,"1ª Quinzena","2ª Quinzena")</f>
        <v>1ª Quinzena</v>
      </c>
      <c r="AB25" s="56" t="str">
        <f>UPPER(TEXT(Tabela1[[#This Row],[Informe a data]],"mmmm"))</f>
        <v>JANEIRO</v>
      </c>
      <c r="AC25" s="57" t="e">
        <f ca="1">_xlfn.CONCAT(Tabela1[[#This Row],[Selecione o Usuário]]," - ",TEXT(Tabela1[[#This Row],[Informe a data]],"dd-mm-aa"))</f>
        <v>#NAME?</v>
      </c>
    </row>
    <row r="26" spans="1:29">
      <c r="A26" s="59">
        <v>46037.740960648145</v>
      </c>
      <c r="B26" s="60" t="s">
        <v>226</v>
      </c>
      <c r="C26" s="60" t="s">
        <v>227</v>
      </c>
      <c r="D26" s="60" t="s">
        <v>228</v>
      </c>
      <c r="E26" s="61">
        <v>46037</v>
      </c>
      <c r="F26" s="60">
        <v>117508</v>
      </c>
      <c r="G26" s="60" t="s">
        <v>241</v>
      </c>
      <c r="H26" s="60">
        <v>117599</v>
      </c>
      <c r="I26" s="60" t="s">
        <v>242</v>
      </c>
      <c r="J26" s="60" t="s">
        <v>243</v>
      </c>
      <c r="K26" s="60"/>
      <c r="L26" s="60" t="s">
        <v>60</v>
      </c>
      <c r="M26" s="60"/>
      <c r="N26" s="60"/>
      <c r="O26" s="60"/>
      <c r="P26" s="60"/>
      <c r="Q26" s="60"/>
      <c r="R26" s="60"/>
      <c r="S26" s="60"/>
      <c r="T26" s="60"/>
      <c r="U26" s="54">
        <f>(Tabela1[[#This Row],[Informe o KM final do dia]]-Tabela1[[#This Row],[Informe o KM inicial do dia]])-Tabela1[[#This Row],[Caso tenha rodado particular alguma parte do trajeto, informe o total de KM a ser deduzido.]]</f>
        <v>91</v>
      </c>
      <c r="V26" s="55">
        <f>IF(Tabela1[[#This Row],[Informe a data]]&lt;DATE(2026,3,16), Tabela1[[#This Row],[KM Rodado]]*1.1, Tabela1[[#This Row],[KM Rodado]]*1.23)</f>
        <v>100.10000000000001</v>
      </c>
      <c r="W26" s="55">
        <f>IFERROR(SUBSTITUTE(Tabela1[[#This Row],[Pedágio]],".",",",1)*1,0)</f>
        <v>0</v>
      </c>
      <c r="X26" s="55">
        <f>IFERROR(SUBSTITUTE(Tabela1[[#This Row],[Estacionamento]],".",",",1)*1,0)</f>
        <v>0</v>
      </c>
      <c r="Y26" s="55">
        <f>IFERROR(SUBSTITUTE(Tabela1[[#This Row],[Despesas Diversas 
(Jantar em viagem, Impressões, Etc)]],".",",",1)*1,0)</f>
        <v>0</v>
      </c>
      <c r="Z26" s="55">
        <f>IFERROR(SUBSTITUTE(Tabela1[[#This Row],[Hospedagem]],".",",",1)*1,0)</f>
        <v>0</v>
      </c>
      <c r="AA26" s="56" t="str">
        <f>IF(DAY(Tabela1[[#This Row],[Informe a data]])&lt;=15,"1ª Quinzena","2ª Quinzena")</f>
        <v>1ª Quinzena</v>
      </c>
      <c r="AB26" s="56" t="str">
        <f>UPPER(TEXT(Tabela1[[#This Row],[Informe a data]],"mmmm"))</f>
        <v>JANEIRO</v>
      </c>
      <c r="AC26" s="57" t="e">
        <f ca="1">_xlfn.CONCAT(Tabela1[[#This Row],[Selecione o Usuário]]," - ",TEXT(Tabela1[[#This Row],[Informe a data]],"dd-mm-aa"))</f>
        <v>#NAME?</v>
      </c>
    </row>
    <row r="27" spans="1:29">
      <c r="A27" s="59">
        <v>46031.984270833331</v>
      </c>
      <c r="B27" s="60" t="s">
        <v>176</v>
      </c>
      <c r="C27" s="60" t="s">
        <v>136</v>
      </c>
      <c r="D27" s="60" t="s">
        <v>177</v>
      </c>
      <c r="E27" s="61">
        <v>46037</v>
      </c>
      <c r="F27" s="60">
        <v>167732</v>
      </c>
      <c r="G27" s="60" t="s">
        <v>184</v>
      </c>
      <c r="H27" s="60">
        <v>167982</v>
      </c>
      <c r="I27" s="60" t="s">
        <v>185</v>
      </c>
      <c r="J27" s="60" t="s">
        <v>186</v>
      </c>
      <c r="K27" s="60"/>
      <c r="L27" s="60" t="s">
        <v>60</v>
      </c>
      <c r="M27" s="60"/>
      <c r="N27" s="60"/>
      <c r="O27" s="60"/>
      <c r="P27" s="60"/>
      <c r="Q27" s="60"/>
      <c r="R27" s="60"/>
      <c r="S27" s="60"/>
      <c r="T27" s="60"/>
      <c r="U27" s="54">
        <f>(Tabela1[[#This Row],[Informe o KM final do dia]]-Tabela1[[#This Row],[Informe o KM inicial do dia]])-Tabela1[[#This Row],[Caso tenha rodado particular alguma parte do trajeto, informe o total de KM a ser deduzido.]]</f>
        <v>250</v>
      </c>
      <c r="V27" s="55">
        <f>IF(Tabela1[[#This Row],[Informe a data]]&lt;DATE(2026,3,16), Tabela1[[#This Row],[KM Rodado]]*1.1, Tabela1[[#This Row],[KM Rodado]]*1.23)</f>
        <v>275</v>
      </c>
      <c r="W27" s="55">
        <f>IFERROR(SUBSTITUTE(Tabela1[[#This Row],[Pedágio]],".",",",1)*1,0)</f>
        <v>0</v>
      </c>
      <c r="X27" s="55">
        <f>IFERROR(SUBSTITUTE(Tabela1[[#This Row],[Estacionamento]],".",",",1)*1,0)</f>
        <v>0</v>
      </c>
      <c r="Y27" s="55">
        <f>IFERROR(SUBSTITUTE(Tabela1[[#This Row],[Despesas Diversas 
(Jantar em viagem, Impressões, Etc)]],".",",",1)*1,0)</f>
        <v>0</v>
      </c>
      <c r="Z27" s="55">
        <f>IFERROR(SUBSTITUTE(Tabela1[[#This Row],[Hospedagem]],".",",",1)*1,0)</f>
        <v>0</v>
      </c>
      <c r="AA27" s="56" t="str">
        <f>IF(DAY(Tabela1[[#This Row],[Informe a data]])&lt;=15,"1ª Quinzena","2ª Quinzena")</f>
        <v>1ª Quinzena</v>
      </c>
      <c r="AB27" s="56" t="str">
        <f>UPPER(TEXT(Tabela1[[#This Row],[Informe a data]],"mmmm"))</f>
        <v>JANEIRO</v>
      </c>
      <c r="AC27" s="57" t="e">
        <f ca="1">_xlfn.CONCAT(Tabela1[[#This Row],[Selecione o Usuário]]," - ",TEXT(Tabela1[[#This Row],[Informe a data]],"dd-mm-aa"))</f>
        <v>#NAME?</v>
      </c>
    </row>
    <row r="28" spans="1:29">
      <c r="A28" s="59">
        <v>46039.758414351854</v>
      </c>
      <c r="B28" s="60" t="s">
        <v>176</v>
      </c>
      <c r="C28" s="60" t="s">
        <v>136</v>
      </c>
      <c r="D28" s="60" t="s">
        <v>177</v>
      </c>
      <c r="E28" s="61">
        <v>46037</v>
      </c>
      <c r="F28" s="60">
        <v>168215</v>
      </c>
      <c r="G28" s="60" t="s">
        <v>276</v>
      </c>
      <c r="H28" s="60">
        <v>168251</v>
      </c>
      <c r="I28" s="60" t="s">
        <v>277</v>
      </c>
      <c r="J28" s="60" t="s">
        <v>278</v>
      </c>
      <c r="K28" s="60"/>
      <c r="L28" s="60" t="s">
        <v>60</v>
      </c>
      <c r="M28" s="60"/>
      <c r="N28" s="60"/>
      <c r="O28" s="60"/>
      <c r="P28" s="60"/>
      <c r="Q28" s="60"/>
      <c r="R28" s="60"/>
      <c r="S28" s="60"/>
      <c r="T28" s="60"/>
      <c r="U28" s="85">
        <f>(Tabela1[[#This Row],[Informe o KM final do dia]]-Tabela1[[#This Row],[Informe o KM inicial do dia]])-Tabela1[[#This Row],[Caso tenha rodado particular alguma parte do trajeto, informe o total de KM a ser deduzido.]]</f>
        <v>36</v>
      </c>
      <c r="V28" s="55">
        <f>IF(Tabela1[[#This Row],[Informe a data]]&lt;DATE(2026,3,16), Tabela1[[#This Row],[KM Rodado]]*1.1, Tabela1[[#This Row],[KM Rodado]]*1.23)</f>
        <v>39.6</v>
      </c>
      <c r="W28" s="86">
        <f>IFERROR(SUBSTITUTE(Tabela1[[#This Row],[Pedágio]],".",",",1)*1,0)</f>
        <v>0</v>
      </c>
      <c r="X28" s="86">
        <f>IFERROR(SUBSTITUTE(Tabela1[[#This Row],[Estacionamento]],".",",",1)*1,0)</f>
        <v>0</v>
      </c>
      <c r="Y28" s="86">
        <f>IFERROR(SUBSTITUTE(Tabela1[[#This Row],[Despesas Diversas 
(Jantar em viagem, Impressões, Etc)]],".",",",1)*1,0)</f>
        <v>0</v>
      </c>
      <c r="Z28" s="86">
        <f>IFERROR(SUBSTITUTE(Tabela1[[#This Row],[Hospedagem]],".",",",1)*1,0)</f>
        <v>0</v>
      </c>
      <c r="AA28" s="56" t="str">
        <f>IF(DAY(Tabela1[[#This Row],[Informe a data]])&lt;=15,"1ª Quinzena","2ª Quinzena")</f>
        <v>1ª Quinzena</v>
      </c>
      <c r="AB28" s="56" t="str">
        <f>UPPER(TEXT(Tabela1[[#This Row],[Informe a data]],"mmmm"))</f>
        <v>JANEIRO</v>
      </c>
      <c r="AC28" s="87" t="e">
        <f ca="1">_xlfn.CONCAT(Tabela1[[#This Row],[Selecione o Usuário]]," - ",TEXT(Tabela1[[#This Row],[Informe a data]],"dd-mm-aa"))</f>
        <v>#NAME?</v>
      </c>
    </row>
    <row r="29" spans="1:29" ht="69">
      <c r="A29" s="59">
        <v>46037.748229166667</v>
      </c>
      <c r="B29" s="60" t="s">
        <v>140</v>
      </c>
      <c r="C29" s="60" t="s">
        <v>141</v>
      </c>
      <c r="D29" s="60" t="s">
        <v>169</v>
      </c>
      <c r="E29" s="61">
        <v>46037</v>
      </c>
      <c r="F29" s="60">
        <v>173440</v>
      </c>
      <c r="G29" s="60" t="s">
        <v>244</v>
      </c>
      <c r="H29" s="60">
        <v>173510</v>
      </c>
      <c r="I29" s="60" t="s">
        <v>245</v>
      </c>
      <c r="J29" s="84" t="s">
        <v>246</v>
      </c>
      <c r="K29" s="60"/>
      <c r="L29" s="60" t="s">
        <v>60</v>
      </c>
      <c r="M29" s="60"/>
      <c r="N29" s="60"/>
      <c r="O29" s="60"/>
      <c r="P29" s="60"/>
      <c r="Q29" s="60"/>
      <c r="R29" s="60"/>
      <c r="S29" s="60"/>
      <c r="T29" s="60"/>
      <c r="U29" s="54">
        <f>(Tabela1[[#This Row],[Informe o KM final do dia]]-Tabela1[[#This Row],[Informe o KM inicial do dia]])-Tabela1[[#This Row],[Caso tenha rodado particular alguma parte do trajeto, informe o total de KM a ser deduzido.]]</f>
        <v>70</v>
      </c>
      <c r="V29" s="55">
        <f>IF(Tabela1[[#This Row],[Informe a data]]&lt;DATE(2026,3,16), Tabela1[[#This Row],[KM Rodado]]*1.1, Tabela1[[#This Row],[KM Rodado]]*1.23)</f>
        <v>77</v>
      </c>
      <c r="W29" s="55">
        <f>IFERROR(SUBSTITUTE(Tabela1[[#This Row],[Pedágio]],".",",",1)*1,0)</f>
        <v>0</v>
      </c>
      <c r="X29" s="55">
        <f>IFERROR(SUBSTITUTE(Tabela1[[#This Row],[Estacionamento]],".",",",1)*1,0)</f>
        <v>0</v>
      </c>
      <c r="Y29" s="55">
        <f>IFERROR(SUBSTITUTE(Tabela1[[#This Row],[Despesas Diversas 
(Jantar em viagem, Impressões, Etc)]],".",",",1)*1,0)</f>
        <v>0</v>
      </c>
      <c r="Z29" s="55">
        <f>IFERROR(SUBSTITUTE(Tabela1[[#This Row],[Hospedagem]],".",",",1)*1,0)</f>
        <v>0</v>
      </c>
      <c r="AA29" s="56" t="str">
        <f>IF(DAY(Tabela1[[#This Row],[Informe a data]])&lt;=15,"1ª Quinzena","2ª Quinzena")</f>
        <v>1ª Quinzena</v>
      </c>
      <c r="AB29" s="56" t="str">
        <f>UPPER(TEXT(Tabela1[[#This Row],[Informe a data]],"mmmm"))</f>
        <v>JANEIRO</v>
      </c>
      <c r="AC29" s="57" t="e">
        <f ca="1">_xlfn.CONCAT(Tabela1[[#This Row],[Selecione o Usuário]]," - ",TEXT(Tabela1[[#This Row],[Informe a data]],"dd-mm-aa"))</f>
        <v>#NAME?</v>
      </c>
    </row>
    <row r="30" spans="1:29">
      <c r="A30" s="59">
        <v>46038.381678240738</v>
      </c>
      <c r="B30" s="60" t="s">
        <v>268</v>
      </c>
      <c r="C30" s="60" t="s">
        <v>135</v>
      </c>
      <c r="D30" s="60" t="s">
        <v>269</v>
      </c>
      <c r="E30" s="61">
        <v>46037</v>
      </c>
      <c r="F30" s="60">
        <v>105938</v>
      </c>
      <c r="G30" s="60" t="s">
        <v>270</v>
      </c>
      <c r="H30" s="60">
        <v>105978</v>
      </c>
      <c r="I30" s="60" t="s">
        <v>271</v>
      </c>
      <c r="J30" s="60" t="s">
        <v>272</v>
      </c>
      <c r="K30" s="60"/>
      <c r="L30" s="60" t="s">
        <v>60</v>
      </c>
      <c r="M30" s="60"/>
      <c r="N30" s="60"/>
      <c r="O30" s="60"/>
      <c r="P30" s="60"/>
      <c r="Q30" s="60"/>
      <c r="R30" s="60"/>
      <c r="S30" s="60"/>
      <c r="T30" s="60"/>
      <c r="U30" s="54">
        <f>(Tabela1[[#This Row],[Informe o KM final do dia]]-Tabela1[[#This Row],[Informe o KM inicial do dia]])-Tabela1[[#This Row],[Caso tenha rodado particular alguma parte do trajeto, informe o total de KM a ser deduzido.]]</f>
        <v>40</v>
      </c>
      <c r="V30" s="55">
        <f>IF(Tabela1[[#This Row],[Informe a data]]&lt;DATE(2026,3,16), Tabela1[[#This Row],[KM Rodado]]*1.1, Tabela1[[#This Row],[KM Rodado]]*1.23)</f>
        <v>44</v>
      </c>
      <c r="W30" s="55">
        <f>IFERROR(SUBSTITUTE(Tabela1[[#This Row],[Pedágio]],".",",",1)*1,0)</f>
        <v>0</v>
      </c>
      <c r="X30" s="55">
        <f>IFERROR(SUBSTITUTE(Tabela1[[#This Row],[Estacionamento]],".",",",1)*1,0)</f>
        <v>0</v>
      </c>
      <c r="Y30" s="55">
        <f>IFERROR(SUBSTITUTE(Tabela1[[#This Row],[Despesas Diversas 
(Jantar em viagem, Impressões, Etc)]],".",",",1)*1,0)</f>
        <v>0</v>
      </c>
      <c r="Z30" s="55">
        <f>IFERROR(SUBSTITUTE(Tabela1[[#This Row],[Hospedagem]],".",",",1)*1,0)</f>
        <v>0</v>
      </c>
      <c r="AA30" s="56" t="str">
        <f>IF(DAY(Tabela1[[#This Row],[Informe a data]])&lt;=15,"1ª Quinzena","2ª Quinzena")</f>
        <v>1ª Quinzena</v>
      </c>
      <c r="AB30" s="56" t="str">
        <f>UPPER(TEXT(Tabela1[[#This Row],[Informe a data]],"mmmm"))</f>
        <v>JANEIRO</v>
      </c>
      <c r="AC30" s="57" t="e">
        <f ca="1">_xlfn.CONCAT(Tabela1[[#This Row],[Selecione o Usuário]]," - ",TEXT(Tabela1[[#This Row],[Informe a data]],"dd-mm-aa"))</f>
        <v>#NAME?</v>
      </c>
    </row>
    <row r="31" spans="1:29">
      <c r="A31" s="59">
        <v>46038.797384259262</v>
      </c>
      <c r="B31" s="60" t="s">
        <v>131</v>
      </c>
      <c r="C31" s="60" t="s">
        <v>132</v>
      </c>
      <c r="D31" s="60" t="s">
        <v>133</v>
      </c>
      <c r="E31" s="61">
        <v>46038</v>
      </c>
      <c r="F31" s="60">
        <v>185799</v>
      </c>
      <c r="G31" s="60" t="s">
        <v>273</v>
      </c>
      <c r="H31" s="60">
        <v>185861</v>
      </c>
      <c r="I31" s="60" t="s">
        <v>274</v>
      </c>
      <c r="J31" s="60" t="s">
        <v>275</v>
      </c>
      <c r="K31" s="60"/>
      <c r="L31" s="60" t="s">
        <v>60</v>
      </c>
      <c r="M31" s="60"/>
      <c r="N31" s="60"/>
      <c r="O31" s="60"/>
      <c r="P31" s="60"/>
      <c r="Q31" s="60"/>
      <c r="R31" s="60"/>
      <c r="S31" s="60"/>
      <c r="T31" s="60"/>
      <c r="U31" s="85">
        <f>(Tabela1[[#This Row],[Informe o KM final do dia]]-Tabela1[[#This Row],[Informe o KM inicial do dia]])-Tabela1[[#This Row],[Caso tenha rodado particular alguma parte do trajeto, informe o total de KM a ser deduzido.]]</f>
        <v>62</v>
      </c>
      <c r="V31" s="55">
        <f>IF(Tabela1[[#This Row],[Informe a data]]&lt;DATE(2026,3,16), Tabela1[[#This Row],[KM Rodado]]*1.1, Tabela1[[#This Row],[KM Rodado]]*1.23)</f>
        <v>68.2</v>
      </c>
      <c r="W31" s="86">
        <f>IFERROR(SUBSTITUTE(Tabela1[[#This Row],[Pedágio]],".",",",1)*1,0)</f>
        <v>0</v>
      </c>
      <c r="X31" s="86">
        <f>IFERROR(SUBSTITUTE(Tabela1[[#This Row],[Estacionamento]],".",",",1)*1,0)</f>
        <v>0</v>
      </c>
      <c r="Y31" s="86">
        <f>IFERROR(SUBSTITUTE(Tabela1[[#This Row],[Despesas Diversas 
(Jantar em viagem, Impressões, Etc)]],".",",",1)*1,0)</f>
        <v>0</v>
      </c>
      <c r="Z31" s="86">
        <f>IFERROR(SUBSTITUTE(Tabela1[[#This Row],[Hospedagem]],".",",",1)*1,0)</f>
        <v>0</v>
      </c>
      <c r="AA31" s="56" t="str">
        <f>IF(DAY(Tabela1[[#This Row],[Informe a data]])&lt;=15,"1ª Quinzena","2ª Quinzena")</f>
        <v>2ª Quinzena</v>
      </c>
      <c r="AB31" s="56" t="str">
        <f>UPPER(TEXT(Tabela1[[#This Row],[Informe a data]],"mmmm"))</f>
        <v>JANEIRO</v>
      </c>
      <c r="AC31" s="87" t="e">
        <f ca="1">_xlfn.CONCAT(Tabela1[[#This Row],[Selecione o Usuário]]," - ",TEXT(Tabela1[[#This Row],[Informe a data]],"dd-mm-aa"))</f>
        <v>#NAME?</v>
      </c>
    </row>
    <row r="32" spans="1:29">
      <c r="A32" s="59">
        <v>46039.760983796295</v>
      </c>
      <c r="B32" s="60" t="s">
        <v>176</v>
      </c>
      <c r="C32" s="60" t="s">
        <v>136</v>
      </c>
      <c r="D32" s="60" t="s">
        <v>177</v>
      </c>
      <c r="E32" s="61">
        <v>46038</v>
      </c>
      <c r="F32" s="60">
        <v>168251</v>
      </c>
      <c r="G32" s="60" t="s">
        <v>279</v>
      </c>
      <c r="H32" s="60">
        <v>168360</v>
      </c>
      <c r="I32" s="60" t="s">
        <v>280</v>
      </c>
      <c r="J32" s="60" t="s">
        <v>281</v>
      </c>
      <c r="K32" s="60"/>
      <c r="L32" s="60" t="s">
        <v>60</v>
      </c>
      <c r="M32" s="60"/>
      <c r="N32" s="60"/>
      <c r="O32" s="60"/>
      <c r="P32" s="60"/>
      <c r="Q32" s="60"/>
      <c r="R32" s="60"/>
      <c r="S32" s="60"/>
      <c r="T32" s="60"/>
      <c r="U32" s="85">
        <f>(Tabela1[[#This Row],[Informe o KM final do dia]]-Tabela1[[#This Row],[Informe o KM inicial do dia]])-Tabela1[[#This Row],[Caso tenha rodado particular alguma parte do trajeto, informe o total de KM a ser deduzido.]]</f>
        <v>109</v>
      </c>
      <c r="V32" s="55">
        <f>IF(Tabela1[[#This Row],[Informe a data]]&lt;DATE(2026,3,16), Tabela1[[#This Row],[KM Rodado]]*1.1, Tabela1[[#This Row],[KM Rodado]]*1.23)</f>
        <v>119.9</v>
      </c>
      <c r="W32" s="86">
        <f>IFERROR(SUBSTITUTE(Tabela1[[#This Row],[Pedágio]],".",",",1)*1,0)</f>
        <v>0</v>
      </c>
      <c r="X32" s="86">
        <f>IFERROR(SUBSTITUTE(Tabela1[[#This Row],[Estacionamento]],".",",",1)*1,0)</f>
        <v>0</v>
      </c>
      <c r="Y32" s="86">
        <f>IFERROR(SUBSTITUTE(Tabela1[[#This Row],[Despesas Diversas 
(Jantar em viagem, Impressões, Etc)]],".",",",1)*1,0)</f>
        <v>0</v>
      </c>
      <c r="Z32" s="86">
        <f>IFERROR(SUBSTITUTE(Tabela1[[#This Row],[Hospedagem]],".",",",1)*1,0)</f>
        <v>0</v>
      </c>
      <c r="AA32" s="56" t="str">
        <f>IF(DAY(Tabela1[[#This Row],[Informe a data]])&lt;=15,"1ª Quinzena","2ª Quinzena")</f>
        <v>2ª Quinzena</v>
      </c>
      <c r="AB32" s="56" t="str">
        <f>UPPER(TEXT(Tabela1[[#This Row],[Informe a data]],"mmmm"))</f>
        <v>JANEIRO</v>
      </c>
      <c r="AC32" s="87" t="e">
        <f ca="1">_xlfn.CONCAT(Tabela1[[#This Row],[Selecione o Usuário]]," - ",TEXT(Tabela1[[#This Row],[Informe a data]],"dd-mm-aa"))</f>
        <v>#NAME?</v>
      </c>
    </row>
    <row r="33" spans="1:29">
      <c r="A33" s="59">
        <v>46041.508819444447</v>
      </c>
      <c r="B33" s="60" t="s">
        <v>140</v>
      </c>
      <c r="C33" s="60" t="s">
        <v>141</v>
      </c>
      <c r="D33" s="60" t="s">
        <v>169</v>
      </c>
      <c r="E33" s="61">
        <v>46038</v>
      </c>
      <c r="F33" s="60">
        <v>173510</v>
      </c>
      <c r="G33" s="60" t="s">
        <v>285</v>
      </c>
      <c r="H33" s="60">
        <v>173601</v>
      </c>
      <c r="I33" s="60" t="s">
        <v>286</v>
      </c>
      <c r="J33" s="60" t="s">
        <v>287</v>
      </c>
      <c r="K33" s="60"/>
      <c r="L33" s="60" t="s">
        <v>60</v>
      </c>
      <c r="M33" s="60"/>
      <c r="N33" s="60"/>
      <c r="O33" s="60"/>
      <c r="P33" s="60"/>
      <c r="Q33" s="60"/>
      <c r="R33" s="60"/>
      <c r="S33" s="60"/>
      <c r="T33" s="60"/>
      <c r="U33" s="85">
        <f>(Tabela1[[#This Row],[Informe o KM final do dia]]-Tabela1[[#This Row],[Informe o KM inicial do dia]])-Tabela1[[#This Row],[Caso tenha rodado particular alguma parte do trajeto, informe o total de KM a ser deduzido.]]</f>
        <v>91</v>
      </c>
      <c r="V33" s="55">
        <f>IF(Tabela1[[#This Row],[Informe a data]]&lt;DATE(2026,3,16), Tabela1[[#This Row],[KM Rodado]]*1.1, Tabela1[[#This Row],[KM Rodado]]*1.23)</f>
        <v>100.10000000000001</v>
      </c>
      <c r="W33" s="86">
        <f>IFERROR(SUBSTITUTE(Tabela1[[#This Row],[Pedágio]],".",",",1)*1,0)</f>
        <v>0</v>
      </c>
      <c r="X33" s="86">
        <f>IFERROR(SUBSTITUTE(Tabela1[[#This Row],[Estacionamento]],".",",",1)*1,0)</f>
        <v>0</v>
      </c>
      <c r="Y33" s="86">
        <f>IFERROR(SUBSTITUTE(Tabela1[[#This Row],[Despesas Diversas 
(Jantar em viagem, Impressões, Etc)]],".",",",1)*1,0)</f>
        <v>0</v>
      </c>
      <c r="Z33" s="86">
        <f>IFERROR(SUBSTITUTE(Tabela1[[#This Row],[Hospedagem]],".",",",1)*1,0)</f>
        <v>0</v>
      </c>
      <c r="AA33" s="56" t="str">
        <f>IF(DAY(Tabela1[[#This Row],[Informe a data]])&lt;=15,"1ª Quinzena","2ª Quinzena")</f>
        <v>2ª Quinzena</v>
      </c>
      <c r="AB33" s="56" t="str">
        <f>UPPER(TEXT(Tabela1[[#This Row],[Informe a data]],"mmmm"))</f>
        <v>JANEIRO</v>
      </c>
      <c r="AC33" s="87" t="e">
        <f ca="1">_xlfn.CONCAT(Tabela1[[#This Row],[Selecione o Usuário]]," - ",TEXT(Tabela1[[#This Row],[Informe a data]],"dd-mm-aa"))</f>
        <v>#NAME?</v>
      </c>
    </row>
    <row r="34" spans="1:29">
      <c r="A34" s="59">
        <v>46040.086435185185</v>
      </c>
      <c r="B34" s="60" t="s">
        <v>226</v>
      </c>
      <c r="C34" s="60" t="s">
        <v>227</v>
      </c>
      <c r="D34" s="60" t="s">
        <v>228</v>
      </c>
      <c r="E34" s="61">
        <v>46039</v>
      </c>
      <c r="F34" s="60">
        <v>117705</v>
      </c>
      <c r="G34" s="60" t="s">
        <v>282</v>
      </c>
      <c r="H34" s="60">
        <v>117852</v>
      </c>
      <c r="I34" s="60" t="s">
        <v>283</v>
      </c>
      <c r="J34" s="60" t="s">
        <v>284</v>
      </c>
      <c r="K34" s="60">
        <v>43</v>
      </c>
      <c r="L34" s="60" t="s">
        <v>60</v>
      </c>
      <c r="M34" s="60"/>
      <c r="N34" s="60"/>
      <c r="O34" s="60"/>
      <c r="P34" s="60"/>
      <c r="Q34" s="60"/>
      <c r="R34" s="60"/>
      <c r="S34" s="60"/>
      <c r="T34" s="60"/>
      <c r="U34" s="85">
        <f>(Tabela1[[#This Row],[Informe o KM final do dia]]-Tabela1[[#This Row],[Informe o KM inicial do dia]])-Tabela1[[#This Row],[Caso tenha rodado particular alguma parte do trajeto, informe o total de KM a ser deduzido.]]</f>
        <v>104</v>
      </c>
      <c r="V34" s="55">
        <f>IF(Tabela1[[#This Row],[Informe a data]]&lt;DATE(2026,3,16), Tabela1[[#This Row],[KM Rodado]]*1.1, Tabela1[[#This Row],[KM Rodado]]*1.23)</f>
        <v>114.4</v>
      </c>
      <c r="W34" s="86">
        <f>IFERROR(SUBSTITUTE(Tabela1[[#This Row],[Pedágio]],".",",",1)*1,0)</f>
        <v>0</v>
      </c>
      <c r="X34" s="86">
        <f>IFERROR(SUBSTITUTE(Tabela1[[#This Row],[Estacionamento]],".",",",1)*1,0)</f>
        <v>0</v>
      </c>
      <c r="Y34" s="86">
        <f>IFERROR(SUBSTITUTE(Tabela1[[#This Row],[Despesas Diversas 
(Jantar em viagem, Impressões, Etc)]],".",",",1)*1,0)</f>
        <v>0</v>
      </c>
      <c r="Z34" s="86">
        <f>IFERROR(SUBSTITUTE(Tabela1[[#This Row],[Hospedagem]],".",",",1)*1,0)</f>
        <v>0</v>
      </c>
      <c r="AA34" s="56" t="str">
        <f>IF(DAY(Tabela1[[#This Row],[Informe a data]])&lt;=15,"1ª Quinzena","2ª Quinzena")</f>
        <v>2ª Quinzena</v>
      </c>
      <c r="AB34" s="56" t="str">
        <f>UPPER(TEXT(Tabela1[[#This Row],[Informe a data]],"mmmm"))</f>
        <v>JANEIRO</v>
      </c>
      <c r="AC34" s="87" t="e">
        <f ca="1">_xlfn.CONCAT(Tabela1[[#This Row],[Selecione o Usuário]]," - ",TEXT(Tabela1[[#This Row],[Informe a data]],"dd-mm-aa"))</f>
        <v>#NAME?</v>
      </c>
    </row>
    <row r="35" spans="1:29">
      <c r="A35" s="59">
        <v>46042.938738425924</v>
      </c>
      <c r="B35" s="60" t="s">
        <v>131</v>
      </c>
      <c r="C35" s="60" t="s">
        <v>132</v>
      </c>
      <c r="D35" s="60" t="s">
        <v>133</v>
      </c>
      <c r="E35" s="61">
        <v>46042</v>
      </c>
      <c r="F35" s="60">
        <v>185868</v>
      </c>
      <c r="G35" s="60" t="s">
        <v>288</v>
      </c>
      <c r="H35" s="60">
        <v>186075</v>
      </c>
      <c r="I35" s="60" t="s">
        <v>289</v>
      </c>
      <c r="J35" s="60" t="s">
        <v>290</v>
      </c>
      <c r="K35" s="60"/>
      <c r="L35" s="60" t="s">
        <v>61</v>
      </c>
      <c r="M35" s="60" t="s">
        <v>291</v>
      </c>
      <c r="N35" s="60" t="s">
        <v>292</v>
      </c>
      <c r="O35" s="60"/>
      <c r="P35" s="60"/>
      <c r="Q35" s="60" t="s">
        <v>293</v>
      </c>
      <c r="R35" s="60" t="s">
        <v>294</v>
      </c>
      <c r="S35" s="60"/>
      <c r="T35" s="60"/>
      <c r="U35" s="85">
        <f>(Tabela1[[#This Row],[Informe o KM final do dia]]-Tabela1[[#This Row],[Informe o KM inicial do dia]])-Tabela1[[#This Row],[Caso tenha rodado particular alguma parte do trajeto, informe o total de KM a ser deduzido.]]</f>
        <v>207</v>
      </c>
      <c r="V35" s="55">
        <f>IF(Tabela1[[#This Row],[Informe a data]]&lt;DATE(2026,3,16), Tabela1[[#This Row],[KM Rodado]]*1.1, Tabela1[[#This Row],[KM Rodado]]*1.23)</f>
        <v>227.70000000000002</v>
      </c>
      <c r="W35" s="86">
        <f>IFERROR(SUBSTITUTE(Tabela1[[#This Row],[Pedágio]],".",",",1)*1,0)</f>
        <v>5.7</v>
      </c>
      <c r="X35" s="86">
        <f>IFERROR(SUBSTITUTE(Tabela1[[#This Row],[Estacionamento]],".",",",1)*1,0)</f>
        <v>0</v>
      </c>
      <c r="Y35" s="86">
        <f>IFERROR(SUBSTITUTE(Tabela1[[#This Row],[Despesas Diversas 
(Jantar em viagem, Impressões, Etc)]],".",",",1)*1,0)</f>
        <v>36</v>
      </c>
      <c r="Z35" s="86">
        <f>IFERROR(SUBSTITUTE(Tabela1[[#This Row],[Hospedagem]],".",",",1)*1,0)</f>
        <v>0</v>
      </c>
      <c r="AA35" s="56" t="str">
        <f>IF(DAY(Tabela1[[#This Row],[Informe a data]])&lt;=15,"1ª Quinzena","2ª Quinzena")</f>
        <v>2ª Quinzena</v>
      </c>
      <c r="AB35" s="56" t="str">
        <f>UPPER(TEXT(Tabela1[[#This Row],[Informe a data]],"mmmm"))</f>
        <v>JANEIRO</v>
      </c>
      <c r="AC35" s="87" t="e">
        <f ca="1">_xlfn.CONCAT(Tabela1[[#This Row],[Selecione o Usuário]]," - ",TEXT(Tabela1[[#This Row],[Informe a data]],"dd-mm-aa"))</f>
        <v>#NAME?</v>
      </c>
    </row>
    <row r="36" spans="1:29">
      <c r="A36" s="59">
        <v>46043.575613425928</v>
      </c>
      <c r="B36" s="60" t="s">
        <v>226</v>
      </c>
      <c r="C36" s="60" t="s">
        <v>227</v>
      </c>
      <c r="D36" s="60" t="s">
        <v>228</v>
      </c>
      <c r="E36" s="61">
        <v>46042</v>
      </c>
      <c r="F36" s="60">
        <v>117878</v>
      </c>
      <c r="G36" s="60" t="s">
        <v>295</v>
      </c>
      <c r="H36" s="60">
        <v>117979</v>
      </c>
      <c r="I36" s="60" t="s">
        <v>296</v>
      </c>
      <c r="J36" s="60" t="s">
        <v>297</v>
      </c>
      <c r="K36" s="60"/>
      <c r="L36" s="60" t="s">
        <v>61</v>
      </c>
      <c r="M36" s="60"/>
      <c r="N36" s="60"/>
      <c r="O36" s="60"/>
      <c r="P36" s="60"/>
      <c r="Q36" s="60" t="s">
        <v>298</v>
      </c>
      <c r="R36" s="60" t="s">
        <v>299</v>
      </c>
      <c r="S36" s="60"/>
      <c r="T36" s="60"/>
      <c r="U36" s="85">
        <f>(Tabela1[[#This Row],[Informe o KM final do dia]]-Tabela1[[#This Row],[Informe o KM inicial do dia]])-Tabela1[[#This Row],[Caso tenha rodado particular alguma parte do trajeto, informe o total de KM a ser deduzido.]]</f>
        <v>101</v>
      </c>
      <c r="V36" s="55">
        <f>IF(Tabela1[[#This Row],[Informe a data]]&lt;DATE(2026,3,16), Tabela1[[#This Row],[KM Rodado]]*1.1, Tabela1[[#This Row],[KM Rodado]]*1.23)</f>
        <v>111.10000000000001</v>
      </c>
      <c r="W36" s="86">
        <f>IFERROR(SUBSTITUTE(Tabela1[[#This Row],[Pedágio]],".",",",1)*1,0)</f>
        <v>0</v>
      </c>
      <c r="X36" s="86">
        <f>IFERROR(SUBSTITUTE(Tabela1[[#This Row],[Estacionamento]],".",",",1)*1,0)</f>
        <v>0</v>
      </c>
      <c r="Y36" s="86">
        <f>IFERROR(SUBSTITUTE(Tabela1[[#This Row],[Despesas Diversas 
(Jantar em viagem, Impressões, Etc)]],".",",",1)*1,0)</f>
        <v>16.2</v>
      </c>
      <c r="Z36" s="86">
        <f>IFERROR(SUBSTITUTE(Tabela1[[#This Row],[Hospedagem]],".",",",1)*1,0)</f>
        <v>0</v>
      </c>
      <c r="AA36" s="56" t="str">
        <f>IF(DAY(Tabela1[[#This Row],[Informe a data]])&lt;=15,"1ª Quinzena","2ª Quinzena")</f>
        <v>2ª Quinzena</v>
      </c>
      <c r="AB36" s="56" t="str">
        <f>UPPER(TEXT(Tabela1[[#This Row],[Informe a data]],"mmmm"))</f>
        <v>JANEIRO</v>
      </c>
      <c r="AC36" s="87" t="e">
        <f ca="1">_xlfn.CONCAT(Tabela1[[#This Row],[Selecione o Usuário]]," - ",TEXT(Tabela1[[#This Row],[Informe a data]],"dd-mm-aa"))</f>
        <v>#NAME?</v>
      </c>
    </row>
    <row r="37" spans="1:29">
      <c r="A37" s="59">
        <v>46044.329259259262</v>
      </c>
      <c r="B37" s="60" t="s">
        <v>300</v>
      </c>
      <c r="C37" s="60" t="s">
        <v>250</v>
      </c>
      <c r="D37" s="60" t="s">
        <v>301</v>
      </c>
      <c r="E37" s="61">
        <v>46043</v>
      </c>
      <c r="F37" s="60">
        <v>117979</v>
      </c>
      <c r="G37" s="60" t="s">
        <v>302</v>
      </c>
      <c r="H37" s="60">
        <v>118048</v>
      </c>
      <c r="I37" s="60" t="s">
        <v>303</v>
      </c>
      <c r="J37" s="60" t="s">
        <v>304</v>
      </c>
      <c r="K37" s="60"/>
      <c r="L37" s="60" t="s">
        <v>60</v>
      </c>
      <c r="M37" s="60"/>
      <c r="N37" s="60"/>
      <c r="O37" s="60"/>
      <c r="P37" s="60"/>
      <c r="Q37" s="60"/>
      <c r="R37" s="60"/>
      <c r="S37" s="60"/>
      <c r="T37" s="60"/>
      <c r="U37" s="85">
        <f>(Tabela1[[#This Row],[Informe o KM final do dia]]-Tabela1[[#This Row],[Informe o KM inicial do dia]])-Tabela1[[#This Row],[Caso tenha rodado particular alguma parte do trajeto, informe o total de KM a ser deduzido.]]</f>
        <v>69</v>
      </c>
      <c r="V37" s="55">
        <f>IF(Tabela1[[#This Row],[Informe a data]]&lt;DATE(2026,3,16), Tabela1[[#This Row],[KM Rodado]]*1.1, Tabela1[[#This Row],[KM Rodado]]*1.23)</f>
        <v>75.900000000000006</v>
      </c>
      <c r="W37" s="86">
        <f>IFERROR(SUBSTITUTE(Tabela1[[#This Row],[Pedágio]],".",",",1)*1,0)</f>
        <v>0</v>
      </c>
      <c r="X37" s="86">
        <f>IFERROR(SUBSTITUTE(Tabela1[[#This Row],[Estacionamento]],".",",",1)*1,0)</f>
        <v>0</v>
      </c>
      <c r="Y37" s="86">
        <f>IFERROR(SUBSTITUTE(Tabela1[[#This Row],[Despesas Diversas 
(Jantar em viagem, Impressões, Etc)]],".",",",1)*1,0)</f>
        <v>0</v>
      </c>
      <c r="Z37" s="86">
        <f>IFERROR(SUBSTITUTE(Tabela1[[#This Row],[Hospedagem]],".",",",1)*1,0)</f>
        <v>0</v>
      </c>
      <c r="AA37" s="56" t="str">
        <f>IF(DAY(Tabela1[[#This Row],[Informe a data]])&lt;=15,"1ª Quinzena","2ª Quinzena")</f>
        <v>2ª Quinzena</v>
      </c>
      <c r="AB37" s="56" t="str">
        <f>UPPER(TEXT(Tabela1[[#This Row],[Informe a data]],"mmmm"))</f>
        <v>JANEIRO</v>
      </c>
      <c r="AC37" s="87" t="e">
        <f ca="1">_xlfn.CONCAT(Tabela1[[#This Row],[Selecione o Usuário]]," - ",TEXT(Tabela1[[#This Row],[Informe a data]],"dd-mm-aa"))</f>
        <v>#NAME?</v>
      </c>
    </row>
    <row r="38" spans="1:29">
      <c r="A38" s="59">
        <v>46050.566377314812</v>
      </c>
      <c r="B38" s="60" t="s">
        <v>190</v>
      </c>
      <c r="C38" s="60" t="s">
        <v>135</v>
      </c>
      <c r="D38" s="60" t="s">
        <v>269</v>
      </c>
      <c r="E38" s="61">
        <v>46043</v>
      </c>
      <c r="F38" s="60">
        <v>105979</v>
      </c>
      <c r="G38" s="60" t="s">
        <v>351</v>
      </c>
      <c r="H38" s="60">
        <v>106037</v>
      </c>
      <c r="I38" s="60" t="s">
        <v>352</v>
      </c>
      <c r="J38" s="60" t="s">
        <v>353</v>
      </c>
      <c r="K38" s="60"/>
      <c r="L38" s="60" t="s">
        <v>60</v>
      </c>
      <c r="M38" s="60"/>
      <c r="N38" s="60"/>
      <c r="O38" s="60"/>
      <c r="P38" s="60"/>
      <c r="Q38" s="60"/>
      <c r="R38" s="60"/>
      <c r="S38" s="60"/>
      <c r="T38" s="60"/>
      <c r="U38" s="85">
        <f>(Tabela1[[#This Row],[Informe o KM final do dia]]-Tabela1[[#This Row],[Informe o KM inicial do dia]])-Tabela1[[#This Row],[Caso tenha rodado particular alguma parte do trajeto, informe o total de KM a ser deduzido.]]</f>
        <v>58</v>
      </c>
      <c r="V38" s="55">
        <f>IF(Tabela1[[#This Row],[Informe a data]]&lt;DATE(2026,3,16), Tabela1[[#This Row],[KM Rodado]]*1.1, Tabela1[[#This Row],[KM Rodado]]*1.23)</f>
        <v>63.800000000000004</v>
      </c>
      <c r="W38" s="86">
        <f>IFERROR(SUBSTITUTE(Tabela1[[#This Row],[Pedágio]],".",",",1)*1,0)</f>
        <v>0</v>
      </c>
      <c r="X38" s="86">
        <f>IFERROR(SUBSTITUTE(Tabela1[[#This Row],[Estacionamento]],".",",",1)*1,0)</f>
        <v>0</v>
      </c>
      <c r="Y38" s="86">
        <f>IFERROR(SUBSTITUTE(Tabela1[[#This Row],[Despesas Diversas 
(Jantar em viagem, Impressões, Etc)]],".",",",1)*1,0)</f>
        <v>0</v>
      </c>
      <c r="Z38" s="86">
        <f>IFERROR(SUBSTITUTE(Tabela1[[#This Row],[Hospedagem]],".",",",1)*1,0)</f>
        <v>0</v>
      </c>
      <c r="AA38" s="56" t="str">
        <f>IF(DAY(Tabela1[[#This Row],[Informe a data]])&lt;=15,"1ª Quinzena","2ª Quinzena")</f>
        <v>2ª Quinzena</v>
      </c>
      <c r="AB38" s="56" t="str">
        <f>UPPER(TEXT(Tabela1[[#This Row],[Informe a data]],"mmmm"))</f>
        <v>JANEIRO</v>
      </c>
      <c r="AC38" s="87" t="e">
        <f ca="1">_xlfn.CONCAT(Tabela1[[#This Row],[Selecione o Usuário]]," - ",TEXT(Tabela1[[#This Row],[Informe a data]],"dd-mm-aa"))</f>
        <v>#NAME?</v>
      </c>
    </row>
    <row r="39" spans="1:29">
      <c r="A39" s="59">
        <v>46050.580381944441</v>
      </c>
      <c r="B39" s="60" t="s">
        <v>190</v>
      </c>
      <c r="C39" s="60" t="s">
        <v>135</v>
      </c>
      <c r="D39" s="60" t="s">
        <v>198</v>
      </c>
      <c r="E39" s="61">
        <v>46043</v>
      </c>
      <c r="F39" s="60">
        <v>106037</v>
      </c>
      <c r="G39" s="60" t="s">
        <v>363</v>
      </c>
      <c r="H39" s="60">
        <v>106074</v>
      </c>
      <c r="I39" s="60" t="s">
        <v>364</v>
      </c>
      <c r="J39" s="60" t="s">
        <v>365</v>
      </c>
      <c r="K39" s="60"/>
      <c r="L39" s="60" t="s">
        <v>60</v>
      </c>
      <c r="M39" s="60"/>
      <c r="N39" s="60"/>
      <c r="O39" s="60"/>
      <c r="P39" s="60"/>
      <c r="Q39" s="60"/>
      <c r="R39" s="60"/>
      <c r="S39" s="60"/>
      <c r="T39" s="60"/>
      <c r="U39" s="85">
        <f>(Tabela1[[#This Row],[Informe o KM final do dia]]-Tabela1[[#This Row],[Informe o KM inicial do dia]])-Tabela1[[#This Row],[Caso tenha rodado particular alguma parte do trajeto, informe o total de KM a ser deduzido.]]</f>
        <v>37</v>
      </c>
      <c r="V39" s="55">
        <f>IF(Tabela1[[#This Row],[Informe a data]]&lt;DATE(2026,3,16), Tabela1[[#This Row],[KM Rodado]]*1.1, Tabela1[[#This Row],[KM Rodado]]*1.23)</f>
        <v>40.700000000000003</v>
      </c>
      <c r="W39" s="86">
        <f>IFERROR(SUBSTITUTE(Tabela1[[#This Row],[Pedágio]],".",",",1)*1,0)</f>
        <v>0</v>
      </c>
      <c r="X39" s="86">
        <f>IFERROR(SUBSTITUTE(Tabela1[[#This Row],[Estacionamento]],".",",",1)*1,0)</f>
        <v>0</v>
      </c>
      <c r="Y39" s="86">
        <f>IFERROR(SUBSTITUTE(Tabela1[[#This Row],[Despesas Diversas 
(Jantar em viagem, Impressões, Etc)]],".",",",1)*1,0)</f>
        <v>0</v>
      </c>
      <c r="Z39" s="86">
        <f>IFERROR(SUBSTITUTE(Tabela1[[#This Row],[Hospedagem]],".",",",1)*1,0)</f>
        <v>0</v>
      </c>
      <c r="AA39" s="56" t="str">
        <f>IF(DAY(Tabela1[[#This Row],[Informe a data]])&lt;=15,"1ª Quinzena","2ª Quinzena")</f>
        <v>2ª Quinzena</v>
      </c>
      <c r="AB39" s="56" t="str">
        <f>UPPER(TEXT(Tabela1[[#This Row],[Informe a data]],"mmmm"))</f>
        <v>JANEIRO</v>
      </c>
      <c r="AC39" s="87" t="e">
        <f ca="1">_xlfn.CONCAT(Tabela1[[#This Row],[Selecione o Usuário]]," - ",TEXT(Tabela1[[#This Row],[Informe a data]],"dd-mm-aa"))</f>
        <v>#NAME?</v>
      </c>
    </row>
    <row r="40" spans="1:29">
      <c r="A40" s="59">
        <v>46044.386828703704</v>
      </c>
      <c r="B40" s="60" t="s">
        <v>131</v>
      </c>
      <c r="C40" s="60" t="s">
        <v>132</v>
      </c>
      <c r="D40" s="60" t="s">
        <v>133</v>
      </c>
      <c r="E40" s="61">
        <v>46044</v>
      </c>
      <c r="F40" s="60">
        <v>185868</v>
      </c>
      <c r="G40" s="60" t="s">
        <v>305</v>
      </c>
      <c r="H40" s="60">
        <v>186244</v>
      </c>
      <c r="I40" s="60" t="s">
        <v>306</v>
      </c>
      <c r="J40" s="60" t="s">
        <v>307</v>
      </c>
      <c r="K40" s="60"/>
      <c r="L40" s="60" t="s">
        <v>61</v>
      </c>
      <c r="M40" s="60" t="s">
        <v>291</v>
      </c>
      <c r="N40" s="60" t="s">
        <v>308</v>
      </c>
      <c r="O40" s="60"/>
      <c r="P40" s="60"/>
      <c r="Q40" s="60"/>
      <c r="R40" s="60" t="s">
        <v>309</v>
      </c>
      <c r="S40" s="60" t="s">
        <v>310</v>
      </c>
      <c r="T40" s="60"/>
      <c r="U40" s="85">
        <f>(Tabela1[[#This Row],[Informe o KM final do dia]]-Tabela1[[#This Row],[Informe o KM inicial do dia]])-Tabela1[[#This Row],[Caso tenha rodado particular alguma parte do trajeto, informe o total de KM a ser deduzido.]]</f>
        <v>376</v>
      </c>
      <c r="V40" s="55">
        <f>IF(Tabela1[[#This Row],[Informe a data]]&lt;DATE(2026,3,16), Tabela1[[#This Row],[KM Rodado]]*1.1, Tabela1[[#This Row],[KM Rodado]]*1.23)</f>
        <v>413.6</v>
      </c>
      <c r="W40" s="86">
        <f>IFERROR(SUBSTITUTE(Tabela1[[#This Row],[Pedágio]],".",",",1)*1,0)</f>
        <v>5.7</v>
      </c>
      <c r="X40" s="86">
        <f>IFERROR(SUBSTITUTE(Tabela1[[#This Row],[Estacionamento]],".",",",1)*1,0)</f>
        <v>0</v>
      </c>
      <c r="Y40" s="86">
        <f>IFERROR(SUBSTITUTE(Tabela1[[#This Row],[Despesas Diversas 
(Jantar em viagem, Impressões, Etc)]],".",",",1)*1,0)</f>
        <v>0</v>
      </c>
      <c r="Z40" s="86">
        <f>IFERROR(SUBSTITUTE(Tabela1[[#This Row],[Hospedagem]],".",",",1)*1,0)</f>
        <v>221.45</v>
      </c>
      <c r="AA40" s="56" t="str">
        <f>IF(DAY(Tabela1[[#This Row],[Informe a data]])&lt;=15,"1ª Quinzena","2ª Quinzena")</f>
        <v>2ª Quinzena</v>
      </c>
      <c r="AB40" s="56" t="str">
        <f>UPPER(TEXT(Tabela1[[#This Row],[Informe a data]],"mmmm"))</f>
        <v>JANEIRO</v>
      </c>
      <c r="AC40" s="87" t="e">
        <f ca="1">_xlfn.CONCAT(Tabela1[[#This Row],[Selecione o Usuário]]," - ",TEXT(Tabela1[[#This Row],[Informe a data]],"dd-mm-aa"))</f>
        <v>#NAME?</v>
      </c>
    </row>
    <row r="41" spans="1:29">
      <c r="A41" s="59">
        <v>46044.980497685188</v>
      </c>
      <c r="B41" s="60" t="s">
        <v>131</v>
      </c>
      <c r="C41" s="60" t="s">
        <v>132</v>
      </c>
      <c r="D41" s="60" t="s">
        <v>133</v>
      </c>
      <c r="E41" s="61">
        <v>46044</v>
      </c>
      <c r="F41" s="60">
        <v>186244</v>
      </c>
      <c r="G41" s="60" t="s">
        <v>314</v>
      </c>
      <c r="H41" s="60">
        <v>186271</v>
      </c>
      <c r="I41" s="60" t="s">
        <v>315</v>
      </c>
      <c r="J41" s="60" t="s">
        <v>316</v>
      </c>
      <c r="K41" s="60"/>
      <c r="L41" s="60" t="s">
        <v>61</v>
      </c>
      <c r="M41" s="60"/>
      <c r="N41" s="60"/>
      <c r="O41" s="60" t="s">
        <v>317</v>
      </c>
      <c r="P41" s="60" t="s">
        <v>318</v>
      </c>
      <c r="Q41" s="60"/>
      <c r="R41" s="60"/>
      <c r="S41" s="60"/>
      <c r="T41" s="60"/>
      <c r="U41" s="85">
        <f>(Tabela1[[#This Row],[Informe o KM final do dia]]-Tabela1[[#This Row],[Informe o KM inicial do dia]])-Tabela1[[#This Row],[Caso tenha rodado particular alguma parte do trajeto, informe o total de KM a ser deduzido.]]</f>
        <v>27</v>
      </c>
      <c r="V41" s="55">
        <f>IF(Tabela1[[#This Row],[Informe a data]]&lt;DATE(2026,3,16), Tabela1[[#This Row],[KM Rodado]]*1.1, Tabela1[[#This Row],[KM Rodado]]*1.23)</f>
        <v>29.700000000000003</v>
      </c>
      <c r="W41" s="86">
        <f>IFERROR(SUBSTITUTE(Tabela1[[#This Row],[Pedágio]],".",",",1)*1,0)</f>
        <v>0</v>
      </c>
      <c r="X41" s="86">
        <f>IFERROR(SUBSTITUTE(Tabela1[[#This Row],[Estacionamento]],".",",",1)*1,0)</f>
        <v>20</v>
      </c>
      <c r="Y41" s="86">
        <f>IFERROR(SUBSTITUTE(Tabela1[[#This Row],[Despesas Diversas 
(Jantar em viagem, Impressões, Etc)]],".",",",1)*1,0)</f>
        <v>0</v>
      </c>
      <c r="Z41" s="86">
        <f>IFERROR(SUBSTITUTE(Tabela1[[#This Row],[Hospedagem]],".",",",1)*1,0)</f>
        <v>0</v>
      </c>
      <c r="AA41" s="56" t="str">
        <f>IF(DAY(Tabela1[[#This Row],[Informe a data]])&lt;=15,"1ª Quinzena","2ª Quinzena")</f>
        <v>2ª Quinzena</v>
      </c>
      <c r="AB41" s="56" t="str">
        <f>UPPER(TEXT(Tabela1[[#This Row],[Informe a data]],"mmmm"))</f>
        <v>JANEIRO</v>
      </c>
      <c r="AC41" s="87" t="e">
        <f ca="1">_xlfn.CONCAT(Tabela1[[#This Row],[Selecione o Usuário]]," - ",TEXT(Tabela1[[#This Row],[Informe a data]],"dd-mm-aa"))</f>
        <v>#NAME?</v>
      </c>
    </row>
    <row r="42" spans="1:29">
      <c r="A42" s="59">
        <v>46044.891226851854</v>
      </c>
      <c r="B42" s="60" t="s">
        <v>300</v>
      </c>
      <c r="C42" s="60" t="s">
        <v>250</v>
      </c>
      <c r="D42" s="60" t="s">
        <v>301</v>
      </c>
      <c r="E42" s="61">
        <v>46044</v>
      </c>
      <c r="F42" s="60">
        <v>118050</v>
      </c>
      <c r="G42" s="60" t="s">
        <v>311</v>
      </c>
      <c r="H42" s="60">
        <v>118169</v>
      </c>
      <c r="I42" s="60" t="s">
        <v>312</v>
      </c>
      <c r="J42" s="60" t="s">
        <v>313</v>
      </c>
      <c r="K42" s="60"/>
      <c r="L42" s="60" t="s">
        <v>60</v>
      </c>
      <c r="M42" s="60"/>
      <c r="N42" s="60"/>
      <c r="O42" s="60"/>
      <c r="P42" s="60"/>
      <c r="Q42" s="60"/>
      <c r="R42" s="60"/>
      <c r="S42" s="60"/>
      <c r="T42" s="60"/>
      <c r="U42" s="85">
        <f>(Tabela1[[#This Row],[Informe o KM final do dia]]-Tabela1[[#This Row],[Informe o KM inicial do dia]])-Tabela1[[#This Row],[Caso tenha rodado particular alguma parte do trajeto, informe o total de KM a ser deduzido.]]</f>
        <v>119</v>
      </c>
      <c r="V42" s="55">
        <f>IF(Tabela1[[#This Row],[Informe a data]]&lt;DATE(2026,3,16), Tabela1[[#This Row],[KM Rodado]]*1.1, Tabela1[[#This Row],[KM Rodado]]*1.23)</f>
        <v>130.9</v>
      </c>
      <c r="W42" s="86">
        <f>IFERROR(SUBSTITUTE(Tabela1[[#This Row],[Pedágio]],".",",",1)*1,0)</f>
        <v>0</v>
      </c>
      <c r="X42" s="86">
        <f>IFERROR(SUBSTITUTE(Tabela1[[#This Row],[Estacionamento]],".",",",1)*1,0)</f>
        <v>0</v>
      </c>
      <c r="Y42" s="86">
        <f>IFERROR(SUBSTITUTE(Tabela1[[#This Row],[Despesas Diversas 
(Jantar em viagem, Impressões, Etc)]],".",",",1)*1,0)</f>
        <v>0</v>
      </c>
      <c r="Z42" s="86">
        <f>IFERROR(SUBSTITUTE(Tabela1[[#This Row],[Hospedagem]],".",",",1)*1,0)</f>
        <v>0</v>
      </c>
      <c r="AA42" s="56" t="str">
        <f>IF(DAY(Tabela1[[#This Row],[Informe a data]])&lt;=15,"1ª Quinzena","2ª Quinzena")</f>
        <v>2ª Quinzena</v>
      </c>
      <c r="AB42" s="56" t="str">
        <f>UPPER(TEXT(Tabela1[[#This Row],[Informe a data]],"mmmm"))</f>
        <v>JANEIRO</v>
      </c>
      <c r="AC42" s="87" t="e">
        <f ca="1">_xlfn.CONCAT(Tabela1[[#This Row],[Selecione o Usuário]]," - ",TEXT(Tabela1[[#This Row],[Informe a data]],"dd-mm-aa"))</f>
        <v>#NAME?</v>
      </c>
    </row>
    <row r="43" spans="1:29">
      <c r="A43" s="59">
        <v>46046.742037037038</v>
      </c>
      <c r="B43" s="60" t="s">
        <v>328</v>
      </c>
      <c r="C43" s="60" t="s">
        <v>141</v>
      </c>
      <c r="D43" s="60" t="s">
        <v>169</v>
      </c>
      <c r="E43" s="61">
        <v>46044</v>
      </c>
      <c r="F43" s="60">
        <v>173758</v>
      </c>
      <c r="G43" s="60" t="s">
        <v>329</v>
      </c>
      <c r="H43" s="60">
        <v>173852</v>
      </c>
      <c r="I43" s="60" t="s">
        <v>330</v>
      </c>
      <c r="J43" s="60" t="s">
        <v>331</v>
      </c>
      <c r="K43" s="60"/>
      <c r="L43" s="60" t="s">
        <v>60</v>
      </c>
      <c r="M43" s="60"/>
      <c r="N43" s="60"/>
      <c r="O43" s="60"/>
      <c r="P43" s="60"/>
      <c r="Q43" s="60"/>
      <c r="R43" s="60"/>
      <c r="S43" s="60"/>
      <c r="T43" s="60"/>
      <c r="U43" s="85">
        <f>(Tabela1[[#This Row],[Informe o KM final do dia]]-Tabela1[[#This Row],[Informe o KM inicial do dia]])-Tabela1[[#This Row],[Caso tenha rodado particular alguma parte do trajeto, informe o total de KM a ser deduzido.]]</f>
        <v>94</v>
      </c>
      <c r="V43" s="55">
        <f>IF(Tabela1[[#This Row],[Informe a data]]&lt;DATE(2026,3,16), Tabela1[[#This Row],[KM Rodado]]*1.1, Tabela1[[#This Row],[KM Rodado]]*1.23)</f>
        <v>103.4</v>
      </c>
      <c r="W43" s="86">
        <f>IFERROR(SUBSTITUTE(Tabela1[[#This Row],[Pedágio]],".",",",1)*1,0)</f>
        <v>0</v>
      </c>
      <c r="X43" s="86">
        <f>IFERROR(SUBSTITUTE(Tabela1[[#This Row],[Estacionamento]],".",",",1)*1,0)</f>
        <v>0</v>
      </c>
      <c r="Y43" s="86">
        <f>IFERROR(SUBSTITUTE(Tabela1[[#This Row],[Despesas Diversas 
(Jantar em viagem, Impressões, Etc)]],".",",",1)*1,0)</f>
        <v>0</v>
      </c>
      <c r="Z43" s="86">
        <f>IFERROR(SUBSTITUTE(Tabela1[[#This Row],[Hospedagem]],".",",",1)*1,0)</f>
        <v>0</v>
      </c>
      <c r="AA43" s="56" t="str">
        <f>IF(DAY(Tabela1[[#This Row],[Informe a data]])&lt;=15,"1ª Quinzena","2ª Quinzena")</f>
        <v>2ª Quinzena</v>
      </c>
      <c r="AB43" s="56" t="str">
        <f>UPPER(TEXT(Tabela1[[#This Row],[Informe a data]],"mmmm"))</f>
        <v>JANEIRO</v>
      </c>
      <c r="AC43" s="87" t="e">
        <f ca="1">_xlfn.CONCAT(Tabela1[[#This Row],[Selecione o Usuário]]," - ",TEXT(Tabela1[[#This Row],[Informe a data]],"dd-mm-aa"))</f>
        <v>#NAME?</v>
      </c>
    </row>
    <row r="44" spans="1:29">
      <c r="A44" s="59">
        <v>46045.714895833335</v>
      </c>
      <c r="B44" s="60" t="s">
        <v>131</v>
      </c>
      <c r="C44" s="60" t="s">
        <v>132</v>
      </c>
      <c r="D44" s="60" t="s">
        <v>133</v>
      </c>
      <c r="E44" s="61">
        <v>46045</v>
      </c>
      <c r="F44" s="60">
        <v>186271</v>
      </c>
      <c r="G44" s="60" t="s">
        <v>319</v>
      </c>
      <c r="H44" s="60">
        <v>186306</v>
      </c>
      <c r="I44" s="60" t="s">
        <v>320</v>
      </c>
      <c r="J44" s="60" t="s">
        <v>321</v>
      </c>
      <c r="K44" s="60"/>
      <c r="L44" s="60" t="s">
        <v>60</v>
      </c>
      <c r="M44" s="60"/>
      <c r="N44" s="60"/>
      <c r="O44" s="60"/>
      <c r="P44" s="60"/>
      <c r="Q44" s="60"/>
      <c r="R44" s="60"/>
      <c r="S44" s="60"/>
      <c r="T44" s="60"/>
      <c r="U44" s="85">
        <f>(Tabela1[[#This Row],[Informe o KM final do dia]]-Tabela1[[#This Row],[Informe o KM inicial do dia]])-Tabela1[[#This Row],[Caso tenha rodado particular alguma parte do trajeto, informe o total de KM a ser deduzido.]]</f>
        <v>35</v>
      </c>
      <c r="V44" s="55">
        <f>IF(Tabela1[[#This Row],[Informe a data]]&lt;DATE(2026,3,16), Tabela1[[#This Row],[KM Rodado]]*1.1, Tabela1[[#This Row],[KM Rodado]]*1.23)</f>
        <v>38.5</v>
      </c>
      <c r="W44" s="86">
        <f>IFERROR(SUBSTITUTE(Tabela1[[#This Row],[Pedágio]],".",",",1)*1,0)</f>
        <v>0</v>
      </c>
      <c r="X44" s="86">
        <f>IFERROR(SUBSTITUTE(Tabela1[[#This Row],[Estacionamento]],".",",",1)*1,0)</f>
        <v>0</v>
      </c>
      <c r="Y44" s="86">
        <f>IFERROR(SUBSTITUTE(Tabela1[[#This Row],[Despesas Diversas 
(Jantar em viagem, Impressões, Etc)]],".",",",1)*1,0)</f>
        <v>0</v>
      </c>
      <c r="Z44" s="86">
        <f>IFERROR(SUBSTITUTE(Tabela1[[#This Row],[Hospedagem]],".",",",1)*1,0)</f>
        <v>0</v>
      </c>
      <c r="AA44" s="56" t="str">
        <f>IF(DAY(Tabela1[[#This Row],[Informe a data]])&lt;=15,"1ª Quinzena","2ª Quinzena")</f>
        <v>2ª Quinzena</v>
      </c>
      <c r="AB44" s="56" t="str">
        <f>UPPER(TEXT(Tabela1[[#This Row],[Informe a data]],"mmmm"))</f>
        <v>JANEIRO</v>
      </c>
      <c r="AC44" s="87" t="e">
        <f ca="1">_xlfn.CONCAT(Tabela1[[#This Row],[Selecione o Usuário]]," - ",TEXT(Tabela1[[#This Row],[Informe a data]],"dd-mm-aa"))</f>
        <v>#NAME?</v>
      </c>
    </row>
    <row r="45" spans="1:29">
      <c r="A45" s="59">
        <v>46045.776759259257</v>
      </c>
      <c r="B45" s="60" t="s">
        <v>300</v>
      </c>
      <c r="C45" s="60" t="s">
        <v>250</v>
      </c>
      <c r="D45" s="60" t="s">
        <v>301</v>
      </c>
      <c r="E45" s="61">
        <v>46045</v>
      </c>
      <c r="F45" s="60">
        <v>118174</v>
      </c>
      <c r="G45" s="60" t="s">
        <v>322</v>
      </c>
      <c r="H45" s="60">
        <v>118341</v>
      </c>
      <c r="I45" s="60" t="s">
        <v>323</v>
      </c>
      <c r="J45" s="60" t="s">
        <v>324</v>
      </c>
      <c r="K45" s="60"/>
      <c r="L45" s="60" t="s">
        <v>61</v>
      </c>
      <c r="M45" s="60"/>
      <c r="N45" s="60"/>
      <c r="O45" s="60"/>
      <c r="P45" s="60"/>
      <c r="Q45" s="60" t="s">
        <v>325</v>
      </c>
      <c r="R45" s="60" t="s">
        <v>326</v>
      </c>
      <c r="S45" s="60"/>
      <c r="T45" s="60" t="s">
        <v>327</v>
      </c>
      <c r="U45" s="85">
        <f>(Tabela1[[#This Row],[Informe o KM final do dia]]-Tabela1[[#This Row],[Informe o KM inicial do dia]])-Tabela1[[#This Row],[Caso tenha rodado particular alguma parte do trajeto, informe o total de KM a ser deduzido.]]</f>
        <v>167</v>
      </c>
      <c r="V45" s="55">
        <f>IF(Tabela1[[#This Row],[Informe a data]]&lt;DATE(2026,3,16), Tabela1[[#This Row],[KM Rodado]]*1.1, Tabela1[[#This Row],[KM Rodado]]*1.23)</f>
        <v>183.70000000000002</v>
      </c>
      <c r="W45" s="86">
        <f>IFERROR(SUBSTITUTE(Tabela1[[#This Row],[Pedágio]],".",",",1)*1,0)</f>
        <v>0</v>
      </c>
      <c r="X45" s="86">
        <f>IFERROR(SUBSTITUTE(Tabela1[[#This Row],[Estacionamento]],".",",",1)*1,0)</f>
        <v>0</v>
      </c>
      <c r="Y45" s="86">
        <f>IFERROR(SUBSTITUTE(Tabela1[[#This Row],[Despesas Diversas 
(Jantar em viagem, Impressões, Etc)]],".",",",1)*1,0)</f>
        <v>9</v>
      </c>
      <c r="Z45" s="86">
        <f>IFERROR(SUBSTITUTE(Tabela1[[#This Row],[Hospedagem]],".",",",1)*1,0)</f>
        <v>0</v>
      </c>
      <c r="AA45" s="56" t="str">
        <f>IF(DAY(Tabela1[[#This Row],[Informe a data]])&lt;=15,"1ª Quinzena","2ª Quinzena")</f>
        <v>2ª Quinzena</v>
      </c>
      <c r="AB45" s="56" t="str">
        <f>UPPER(TEXT(Tabela1[[#This Row],[Informe a data]],"mmmm"))</f>
        <v>JANEIRO</v>
      </c>
      <c r="AC45" s="87" t="e">
        <f ca="1">_xlfn.CONCAT(Tabela1[[#This Row],[Selecione o Usuário]]," - ",TEXT(Tabela1[[#This Row],[Informe a data]],"dd-mm-aa"))</f>
        <v>#NAME?</v>
      </c>
    </row>
    <row r="46" spans="1:29">
      <c r="A46" s="59">
        <v>46048.910231481481</v>
      </c>
      <c r="B46" s="60" t="s">
        <v>176</v>
      </c>
      <c r="C46" s="60" t="s">
        <v>136</v>
      </c>
      <c r="D46" s="60" t="s">
        <v>177</v>
      </c>
      <c r="E46" s="61">
        <v>46045</v>
      </c>
      <c r="F46" s="60">
        <v>168367</v>
      </c>
      <c r="G46" s="60" t="s">
        <v>336</v>
      </c>
      <c r="H46" s="60">
        <v>168479</v>
      </c>
      <c r="I46" s="60" t="s">
        <v>337</v>
      </c>
      <c r="J46" s="60" t="s">
        <v>338</v>
      </c>
      <c r="K46" s="60"/>
      <c r="L46" s="60" t="s">
        <v>60</v>
      </c>
      <c r="M46" s="60"/>
      <c r="N46" s="60"/>
      <c r="O46" s="60"/>
      <c r="P46" s="60"/>
      <c r="Q46" s="60"/>
      <c r="R46" s="60"/>
      <c r="S46" s="60"/>
      <c r="T46" s="60"/>
      <c r="U46" s="85">
        <f>(Tabela1[[#This Row],[Informe o KM final do dia]]-Tabela1[[#This Row],[Informe o KM inicial do dia]])-Tabela1[[#This Row],[Caso tenha rodado particular alguma parte do trajeto, informe o total de KM a ser deduzido.]]</f>
        <v>112</v>
      </c>
      <c r="V46" s="55">
        <f>IF(Tabela1[[#This Row],[Informe a data]]&lt;DATE(2026,3,16), Tabela1[[#This Row],[KM Rodado]]*1.1, Tabela1[[#This Row],[KM Rodado]]*1.23)</f>
        <v>123.20000000000002</v>
      </c>
      <c r="W46" s="86">
        <f>IFERROR(SUBSTITUTE(Tabela1[[#This Row],[Pedágio]],".",",",1)*1,0)</f>
        <v>0</v>
      </c>
      <c r="X46" s="86">
        <f>IFERROR(SUBSTITUTE(Tabela1[[#This Row],[Estacionamento]],".",",",1)*1,0)</f>
        <v>0</v>
      </c>
      <c r="Y46" s="86">
        <f>IFERROR(SUBSTITUTE(Tabela1[[#This Row],[Despesas Diversas 
(Jantar em viagem, Impressões, Etc)]],".",",",1)*1,0)</f>
        <v>0</v>
      </c>
      <c r="Z46" s="86">
        <f>IFERROR(SUBSTITUTE(Tabela1[[#This Row],[Hospedagem]],".",",",1)*1,0)</f>
        <v>0</v>
      </c>
      <c r="AA46" s="56" t="str">
        <f>IF(DAY(Tabela1[[#This Row],[Informe a data]])&lt;=15,"1ª Quinzena","2ª Quinzena")</f>
        <v>2ª Quinzena</v>
      </c>
      <c r="AB46" s="56" t="str">
        <f>UPPER(TEXT(Tabela1[[#This Row],[Informe a data]],"mmmm"))</f>
        <v>JANEIRO</v>
      </c>
      <c r="AC46" s="87" t="e">
        <f ca="1">_xlfn.CONCAT(Tabela1[[#This Row],[Selecione o Usuário]]," - ",TEXT(Tabela1[[#This Row],[Informe a data]],"dd-mm-aa"))</f>
        <v>#NAME?</v>
      </c>
    </row>
    <row r="47" spans="1:29">
      <c r="A47" s="59">
        <v>46046.745266203703</v>
      </c>
      <c r="B47" s="60" t="s">
        <v>140</v>
      </c>
      <c r="C47" s="60" t="s">
        <v>141</v>
      </c>
      <c r="D47" s="60" t="s">
        <v>332</v>
      </c>
      <c r="E47" s="61">
        <v>46045</v>
      </c>
      <c r="F47" s="60">
        <v>173852</v>
      </c>
      <c r="G47" s="60" t="s">
        <v>333</v>
      </c>
      <c r="H47" s="60">
        <v>173935</v>
      </c>
      <c r="I47" s="60" t="s">
        <v>334</v>
      </c>
      <c r="J47" s="60" t="s">
        <v>335</v>
      </c>
      <c r="K47" s="60"/>
      <c r="L47" s="60" t="s">
        <v>60</v>
      </c>
      <c r="M47" s="60"/>
      <c r="N47" s="60"/>
      <c r="O47" s="60"/>
      <c r="P47" s="60"/>
      <c r="Q47" s="60"/>
      <c r="R47" s="60"/>
      <c r="S47" s="60"/>
      <c r="T47" s="60"/>
      <c r="U47" s="85">
        <f>(Tabela1[[#This Row],[Informe o KM final do dia]]-Tabela1[[#This Row],[Informe o KM inicial do dia]])-Tabela1[[#This Row],[Caso tenha rodado particular alguma parte do trajeto, informe o total de KM a ser deduzido.]]</f>
        <v>83</v>
      </c>
      <c r="V47" s="55">
        <f>IF(Tabela1[[#This Row],[Informe a data]]&lt;DATE(2026,3,16), Tabela1[[#This Row],[KM Rodado]]*1.1, Tabela1[[#This Row],[KM Rodado]]*1.23)</f>
        <v>91.300000000000011</v>
      </c>
      <c r="W47" s="86">
        <f>IFERROR(SUBSTITUTE(Tabela1[[#This Row],[Pedágio]],".",",",1)*1,0)</f>
        <v>0</v>
      </c>
      <c r="X47" s="86">
        <f>IFERROR(SUBSTITUTE(Tabela1[[#This Row],[Estacionamento]],".",",",1)*1,0)</f>
        <v>0</v>
      </c>
      <c r="Y47" s="86">
        <f>IFERROR(SUBSTITUTE(Tabela1[[#This Row],[Despesas Diversas 
(Jantar em viagem, Impressões, Etc)]],".",",",1)*1,0)</f>
        <v>0</v>
      </c>
      <c r="Z47" s="86">
        <f>IFERROR(SUBSTITUTE(Tabela1[[#This Row],[Hospedagem]],".",",",1)*1,0)</f>
        <v>0</v>
      </c>
      <c r="AA47" s="56" t="str">
        <f>IF(DAY(Tabela1[[#This Row],[Informe a data]])&lt;=15,"1ª Quinzena","2ª Quinzena")</f>
        <v>2ª Quinzena</v>
      </c>
      <c r="AB47" s="56" t="str">
        <f>UPPER(TEXT(Tabela1[[#This Row],[Informe a data]],"mmmm"))</f>
        <v>JANEIRO</v>
      </c>
      <c r="AC47" s="87" t="e">
        <f ca="1">_xlfn.CONCAT(Tabela1[[#This Row],[Selecione o Usuário]]," - ",TEXT(Tabela1[[#This Row],[Informe a data]],"dd-mm-aa"))</f>
        <v>#NAME?</v>
      </c>
    </row>
    <row r="48" spans="1:29" customFormat="1" ht="14.4">
      <c r="A48" s="59">
        <v>46048.961597222224</v>
      </c>
      <c r="B48" s="60" t="s">
        <v>300</v>
      </c>
      <c r="C48" s="60" t="s">
        <v>250</v>
      </c>
      <c r="D48" s="60" t="s">
        <v>301</v>
      </c>
      <c r="E48" s="61">
        <v>46048</v>
      </c>
      <c r="F48" s="60">
        <v>118516</v>
      </c>
      <c r="G48" s="60" t="s">
        <v>342</v>
      </c>
      <c r="H48" s="60">
        <v>118690</v>
      </c>
      <c r="I48" s="60" t="s">
        <v>343</v>
      </c>
      <c r="J48" s="60" t="s">
        <v>344</v>
      </c>
      <c r="K48" s="60"/>
      <c r="L48" s="60" t="s">
        <v>60</v>
      </c>
      <c r="M48" s="60"/>
      <c r="N48" s="60"/>
      <c r="O48" s="60"/>
      <c r="P48" s="60"/>
      <c r="Q48" s="60"/>
      <c r="R48" s="60"/>
      <c r="S48" s="60"/>
      <c r="T48" s="60"/>
      <c r="U48" s="85">
        <f>(Tabela1[[#This Row],[Informe o KM final do dia]]-Tabela1[[#This Row],[Informe o KM inicial do dia]])-Tabela1[[#This Row],[Caso tenha rodado particular alguma parte do trajeto, informe o total de KM a ser deduzido.]]</f>
        <v>174</v>
      </c>
      <c r="V48" s="55">
        <f>IF(Tabela1[[#This Row],[Informe a data]]&lt;DATE(2026,3,16), Tabela1[[#This Row],[KM Rodado]]*1.1, Tabela1[[#This Row],[KM Rodado]]*1.23)</f>
        <v>191.4</v>
      </c>
      <c r="W48" s="86">
        <f>IFERROR(SUBSTITUTE(Tabela1[[#This Row],[Pedágio]],".",",",1)*1,0)</f>
        <v>0</v>
      </c>
      <c r="X48" s="86">
        <f>IFERROR(SUBSTITUTE(Tabela1[[#This Row],[Estacionamento]],".",",",1)*1,0)</f>
        <v>0</v>
      </c>
      <c r="Y48" s="86">
        <f>IFERROR(SUBSTITUTE(Tabela1[[#This Row],[Despesas Diversas 
(Jantar em viagem, Impressões, Etc)]],".",",",1)*1,0)</f>
        <v>0</v>
      </c>
      <c r="Z48" s="86">
        <f>IFERROR(SUBSTITUTE(Tabela1[[#This Row],[Hospedagem]],".",",",1)*1,0)</f>
        <v>0</v>
      </c>
      <c r="AA48" s="56" t="str">
        <f>IF(DAY(Tabela1[[#This Row],[Informe a data]])&lt;=15,"1ª Quinzena","2ª Quinzena")</f>
        <v>2ª Quinzena</v>
      </c>
      <c r="AB48" s="56" t="str">
        <f>UPPER(TEXT(Tabela1[[#This Row],[Informe a data]],"mmmm"))</f>
        <v>JANEIRO</v>
      </c>
      <c r="AC48" s="87" t="e">
        <f ca="1">_xlfn.CONCAT(Tabela1[[#This Row],[Selecione o Usuário]]," - ",TEXT(Tabela1[[#This Row],[Informe a data]],"dd-mm-aa"))</f>
        <v>#NAME?</v>
      </c>
    </row>
    <row r="49" spans="1:29">
      <c r="A49" s="59">
        <v>46048.913356481484</v>
      </c>
      <c r="B49" s="60" t="s">
        <v>176</v>
      </c>
      <c r="C49" s="60" t="s">
        <v>136</v>
      </c>
      <c r="D49" s="60" t="s">
        <v>177</v>
      </c>
      <c r="E49" s="61">
        <v>46048</v>
      </c>
      <c r="F49" s="60">
        <v>168525</v>
      </c>
      <c r="G49" s="60" t="s">
        <v>339</v>
      </c>
      <c r="H49" s="60">
        <v>168556</v>
      </c>
      <c r="I49" s="60" t="s">
        <v>340</v>
      </c>
      <c r="J49" s="60" t="s">
        <v>341</v>
      </c>
      <c r="K49" s="60"/>
      <c r="L49" s="60" t="s">
        <v>60</v>
      </c>
      <c r="M49" s="60"/>
      <c r="N49" s="60"/>
      <c r="O49" s="60"/>
      <c r="P49" s="60"/>
      <c r="Q49" s="60"/>
      <c r="R49" s="60"/>
      <c r="S49" s="60"/>
      <c r="T49" s="60"/>
      <c r="U49" s="85">
        <f>(Tabela1[[#This Row],[Informe o KM final do dia]]-Tabela1[[#This Row],[Informe o KM inicial do dia]])-Tabela1[[#This Row],[Caso tenha rodado particular alguma parte do trajeto, informe o total de KM a ser deduzido.]]</f>
        <v>31</v>
      </c>
      <c r="V49" s="55">
        <f>IF(Tabela1[[#This Row],[Informe a data]]&lt;DATE(2026,3,16), Tabela1[[#This Row],[KM Rodado]]*1.1, Tabela1[[#This Row],[KM Rodado]]*1.23)</f>
        <v>34.1</v>
      </c>
      <c r="W49" s="86">
        <f>IFERROR(SUBSTITUTE(Tabela1[[#This Row],[Pedágio]],".",",",1)*1,0)</f>
        <v>0</v>
      </c>
      <c r="X49" s="86">
        <f>IFERROR(SUBSTITUTE(Tabela1[[#This Row],[Estacionamento]],".",",",1)*1,0)</f>
        <v>0</v>
      </c>
      <c r="Y49" s="86">
        <f>IFERROR(SUBSTITUTE(Tabela1[[#This Row],[Despesas Diversas 
(Jantar em viagem, Impressões, Etc)]],".",",",1)*1,0)</f>
        <v>0</v>
      </c>
      <c r="Z49" s="86">
        <f>IFERROR(SUBSTITUTE(Tabela1[[#This Row],[Hospedagem]],".",",",1)*1,0)</f>
        <v>0</v>
      </c>
      <c r="AA49" s="56" t="str">
        <f>IF(DAY(Tabela1[[#This Row],[Informe a data]])&lt;=15,"1ª Quinzena","2ª Quinzena")</f>
        <v>2ª Quinzena</v>
      </c>
      <c r="AB49" s="56" t="str">
        <f>UPPER(TEXT(Tabela1[[#This Row],[Informe a data]],"mmmm"))</f>
        <v>JANEIRO</v>
      </c>
      <c r="AC49" s="87" t="e">
        <f ca="1">_xlfn.CONCAT(Tabela1[[#This Row],[Selecione o Usuário]]," - ",TEXT(Tabela1[[#This Row],[Informe a data]],"dd-mm-aa"))</f>
        <v>#NAME?</v>
      </c>
    </row>
    <row r="50" spans="1:29">
      <c r="A50" s="59">
        <v>46050.563194444447</v>
      </c>
      <c r="B50" s="60" t="s">
        <v>190</v>
      </c>
      <c r="C50" s="60" t="s">
        <v>135</v>
      </c>
      <c r="D50" s="60" t="s">
        <v>191</v>
      </c>
      <c r="E50" s="61">
        <v>46048</v>
      </c>
      <c r="F50" s="60">
        <v>106211</v>
      </c>
      <c r="G50" s="60" t="s">
        <v>348</v>
      </c>
      <c r="H50" s="60">
        <v>106294</v>
      </c>
      <c r="I50" s="60" t="s">
        <v>349</v>
      </c>
      <c r="J50" s="60" t="s">
        <v>350</v>
      </c>
      <c r="K50" s="60"/>
      <c r="L50" s="60" t="s">
        <v>60</v>
      </c>
      <c r="M50" s="60"/>
      <c r="N50" s="60"/>
      <c r="O50" s="60"/>
      <c r="P50" s="60"/>
      <c r="Q50" s="60"/>
      <c r="R50" s="60"/>
      <c r="S50" s="60"/>
      <c r="T50" s="60"/>
      <c r="U50" s="85">
        <f>(Tabela1[[#This Row],[Informe o KM final do dia]]-Tabela1[[#This Row],[Informe o KM inicial do dia]])-Tabela1[[#This Row],[Caso tenha rodado particular alguma parte do trajeto, informe o total de KM a ser deduzido.]]</f>
        <v>83</v>
      </c>
      <c r="V50" s="55">
        <f>IF(Tabela1[[#This Row],[Informe a data]]&lt;DATE(2026,3,16), Tabela1[[#This Row],[KM Rodado]]*1.1, Tabela1[[#This Row],[KM Rodado]]*1.23)</f>
        <v>91.300000000000011</v>
      </c>
      <c r="W50" s="86">
        <f>IFERROR(SUBSTITUTE(Tabela1[[#This Row],[Pedágio]],".",",",1)*1,0)</f>
        <v>0</v>
      </c>
      <c r="X50" s="86">
        <f>IFERROR(SUBSTITUTE(Tabela1[[#This Row],[Estacionamento]],".",",",1)*1,0)</f>
        <v>0</v>
      </c>
      <c r="Y50" s="86">
        <f>IFERROR(SUBSTITUTE(Tabela1[[#This Row],[Despesas Diversas 
(Jantar em viagem, Impressões, Etc)]],".",",",1)*1,0)</f>
        <v>0</v>
      </c>
      <c r="Z50" s="86">
        <f>IFERROR(SUBSTITUTE(Tabela1[[#This Row],[Hospedagem]],".",",",1)*1,0)</f>
        <v>0</v>
      </c>
      <c r="AA50" s="56" t="str">
        <f>IF(DAY(Tabela1[[#This Row],[Informe a data]])&lt;=15,"1ª Quinzena","2ª Quinzena")</f>
        <v>2ª Quinzena</v>
      </c>
      <c r="AB50" s="56" t="str">
        <f>UPPER(TEXT(Tabela1[[#This Row],[Informe a data]],"mmmm"))</f>
        <v>JANEIRO</v>
      </c>
      <c r="AC50" s="87" t="e">
        <f ca="1">_xlfn.CONCAT(Tabela1[[#This Row],[Selecione o Usuário]]," - ",TEXT(Tabela1[[#This Row],[Informe a data]],"dd-mm-aa"))</f>
        <v>#NAME?</v>
      </c>
    </row>
    <row r="51" spans="1:29">
      <c r="A51" s="59">
        <v>46050.570023148146</v>
      </c>
      <c r="B51" s="60" t="s">
        <v>131</v>
      </c>
      <c r="C51" s="60" t="s">
        <v>132</v>
      </c>
      <c r="D51" s="60" t="s">
        <v>133</v>
      </c>
      <c r="E51" s="61">
        <v>46049</v>
      </c>
      <c r="F51" s="60">
        <v>186316</v>
      </c>
      <c r="G51" s="60" t="s">
        <v>354</v>
      </c>
      <c r="H51" s="60">
        <v>186535</v>
      </c>
      <c r="I51" s="60" t="s">
        <v>355</v>
      </c>
      <c r="J51" s="60" t="s">
        <v>356</v>
      </c>
      <c r="K51" s="60"/>
      <c r="L51" s="60" t="s">
        <v>61</v>
      </c>
      <c r="M51" s="60" t="s">
        <v>357</v>
      </c>
      <c r="N51" s="60" t="s">
        <v>358</v>
      </c>
      <c r="O51" s="60" t="s">
        <v>359</v>
      </c>
      <c r="P51" s="60" t="s">
        <v>360</v>
      </c>
      <c r="Q51" s="60" t="s">
        <v>361</v>
      </c>
      <c r="R51" s="60"/>
      <c r="S51" s="60">
        <v>192</v>
      </c>
      <c r="T51" s="60" t="s">
        <v>362</v>
      </c>
      <c r="U51" s="85">
        <f>(Tabela1[[#This Row],[Informe o KM final do dia]]-Tabela1[[#This Row],[Informe o KM inicial do dia]])-Tabela1[[#This Row],[Caso tenha rodado particular alguma parte do trajeto, informe o total de KM a ser deduzido.]]</f>
        <v>219</v>
      </c>
      <c r="V51" s="55">
        <f>IF(Tabela1[[#This Row],[Informe a data]]&lt;DATE(2026,3,16), Tabela1[[#This Row],[KM Rodado]]*1.1, Tabela1[[#This Row],[KM Rodado]]*1.23)</f>
        <v>240.9</v>
      </c>
      <c r="W51" s="86">
        <f>IFERROR(SUBSTITUTE(Tabela1[[#This Row],[Pedágio]],".",",",1)*1,0)</f>
        <v>10.5</v>
      </c>
      <c r="X51" s="86">
        <f>IFERROR(SUBSTITUTE(Tabela1[[#This Row],[Estacionamento]],".",",",1)*1,0)</f>
        <v>10</v>
      </c>
      <c r="Y51" s="86">
        <f>IFERROR(SUBSTITUTE(Tabela1[[#This Row],[Despesas Diversas 
(Jantar em viagem, Impressões, Etc)]],".",",",1)*1,0)</f>
        <v>35</v>
      </c>
      <c r="Z51" s="86">
        <f>IFERROR(SUBSTITUTE(Tabela1[[#This Row],[Hospedagem]],".",",",1)*1,0)</f>
        <v>192</v>
      </c>
      <c r="AA51" s="56" t="str">
        <f>IF(DAY(Tabela1[[#This Row],[Informe a data]])&lt;=15,"1ª Quinzena","2ª Quinzena")</f>
        <v>2ª Quinzena</v>
      </c>
      <c r="AB51" s="56" t="str">
        <f>UPPER(TEXT(Tabela1[[#This Row],[Informe a data]],"mmmm"))</f>
        <v>JANEIRO</v>
      </c>
      <c r="AC51" s="87" t="e">
        <f ca="1">_xlfn.CONCAT(Tabela1[[#This Row],[Selecione o Usuário]]," - ",TEXT(Tabela1[[#This Row],[Informe a data]],"dd-mm-aa"))</f>
        <v>#NAME?</v>
      </c>
    </row>
    <row r="52" spans="1:29">
      <c r="A52" s="59">
        <v>46049.903692129628</v>
      </c>
      <c r="B52" s="60" t="s">
        <v>208</v>
      </c>
      <c r="C52" s="60" t="s">
        <v>134</v>
      </c>
      <c r="D52" s="60" t="s">
        <v>209</v>
      </c>
      <c r="E52" s="61">
        <v>46049</v>
      </c>
      <c r="F52" s="60">
        <v>160176</v>
      </c>
      <c r="G52" s="60" t="s">
        <v>345</v>
      </c>
      <c r="H52" s="60">
        <v>160553</v>
      </c>
      <c r="I52" s="60" t="s">
        <v>346</v>
      </c>
      <c r="J52" s="60" t="s">
        <v>347</v>
      </c>
      <c r="K52" s="60"/>
      <c r="L52" s="60" t="s">
        <v>60</v>
      </c>
      <c r="M52" s="60"/>
      <c r="N52" s="60"/>
      <c r="O52" s="60"/>
      <c r="P52" s="60"/>
      <c r="Q52" s="60"/>
      <c r="R52" s="60"/>
      <c r="S52" s="60"/>
      <c r="T52" s="60"/>
      <c r="U52" s="85">
        <f>(Tabela1[[#This Row],[Informe o KM final do dia]]-Tabela1[[#This Row],[Informe o KM inicial do dia]])-Tabela1[[#This Row],[Caso tenha rodado particular alguma parte do trajeto, informe o total de KM a ser deduzido.]]</f>
        <v>377</v>
      </c>
      <c r="V52" s="55">
        <f>IF(Tabela1[[#This Row],[Informe a data]]&lt;DATE(2026,3,16), Tabela1[[#This Row],[KM Rodado]]*1.1, Tabela1[[#This Row],[KM Rodado]]*1.23)</f>
        <v>414.70000000000005</v>
      </c>
      <c r="W52" s="86">
        <f>IFERROR(SUBSTITUTE(Tabela1[[#This Row],[Pedágio]],".",",",1)*1,0)</f>
        <v>0</v>
      </c>
      <c r="X52" s="86">
        <f>IFERROR(SUBSTITUTE(Tabela1[[#This Row],[Estacionamento]],".",",",1)*1,0)</f>
        <v>0</v>
      </c>
      <c r="Y52" s="86">
        <f>IFERROR(SUBSTITUTE(Tabela1[[#This Row],[Despesas Diversas 
(Jantar em viagem, Impressões, Etc)]],".",",",1)*1,0)</f>
        <v>0</v>
      </c>
      <c r="Z52" s="86">
        <f>IFERROR(SUBSTITUTE(Tabela1[[#This Row],[Hospedagem]],".",",",1)*1,0)</f>
        <v>0</v>
      </c>
      <c r="AA52" s="56" t="str">
        <f>IF(DAY(Tabela1[[#This Row],[Informe a data]])&lt;=15,"1ª Quinzena","2ª Quinzena")</f>
        <v>2ª Quinzena</v>
      </c>
      <c r="AB52" s="56" t="str">
        <f>UPPER(TEXT(Tabela1[[#This Row],[Informe a data]],"mmmm"))</f>
        <v>JANEIRO</v>
      </c>
      <c r="AC52" s="87" t="e">
        <f ca="1">_xlfn.CONCAT(Tabela1[[#This Row],[Selecione o Usuário]]," - ",TEXT(Tabela1[[#This Row],[Informe a data]],"dd-mm-aa"))</f>
        <v>#NAME?</v>
      </c>
    </row>
    <row r="53" spans="1:29">
      <c r="A53" s="59">
        <v>46050.747337962966</v>
      </c>
      <c r="B53" s="60" t="s">
        <v>366</v>
      </c>
      <c r="C53" s="60" t="s">
        <v>250</v>
      </c>
      <c r="D53" s="60" t="s">
        <v>301</v>
      </c>
      <c r="E53" s="61">
        <v>46049</v>
      </c>
      <c r="F53" s="60">
        <v>118690</v>
      </c>
      <c r="G53" s="60" t="s">
        <v>367</v>
      </c>
      <c r="H53" s="60">
        <v>118931</v>
      </c>
      <c r="I53" s="60" t="s">
        <v>368</v>
      </c>
      <c r="J53" s="60" t="s">
        <v>369</v>
      </c>
      <c r="K53" s="60"/>
      <c r="L53" s="60" t="s">
        <v>60</v>
      </c>
      <c r="M53" s="60"/>
      <c r="N53" s="60"/>
      <c r="O53" s="60"/>
      <c r="P53" s="60"/>
      <c r="Q53" s="60"/>
      <c r="R53" s="60"/>
      <c r="S53" s="60"/>
      <c r="T53" s="60"/>
      <c r="U53" s="85">
        <f>(Tabela1[[#This Row],[Informe o KM final do dia]]-Tabela1[[#This Row],[Informe o KM inicial do dia]])-Tabela1[[#This Row],[Caso tenha rodado particular alguma parte do trajeto, informe o total de KM a ser deduzido.]]</f>
        <v>241</v>
      </c>
      <c r="V53" s="55">
        <f>IF(Tabela1[[#This Row],[Informe a data]]&lt;DATE(2026,3,16), Tabela1[[#This Row],[KM Rodado]]*1.1, Tabela1[[#This Row],[KM Rodado]]*1.23)</f>
        <v>265.10000000000002</v>
      </c>
      <c r="W53" s="86">
        <f>IFERROR(SUBSTITUTE(Tabela1[[#This Row],[Pedágio]],".",",",1)*1,0)</f>
        <v>0</v>
      </c>
      <c r="X53" s="86">
        <f>IFERROR(SUBSTITUTE(Tabela1[[#This Row],[Estacionamento]],".",",",1)*1,0)</f>
        <v>0</v>
      </c>
      <c r="Y53" s="86">
        <f>IFERROR(SUBSTITUTE(Tabela1[[#This Row],[Despesas Diversas 
(Jantar em viagem, Impressões, Etc)]],".",",",1)*1,0)</f>
        <v>0</v>
      </c>
      <c r="Z53" s="86">
        <f>IFERROR(SUBSTITUTE(Tabela1[[#This Row],[Hospedagem]],".",",",1)*1,0)</f>
        <v>0</v>
      </c>
      <c r="AA53" s="56" t="str">
        <f>IF(DAY(Tabela1[[#This Row],[Informe a data]])&lt;=15,"1ª Quinzena","2ª Quinzena")</f>
        <v>2ª Quinzena</v>
      </c>
      <c r="AB53" s="56" t="str">
        <f>UPPER(TEXT(Tabela1[[#This Row],[Informe a data]],"mmmm"))</f>
        <v>JANEIRO</v>
      </c>
      <c r="AC53" s="87" t="e">
        <f ca="1">_xlfn.CONCAT(Tabela1[[#This Row],[Selecione o Usuário]]," - ",TEXT(Tabela1[[#This Row],[Informe a data]],"dd-mm-aa"))</f>
        <v>#NAME?</v>
      </c>
    </row>
    <row r="54" spans="1:29">
      <c r="A54" s="59">
        <v>46051.560706018521</v>
      </c>
      <c r="B54" s="60" t="s">
        <v>140</v>
      </c>
      <c r="C54" s="60" t="s">
        <v>141</v>
      </c>
      <c r="D54" s="60" t="s">
        <v>332</v>
      </c>
      <c r="E54" s="61">
        <v>46049</v>
      </c>
      <c r="F54" s="60">
        <v>174037</v>
      </c>
      <c r="G54" s="60" t="s">
        <v>378</v>
      </c>
      <c r="H54" s="60">
        <v>174108</v>
      </c>
      <c r="I54" s="60" t="s">
        <v>379</v>
      </c>
      <c r="J54" s="60" t="s">
        <v>380</v>
      </c>
      <c r="K54" s="60"/>
      <c r="L54" s="60" t="s">
        <v>60</v>
      </c>
      <c r="M54" s="60"/>
      <c r="N54" s="60"/>
      <c r="O54" s="60"/>
      <c r="P54" s="60"/>
      <c r="Q54" s="60"/>
      <c r="R54" s="60"/>
      <c r="S54" s="60"/>
      <c r="T54" s="60"/>
      <c r="U54" s="85">
        <f>(Tabela1[[#This Row],[Informe o KM final do dia]]-Tabela1[[#This Row],[Informe o KM inicial do dia]])-Tabela1[[#This Row],[Caso tenha rodado particular alguma parte do trajeto, informe o total de KM a ser deduzido.]]</f>
        <v>71</v>
      </c>
      <c r="V54" s="55">
        <f>IF(Tabela1[[#This Row],[Informe a data]]&lt;DATE(2026,3,16), Tabela1[[#This Row],[KM Rodado]]*1.1, Tabela1[[#This Row],[KM Rodado]]*1.23)</f>
        <v>78.100000000000009</v>
      </c>
      <c r="W54" s="86">
        <f>IFERROR(SUBSTITUTE(Tabela1[[#This Row],[Pedágio]],".",",",1)*1,0)</f>
        <v>0</v>
      </c>
      <c r="X54" s="86">
        <f>IFERROR(SUBSTITUTE(Tabela1[[#This Row],[Estacionamento]],".",",",1)*1,0)</f>
        <v>0</v>
      </c>
      <c r="Y54" s="86">
        <f>IFERROR(SUBSTITUTE(Tabela1[[#This Row],[Despesas Diversas 
(Jantar em viagem, Impressões, Etc)]],".",",",1)*1,0)</f>
        <v>0</v>
      </c>
      <c r="Z54" s="86">
        <f>IFERROR(SUBSTITUTE(Tabela1[[#This Row],[Hospedagem]],".",",",1)*1,0)</f>
        <v>0</v>
      </c>
      <c r="AA54" s="56" t="str">
        <f>IF(DAY(Tabela1[[#This Row],[Informe a data]])&lt;=15,"1ª Quinzena","2ª Quinzena")</f>
        <v>2ª Quinzena</v>
      </c>
      <c r="AB54" s="56" t="str">
        <f>UPPER(TEXT(Tabela1[[#This Row],[Informe a data]],"mmmm"))</f>
        <v>JANEIRO</v>
      </c>
      <c r="AC54" s="87" t="e">
        <f ca="1">_xlfn.CONCAT(Tabela1[[#This Row],[Selecione o Usuário]]," - ",TEXT(Tabela1[[#This Row],[Informe a data]],"dd-mm-aa"))</f>
        <v>#NAME?</v>
      </c>
    </row>
    <row r="55" spans="1:29">
      <c r="A55" s="59">
        <v>46050.827638888892</v>
      </c>
      <c r="B55" s="60" t="s">
        <v>131</v>
      </c>
      <c r="C55" s="60" t="s">
        <v>132</v>
      </c>
      <c r="D55" s="60" t="s">
        <v>133</v>
      </c>
      <c r="E55" s="61">
        <v>46050</v>
      </c>
      <c r="F55" s="60">
        <v>186535</v>
      </c>
      <c r="G55" s="60" t="s">
        <v>370</v>
      </c>
      <c r="H55" s="60">
        <v>186761</v>
      </c>
      <c r="I55" s="60" t="s">
        <v>371</v>
      </c>
      <c r="J55" s="60" t="s">
        <v>372</v>
      </c>
      <c r="K55" s="60"/>
      <c r="L55" s="60" t="s">
        <v>61</v>
      </c>
      <c r="M55" s="60" t="s">
        <v>357</v>
      </c>
      <c r="N55" s="60" t="s">
        <v>373</v>
      </c>
      <c r="O55" s="60"/>
      <c r="P55" s="60"/>
      <c r="Q55" s="60"/>
      <c r="R55" s="60"/>
      <c r="S55" s="60"/>
      <c r="T55" s="60"/>
      <c r="U55" s="85">
        <f>(Tabela1[[#This Row],[Informe o KM final do dia]]-Tabela1[[#This Row],[Informe o KM inicial do dia]])-Tabela1[[#This Row],[Caso tenha rodado particular alguma parte do trajeto, informe o total de KM a ser deduzido.]]</f>
        <v>226</v>
      </c>
      <c r="V55" s="55">
        <f>IF(Tabela1[[#This Row],[Informe a data]]&lt;DATE(2026,3,16), Tabela1[[#This Row],[KM Rodado]]*1.1, Tabela1[[#This Row],[KM Rodado]]*1.23)</f>
        <v>248.60000000000002</v>
      </c>
      <c r="W55" s="86">
        <f>IFERROR(SUBSTITUTE(Tabela1[[#This Row],[Pedágio]],".",",",1)*1,0)</f>
        <v>10.5</v>
      </c>
      <c r="X55" s="86">
        <f>IFERROR(SUBSTITUTE(Tabela1[[#This Row],[Estacionamento]],".",",",1)*1,0)</f>
        <v>0</v>
      </c>
      <c r="Y55" s="86">
        <f>IFERROR(SUBSTITUTE(Tabela1[[#This Row],[Despesas Diversas 
(Jantar em viagem, Impressões, Etc)]],".",",",1)*1,0)</f>
        <v>0</v>
      </c>
      <c r="Z55" s="86">
        <f>IFERROR(SUBSTITUTE(Tabela1[[#This Row],[Hospedagem]],".",",",1)*1,0)</f>
        <v>0</v>
      </c>
      <c r="AA55" s="56" t="str">
        <f>IF(DAY(Tabela1[[#This Row],[Informe a data]])&lt;=15,"1ª Quinzena","2ª Quinzena")</f>
        <v>2ª Quinzena</v>
      </c>
      <c r="AB55" s="56" t="str">
        <f>UPPER(TEXT(Tabela1[[#This Row],[Informe a data]],"mmmm"))</f>
        <v>JANEIRO</v>
      </c>
      <c r="AC55" s="87" t="e">
        <f ca="1">_xlfn.CONCAT(Tabela1[[#This Row],[Selecione o Usuário]]," - ",TEXT(Tabela1[[#This Row],[Informe a data]],"dd-mm-aa"))</f>
        <v>#NAME?</v>
      </c>
    </row>
    <row r="56" spans="1:29">
      <c r="A56" s="59">
        <v>46050.829976851855</v>
      </c>
      <c r="B56" s="60" t="s">
        <v>374</v>
      </c>
      <c r="C56" s="60" t="s">
        <v>134</v>
      </c>
      <c r="D56" s="60" t="s">
        <v>209</v>
      </c>
      <c r="E56" s="61">
        <v>46050</v>
      </c>
      <c r="F56" s="60">
        <v>160592</v>
      </c>
      <c r="G56" s="60" t="s">
        <v>375</v>
      </c>
      <c r="H56" s="60">
        <v>160992</v>
      </c>
      <c r="I56" s="60" t="s">
        <v>376</v>
      </c>
      <c r="J56" s="60" t="s">
        <v>377</v>
      </c>
      <c r="K56" s="60"/>
      <c r="L56" s="60" t="s">
        <v>60</v>
      </c>
      <c r="M56" s="60"/>
      <c r="N56" s="60"/>
      <c r="O56" s="60"/>
      <c r="P56" s="60"/>
      <c r="Q56" s="60"/>
      <c r="R56" s="60"/>
      <c r="S56" s="60"/>
      <c r="T56" s="60"/>
      <c r="U56" s="85">
        <f>(Tabela1[[#This Row],[Informe o KM final do dia]]-Tabela1[[#This Row],[Informe o KM inicial do dia]])-Tabela1[[#This Row],[Caso tenha rodado particular alguma parte do trajeto, informe o total de KM a ser deduzido.]]</f>
        <v>400</v>
      </c>
      <c r="V56" s="55">
        <f>IF(Tabela1[[#This Row],[Informe a data]]&lt;DATE(2026,3,16), Tabela1[[#This Row],[KM Rodado]]*1.1, Tabela1[[#This Row],[KM Rodado]]*1.23)</f>
        <v>440.00000000000006</v>
      </c>
      <c r="W56" s="86">
        <f>IFERROR(SUBSTITUTE(Tabela1[[#This Row],[Pedágio]],".",",",1)*1,0)</f>
        <v>0</v>
      </c>
      <c r="X56" s="86">
        <f>IFERROR(SUBSTITUTE(Tabela1[[#This Row],[Estacionamento]],".",",",1)*1,0)</f>
        <v>0</v>
      </c>
      <c r="Y56" s="86">
        <f>IFERROR(SUBSTITUTE(Tabela1[[#This Row],[Despesas Diversas 
(Jantar em viagem, Impressões, Etc)]],".",",",1)*1,0)</f>
        <v>0</v>
      </c>
      <c r="Z56" s="86">
        <f>IFERROR(SUBSTITUTE(Tabela1[[#This Row],[Hospedagem]],".",",",1)*1,0)</f>
        <v>0</v>
      </c>
      <c r="AA56" s="56" t="str">
        <f>IF(DAY(Tabela1[[#This Row],[Informe a data]])&lt;=15,"1ª Quinzena","2ª Quinzena")</f>
        <v>2ª Quinzena</v>
      </c>
      <c r="AB56" s="56" t="str">
        <f>UPPER(TEXT(Tabela1[[#This Row],[Informe a data]],"mmmm"))</f>
        <v>JANEIRO</v>
      </c>
      <c r="AC56" s="87" t="e">
        <f ca="1">_xlfn.CONCAT(Tabela1[[#This Row],[Selecione o Usuário]]," - ",TEXT(Tabela1[[#This Row],[Informe a data]],"dd-mm-aa"))</f>
        <v>#NAME?</v>
      </c>
    </row>
    <row r="57" spans="1:29">
      <c r="A57" s="59">
        <v>46052.835486111115</v>
      </c>
      <c r="B57" s="60" t="s">
        <v>176</v>
      </c>
      <c r="C57" s="60" t="s">
        <v>136</v>
      </c>
      <c r="D57" s="60" t="s">
        <v>177</v>
      </c>
      <c r="E57" s="61">
        <v>46050</v>
      </c>
      <c r="F57" s="60">
        <v>168587</v>
      </c>
      <c r="G57" s="60" t="s">
        <v>394</v>
      </c>
      <c r="H57" s="60">
        <v>168628</v>
      </c>
      <c r="I57" s="60" t="s">
        <v>395</v>
      </c>
      <c r="J57" s="60" t="s">
        <v>396</v>
      </c>
      <c r="K57" s="60"/>
      <c r="L57" s="60" t="s">
        <v>60</v>
      </c>
      <c r="M57" s="60"/>
      <c r="N57" s="60"/>
      <c r="O57" s="60"/>
      <c r="P57" s="60"/>
      <c r="Q57" s="60"/>
      <c r="R57" s="60"/>
      <c r="S57" s="60"/>
      <c r="T57" s="60"/>
      <c r="U57" s="85">
        <f>(Tabela1[[#This Row],[Informe o KM final do dia]]-Tabela1[[#This Row],[Informe o KM inicial do dia]])-Tabela1[[#This Row],[Caso tenha rodado particular alguma parte do trajeto, informe o total de KM a ser deduzido.]]</f>
        <v>41</v>
      </c>
      <c r="V57" s="55">
        <f>IF(Tabela1[[#This Row],[Informe a data]]&lt;DATE(2026,3,16), Tabela1[[#This Row],[KM Rodado]]*1.1, Tabela1[[#This Row],[KM Rodado]]*1.23)</f>
        <v>45.1</v>
      </c>
      <c r="W57" s="86">
        <f>IFERROR(SUBSTITUTE(Tabela1[[#This Row],[Pedágio]],".",",",1)*1,0)</f>
        <v>0</v>
      </c>
      <c r="X57" s="86">
        <f>IFERROR(SUBSTITUTE(Tabela1[[#This Row],[Estacionamento]],".",",",1)*1,0)</f>
        <v>0</v>
      </c>
      <c r="Y57" s="86">
        <f>IFERROR(SUBSTITUTE(Tabela1[[#This Row],[Despesas Diversas 
(Jantar em viagem, Impressões, Etc)]],".",",",1)*1,0)</f>
        <v>0</v>
      </c>
      <c r="Z57" s="86">
        <f>IFERROR(SUBSTITUTE(Tabela1[[#This Row],[Hospedagem]],".",",",1)*1,0)</f>
        <v>0</v>
      </c>
      <c r="AA57" s="56" t="str">
        <f>IF(DAY(Tabela1[[#This Row],[Informe a data]])&lt;=15,"1ª Quinzena","2ª Quinzena")</f>
        <v>2ª Quinzena</v>
      </c>
      <c r="AB57" s="56" t="str">
        <f>UPPER(TEXT(Tabela1[[#This Row],[Informe a data]],"mmmm"))</f>
        <v>JANEIRO</v>
      </c>
      <c r="AC57" s="87" t="e">
        <f ca="1">_xlfn.CONCAT(Tabela1[[#This Row],[Selecione o Usuário]]," - ",TEXT(Tabela1[[#This Row],[Informe a data]],"dd-mm-aa"))</f>
        <v>#NAME?</v>
      </c>
    </row>
    <row r="58" spans="1:29">
      <c r="A58" s="59">
        <v>46051.563101851854</v>
      </c>
      <c r="B58" s="60" t="s">
        <v>140</v>
      </c>
      <c r="C58" s="60" t="s">
        <v>141</v>
      </c>
      <c r="D58" s="60" t="s">
        <v>332</v>
      </c>
      <c r="E58" s="61">
        <v>46050</v>
      </c>
      <c r="F58" s="60">
        <v>237957</v>
      </c>
      <c r="G58" s="60" t="s">
        <v>381</v>
      </c>
      <c r="H58" s="60">
        <v>238004</v>
      </c>
      <c r="I58" s="60" t="s">
        <v>382</v>
      </c>
      <c r="J58" s="60" t="s">
        <v>383</v>
      </c>
      <c r="K58" s="60"/>
      <c r="L58" s="60" t="s">
        <v>60</v>
      </c>
      <c r="M58" s="60"/>
      <c r="N58" s="60"/>
      <c r="O58" s="60"/>
      <c r="P58" s="60"/>
      <c r="Q58" s="60"/>
      <c r="R58" s="60"/>
      <c r="S58" s="60"/>
      <c r="T58" s="60"/>
      <c r="U58" s="85">
        <f>(Tabela1[[#This Row],[Informe o KM final do dia]]-Tabela1[[#This Row],[Informe o KM inicial do dia]])-Tabela1[[#This Row],[Caso tenha rodado particular alguma parte do trajeto, informe o total de KM a ser deduzido.]]</f>
        <v>47</v>
      </c>
      <c r="V58" s="55">
        <f>IF(Tabela1[[#This Row],[Informe a data]]&lt;DATE(2026,3,16), Tabela1[[#This Row],[KM Rodado]]*1.1, Tabela1[[#This Row],[KM Rodado]]*1.23)</f>
        <v>51.7</v>
      </c>
      <c r="W58" s="86">
        <f>IFERROR(SUBSTITUTE(Tabela1[[#This Row],[Pedágio]],".",",",1)*1,0)</f>
        <v>0</v>
      </c>
      <c r="X58" s="86">
        <f>IFERROR(SUBSTITUTE(Tabela1[[#This Row],[Estacionamento]],".",",",1)*1,0)</f>
        <v>0</v>
      </c>
      <c r="Y58" s="86">
        <f>IFERROR(SUBSTITUTE(Tabela1[[#This Row],[Despesas Diversas 
(Jantar em viagem, Impressões, Etc)]],".",",",1)*1,0)</f>
        <v>0</v>
      </c>
      <c r="Z58" s="86">
        <f>IFERROR(SUBSTITUTE(Tabela1[[#This Row],[Hospedagem]],".",",",1)*1,0)</f>
        <v>0</v>
      </c>
      <c r="AA58" s="56" t="str">
        <f>IF(DAY(Tabela1[[#This Row],[Informe a data]])&lt;=15,"1ª Quinzena","2ª Quinzena")</f>
        <v>2ª Quinzena</v>
      </c>
      <c r="AB58" s="56" t="str">
        <f>UPPER(TEXT(Tabela1[[#This Row],[Informe a data]],"mmmm"))</f>
        <v>JANEIRO</v>
      </c>
      <c r="AC58" s="87" t="e">
        <f ca="1">_xlfn.CONCAT(Tabela1[[#This Row],[Selecione o Usuário]]," - ",TEXT(Tabela1[[#This Row],[Informe a data]],"dd-mm-aa"))</f>
        <v>#NAME?</v>
      </c>
    </row>
    <row r="59" spans="1:29">
      <c r="A59" s="59">
        <v>46051.852013888885</v>
      </c>
      <c r="B59" s="60" t="s">
        <v>131</v>
      </c>
      <c r="C59" s="60" t="s">
        <v>132</v>
      </c>
      <c r="D59" s="60" t="s">
        <v>133</v>
      </c>
      <c r="E59" s="61">
        <v>46051</v>
      </c>
      <c r="F59" s="60">
        <v>186761</v>
      </c>
      <c r="G59" s="60" t="s">
        <v>384</v>
      </c>
      <c r="H59" s="60">
        <v>186837</v>
      </c>
      <c r="I59" s="60" t="s">
        <v>385</v>
      </c>
      <c r="J59" s="60" t="s">
        <v>386</v>
      </c>
      <c r="K59" s="60"/>
      <c r="L59" s="60" t="s">
        <v>61</v>
      </c>
      <c r="M59" s="60"/>
      <c r="N59" s="60"/>
      <c r="O59" s="60" t="s">
        <v>359</v>
      </c>
      <c r="P59" s="60" t="s">
        <v>387</v>
      </c>
      <c r="Q59" s="60"/>
      <c r="R59" s="60"/>
      <c r="S59" s="60"/>
      <c r="T59" s="60"/>
      <c r="U59" s="85">
        <f>(Tabela1[[#This Row],[Informe o KM final do dia]]-Tabela1[[#This Row],[Informe o KM inicial do dia]])-Tabela1[[#This Row],[Caso tenha rodado particular alguma parte do trajeto, informe o total de KM a ser deduzido.]]</f>
        <v>76</v>
      </c>
      <c r="V59" s="55">
        <f>IF(Tabela1[[#This Row],[Informe a data]]&lt;DATE(2026,3,16), Tabela1[[#This Row],[KM Rodado]]*1.1, Tabela1[[#This Row],[KM Rodado]]*1.23)</f>
        <v>83.600000000000009</v>
      </c>
      <c r="W59" s="86">
        <f>IFERROR(SUBSTITUTE(Tabela1[[#This Row],[Pedágio]],".",",",1)*1,0)</f>
        <v>0</v>
      </c>
      <c r="X59" s="86">
        <f>IFERROR(SUBSTITUTE(Tabela1[[#This Row],[Estacionamento]],".",",",1)*1,0)</f>
        <v>10</v>
      </c>
      <c r="Y59" s="86">
        <f>IFERROR(SUBSTITUTE(Tabela1[[#This Row],[Despesas Diversas 
(Jantar em viagem, Impressões, Etc)]],".",",",1)*1,0)</f>
        <v>0</v>
      </c>
      <c r="Z59" s="86">
        <f>IFERROR(SUBSTITUTE(Tabela1[[#This Row],[Hospedagem]],".",",",1)*1,0)</f>
        <v>0</v>
      </c>
      <c r="AA59" s="56" t="str">
        <f>IF(DAY(Tabela1[[#This Row],[Informe a data]])&lt;=15,"1ª Quinzena","2ª Quinzena")</f>
        <v>2ª Quinzena</v>
      </c>
      <c r="AB59" s="56" t="str">
        <f>UPPER(TEXT(Tabela1[[#This Row],[Informe a data]],"mmmm"))</f>
        <v>JANEIRO</v>
      </c>
      <c r="AC59" s="87" t="e">
        <f ca="1">_xlfn.CONCAT(Tabela1[[#This Row],[Selecione o Usuário]]," - ",TEXT(Tabela1[[#This Row],[Informe a data]],"dd-mm-aa"))</f>
        <v>#NAME?</v>
      </c>
    </row>
    <row r="60" spans="1:29">
      <c r="A60" s="59">
        <v>46052.616840277777</v>
      </c>
      <c r="B60" s="60" t="s">
        <v>300</v>
      </c>
      <c r="C60" s="60" t="s">
        <v>250</v>
      </c>
      <c r="D60" s="60" t="s">
        <v>301</v>
      </c>
      <c r="E60" s="61">
        <v>46051</v>
      </c>
      <c r="F60" s="60">
        <v>119184</v>
      </c>
      <c r="G60" s="60" t="s">
        <v>388</v>
      </c>
      <c r="H60" s="60">
        <v>119323</v>
      </c>
      <c r="I60" s="60" t="s">
        <v>389</v>
      </c>
      <c r="J60" s="60" t="s">
        <v>390</v>
      </c>
      <c r="K60" s="60">
        <v>9</v>
      </c>
      <c r="L60" s="60" t="s">
        <v>60</v>
      </c>
      <c r="M60" s="60"/>
      <c r="N60" s="60"/>
      <c r="O60" s="60"/>
      <c r="P60" s="60"/>
      <c r="Q60" s="60"/>
      <c r="R60" s="60"/>
      <c r="S60" s="60"/>
      <c r="T60" s="60"/>
      <c r="U60" s="85">
        <f>(Tabela1[[#This Row],[Informe o KM final do dia]]-Tabela1[[#This Row],[Informe o KM inicial do dia]])-Tabela1[[#This Row],[Caso tenha rodado particular alguma parte do trajeto, informe o total de KM a ser deduzido.]]</f>
        <v>130</v>
      </c>
      <c r="V60" s="55">
        <f>IF(Tabela1[[#This Row],[Informe a data]]&lt;DATE(2026,3,16), Tabela1[[#This Row],[KM Rodado]]*1.1, Tabela1[[#This Row],[KM Rodado]]*1.23)</f>
        <v>143</v>
      </c>
      <c r="W60" s="86">
        <f>IFERROR(SUBSTITUTE(Tabela1[[#This Row],[Pedágio]],".",",",1)*1,0)</f>
        <v>0</v>
      </c>
      <c r="X60" s="86">
        <f>IFERROR(SUBSTITUTE(Tabela1[[#This Row],[Estacionamento]],".",",",1)*1,0)</f>
        <v>0</v>
      </c>
      <c r="Y60" s="86">
        <f>IFERROR(SUBSTITUTE(Tabela1[[#This Row],[Despesas Diversas 
(Jantar em viagem, Impressões, Etc)]],".",",",1)*1,0)</f>
        <v>0</v>
      </c>
      <c r="Z60" s="86">
        <f>IFERROR(SUBSTITUTE(Tabela1[[#This Row],[Hospedagem]],".",",",1)*1,0)</f>
        <v>0</v>
      </c>
      <c r="AA60" s="56" t="str">
        <f>IF(DAY(Tabela1[[#This Row],[Informe a data]])&lt;=15,"1ª Quinzena","2ª Quinzena")</f>
        <v>2ª Quinzena</v>
      </c>
      <c r="AB60" s="56" t="str">
        <f>UPPER(TEXT(Tabela1[[#This Row],[Informe a data]],"mmmm"))</f>
        <v>JANEIRO</v>
      </c>
      <c r="AC60" s="87" t="e">
        <f ca="1">_xlfn.CONCAT(Tabela1[[#This Row],[Selecione o Usuário]]," - ",TEXT(Tabela1[[#This Row],[Informe a data]],"dd-mm-aa"))</f>
        <v>#NAME?</v>
      </c>
    </row>
    <row r="61" spans="1:29">
      <c r="A61" s="59">
        <v>46052.839756944442</v>
      </c>
      <c r="B61" s="60" t="s">
        <v>176</v>
      </c>
      <c r="C61" s="60" t="s">
        <v>136</v>
      </c>
      <c r="D61" s="60" t="s">
        <v>177</v>
      </c>
      <c r="E61" s="61">
        <v>46051</v>
      </c>
      <c r="F61" s="60">
        <v>168628</v>
      </c>
      <c r="G61" s="60" t="s">
        <v>397</v>
      </c>
      <c r="H61" s="60">
        <v>168973</v>
      </c>
      <c r="I61" s="60" t="s">
        <v>398</v>
      </c>
      <c r="J61" s="60" t="s">
        <v>399</v>
      </c>
      <c r="K61" s="60"/>
      <c r="L61" s="60" t="s">
        <v>60</v>
      </c>
      <c r="M61" s="60"/>
      <c r="N61" s="60"/>
      <c r="O61" s="60"/>
      <c r="P61" s="60"/>
      <c r="Q61" s="60"/>
      <c r="R61" s="60"/>
      <c r="S61" s="60"/>
      <c r="T61" s="60"/>
      <c r="U61" s="85">
        <f>(Tabela1[[#This Row],[Informe o KM final do dia]]-Tabela1[[#This Row],[Informe o KM inicial do dia]])-Tabela1[[#This Row],[Caso tenha rodado particular alguma parte do trajeto, informe o total de KM a ser deduzido.]]</f>
        <v>345</v>
      </c>
      <c r="V61" s="55">
        <f>IF(Tabela1[[#This Row],[Informe a data]]&lt;DATE(2026,3,16), Tabela1[[#This Row],[KM Rodado]]*1.1, Tabela1[[#This Row],[KM Rodado]]*1.23)</f>
        <v>379.50000000000006</v>
      </c>
      <c r="W61" s="86">
        <f>IFERROR(SUBSTITUTE(Tabela1[[#This Row],[Pedágio]],".",",",1)*1,0)</f>
        <v>0</v>
      </c>
      <c r="X61" s="86">
        <f>IFERROR(SUBSTITUTE(Tabela1[[#This Row],[Estacionamento]],".",",",1)*1,0)</f>
        <v>0</v>
      </c>
      <c r="Y61" s="86">
        <f>IFERROR(SUBSTITUTE(Tabela1[[#This Row],[Despesas Diversas 
(Jantar em viagem, Impressões, Etc)]],".",",",1)*1,0)</f>
        <v>0</v>
      </c>
      <c r="Z61" s="86">
        <f>IFERROR(SUBSTITUTE(Tabela1[[#This Row],[Hospedagem]],".",",",1)*1,0)</f>
        <v>0</v>
      </c>
      <c r="AA61" s="56" t="str">
        <f>IF(DAY(Tabela1[[#This Row],[Informe a data]])&lt;=15,"1ª Quinzena","2ª Quinzena")</f>
        <v>2ª Quinzena</v>
      </c>
      <c r="AB61" s="56" t="str">
        <f>UPPER(TEXT(Tabela1[[#This Row],[Informe a data]],"mmmm"))</f>
        <v>JANEIRO</v>
      </c>
      <c r="AC61" s="87" t="e">
        <f ca="1">_xlfn.CONCAT(Tabela1[[#This Row],[Selecione o Usuário]]," - ",TEXT(Tabela1[[#This Row],[Informe a data]],"dd-mm-aa"))</f>
        <v>#NAME?</v>
      </c>
    </row>
    <row r="62" spans="1:29">
      <c r="A62" s="59">
        <v>46052.771087962959</v>
      </c>
      <c r="B62" s="60" t="s">
        <v>374</v>
      </c>
      <c r="C62" s="60" t="s">
        <v>134</v>
      </c>
      <c r="D62" s="60" t="s">
        <v>209</v>
      </c>
      <c r="E62" s="61">
        <v>46052</v>
      </c>
      <c r="F62" s="60">
        <v>161112</v>
      </c>
      <c r="G62" s="60" t="s">
        <v>391</v>
      </c>
      <c r="H62" s="60">
        <v>161321</v>
      </c>
      <c r="I62" s="60" t="s">
        <v>392</v>
      </c>
      <c r="J62" s="60" t="s">
        <v>393</v>
      </c>
      <c r="K62" s="60"/>
      <c r="L62" s="60" t="s">
        <v>60</v>
      </c>
      <c r="M62" s="60"/>
      <c r="N62" s="60"/>
      <c r="O62" s="60"/>
      <c r="P62" s="60"/>
      <c r="Q62" s="60"/>
      <c r="R62" s="60"/>
      <c r="S62" s="60"/>
      <c r="T62" s="60"/>
      <c r="U62" s="85">
        <f>(Tabela1[[#This Row],[Informe o KM final do dia]]-Tabela1[[#This Row],[Informe o KM inicial do dia]])-Tabela1[[#This Row],[Caso tenha rodado particular alguma parte do trajeto, informe o total de KM a ser deduzido.]]</f>
        <v>209</v>
      </c>
      <c r="V62" s="55">
        <f>IF(Tabela1[[#This Row],[Informe a data]]&lt;DATE(2026,3,16), Tabela1[[#This Row],[KM Rodado]]*1.1, Tabela1[[#This Row],[KM Rodado]]*1.23)</f>
        <v>229.9</v>
      </c>
      <c r="W62" s="86">
        <f>IFERROR(SUBSTITUTE(Tabela1[[#This Row],[Pedágio]],".",",",1)*1,0)</f>
        <v>0</v>
      </c>
      <c r="X62" s="86">
        <f>IFERROR(SUBSTITUTE(Tabela1[[#This Row],[Estacionamento]],".",",",1)*1,0)</f>
        <v>0</v>
      </c>
      <c r="Y62" s="86">
        <f>IFERROR(SUBSTITUTE(Tabela1[[#This Row],[Despesas Diversas 
(Jantar em viagem, Impressões, Etc)]],".",",",1)*1,0)</f>
        <v>0</v>
      </c>
      <c r="Z62" s="86">
        <f>IFERROR(SUBSTITUTE(Tabela1[[#This Row],[Hospedagem]],".",",",1)*1,0)</f>
        <v>0</v>
      </c>
      <c r="AA62" s="56" t="str">
        <f>IF(DAY(Tabela1[[#This Row],[Informe a data]])&lt;=15,"1ª Quinzena","2ª Quinzena")</f>
        <v>2ª Quinzena</v>
      </c>
      <c r="AB62" s="56" t="str">
        <f>UPPER(TEXT(Tabela1[[#This Row],[Informe a data]],"mmmm"))</f>
        <v>JANEIRO</v>
      </c>
      <c r="AC62" s="87" t="e">
        <f ca="1">_xlfn.CONCAT(Tabela1[[#This Row],[Selecione o Usuário]]," - ",TEXT(Tabela1[[#This Row],[Informe a data]],"dd-mm-aa"))</f>
        <v>#NAME?</v>
      </c>
    </row>
    <row r="63" spans="1:29">
      <c r="A63" s="59">
        <v>46052.842083333337</v>
      </c>
      <c r="B63" s="60" t="s">
        <v>176</v>
      </c>
      <c r="C63" s="60" t="s">
        <v>136</v>
      </c>
      <c r="D63" s="60" t="s">
        <v>177</v>
      </c>
      <c r="E63" s="61">
        <v>46052</v>
      </c>
      <c r="F63" s="60">
        <v>168973</v>
      </c>
      <c r="G63" s="60" t="s">
        <v>400</v>
      </c>
      <c r="H63" s="60">
        <v>169011</v>
      </c>
      <c r="I63" s="60" t="s">
        <v>401</v>
      </c>
      <c r="J63" s="60" t="s">
        <v>402</v>
      </c>
      <c r="K63" s="60"/>
      <c r="L63" s="60" t="s">
        <v>60</v>
      </c>
      <c r="M63" s="60"/>
      <c r="N63" s="60"/>
      <c r="O63" s="60"/>
      <c r="P63" s="60"/>
      <c r="Q63" s="60"/>
      <c r="R63" s="60"/>
      <c r="S63" s="60"/>
      <c r="T63" s="60"/>
      <c r="U63" s="85">
        <f>(Tabela1[[#This Row],[Informe o KM final do dia]]-Tabela1[[#This Row],[Informe o KM inicial do dia]])-Tabela1[[#This Row],[Caso tenha rodado particular alguma parte do trajeto, informe o total de KM a ser deduzido.]]</f>
        <v>38</v>
      </c>
      <c r="V63" s="55">
        <f>IF(Tabela1[[#This Row],[Informe a data]]&lt;DATE(2026,3,16), Tabela1[[#This Row],[KM Rodado]]*1.1, Tabela1[[#This Row],[KM Rodado]]*1.23)</f>
        <v>41.800000000000004</v>
      </c>
      <c r="W63" s="86">
        <f>IFERROR(SUBSTITUTE(Tabela1[[#This Row],[Pedágio]],".",",",1)*1,0)</f>
        <v>0</v>
      </c>
      <c r="X63" s="86">
        <f>IFERROR(SUBSTITUTE(Tabela1[[#This Row],[Estacionamento]],".",",",1)*1,0)</f>
        <v>0</v>
      </c>
      <c r="Y63" s="86">
        <f>IFERROR(SUBSTITUTE(Tabela1[[#This Row],[Despesas Diversas 
(Jantar em viagem, Impressões, Etc)]],".",",",1)*1,0)</f>
        <v>0</v>
      </c>
      <c r="Z63" s="86">
        <f>IFERROR(SUBSTITUTE(Tabela1[[#This Row],[Hospedagem]],".",",",1)*1,0)</f>
        <v>0</v>
      </c>
      <c r="AA63" s="56" t="str">
        <f>IF(DAY(Tabela1[[#This Row],[Informe a data]])&lt;=15,"1ª Quinzena","2ª Quinzena")</f>
        <v>2ª Quinzena</v>
      </c>
      <c r="AB63" s="56" t="str">
        <f>UPPER(TEXT(Tabela1[[#This Row],[Informe a data]],"mmmm"))</f>
        <v>JANEIRO</v>
      </c>
      <c r="AC63" s="87" t="e">
        <f ca="1">_xlfn.CONCAT(Tabela1[[#This Row],[Selecione o Usuário]]," - ",TEXT(Tabela1[[#This Row],[Informe a data]],"dd-mm-aa"))</f>
        <v>#NAME?</v>
      </c>
    </row>
    <row r="64" spans="1:29">
      <c r="A64" s="59">
        <v>46053.416192129633</v>
      </c>
      <c r="B64" s="60" t="s">
        <v>140</v>
      </c>
      <c r="C64" s="60" t="s">
        <v>141</v>
      </c>
      <c r="D64" s="60" t="s">
        <v>169</v>
      </c>
      <c r="E64" s="61">
        <v>46052</v>
      </c>
      <c r="F64" s="60">
        <v>238029</v>
      </c>
      <c r="G64" s="60" t="s">
        <v>406</v>
      </c>
      <c r="H64" s="60">
        <v>238246</v>
      </c>
      <c r="I64" s="60" t="s">
        <v>407</v>
      </c>
      <c r="J64" s="60" t="s">
        <v>408</v>
      </c>
      <c r="K64" s="60"/>
      <c r="L64" s="60" t="s">
        <v>60</v>
      </c>
      <c r="M64" s="60"/>
      <c r="N64" s="60"/>
      <c r="O64" s="60"/>
      <c r="P64" s="60"/>
      <c r="Q64" s="60"/>
      <c r="R64" s="60"/>
      <c r="S64" s="60"/>
      <c r="T64" s="60"/>
      <c r="U64" s="85">
        <f>(Tabela1[[#This Row],[Informe o KM final do dia]]-Tabela1[[#This Row],[Informe o KM inicial do dia]])-Tabela1[[#This Row],[Caso tenha rodado particular alguma parte do trajeto, informe o total de KM a ser deduzido.]]</f>
        <v>217</v>
      </c>
      <c r="V64" s="55">
        <f>IF(Tabela1[[#This Row],[Informe a data]]&lt;DATE(2026,3,16), Tabela1[[#This Row],[KM Rodado]]*1.1, Tabela1[[#This Row],[KM Rodado]]*1.23)</f>
        <v>238.70000000000002</v>
      </c>
      <c r="W64" s="86">
        <f>IFERROR(SUBSTITUTE(Tabela1[[#This Row],[Pedágio]],".",",",1)*1,0)</f>
        <v>0</v>
      </c>
      <c r="X64" s="86">
        <f>IFERROR(SUBSTITUTE(Tabela1[[#This Row],[Estacionamento]],".",",",1)*1,0)</f>
        <v>0</v>
      </c>
      <c r="Y64" s="86">
        <f>IFERROR(SUBSTITUTE(Tabela1[[#This Row],[Despesas Diversas 
(Jantar em viagem, Impressões, Etc)]],".",",",1)*1,0)</f>
        <v>0</v>
      </c>
      <c r="Z64" s="86">
        <f>IFERROR(SUBSTITUTE(Tabela1[[#This Row],[Hospedagem]],".",",",1)*1,0)</f>
        <v>0</v>
      </c>
      <c r="AA64" s="56" t="str">
        <f>IF(DAY(Tabela1[[#This Row],[Informe a data]])&lt;=15,"1ª Quinzena","2ª Quinzena")</f>
        <v>2ª Quinzena</v>
      </c>
      <c r="AB64" s="56" t="str">
        <f>UPPER(TEXT(Tabela1[[#This Row],[Informe a data]],"mmmm"))</f>
        <v>JANEIRO</v>
      </c>
      <c r="AC64" s="87" t="e">
        <f ca="1">_xlfn.CONCAT(Tabela1[[#This Row],[Selecione o Usuário]]," - ",TEXT(Tabela1[[#This Row],[Informe a data]],"dd-mm-aa"))</f>
        <v>#NAME?</v>
      </c>
    </row>
    <row r="65" spans="1:29">
      <c r="A65" s="59">
        <v>46053.409513888888</v>
      </c>
      <c r="B65" s="60" t="s">
        <v>131</v>
      </c>
      <c r="C65" s="60" t="s">
        <v>132</v>
      </c>
      <c r="D65" s="60" t="s">
        <v>133</v>
      </c>
      <c r="E65" s="61">
        <v>46053</v>
      </c>
      <c r="F65" s="60">
        <v>186837</v>
      </c>
      <c r="G65" s="60" t="s">
        <v>403</v>
      </c>
      <c r="H65" s="60">
        <v>186895</v>
      </c>
      <c r="I65" s="60" t="s">
        <v>404</v>
      </c>
      <c r="J65" s="60" t="s">
        <v>405</v>
      </c>
      <c r="K65" s="60"/>
      <c r="L65" s="60" t="s">
        <v>60</v>
      </c>
      <c r="M65" s="60"/>
      <c r="N65" s="60"/>
      <c r="O65" s="60"/>
      <c r="P65" s="60"/>
      <c r="Q65" s="60"/>
      <c r="R65" s="60"/>
      <c r="S65" s="60"/>
      <c r="T65" s="60"/>
      <c r="U65" s="85">
        <f>(Tabela1[[#This Row],[Informe o KM final do dia]]-Tabela1[[#This Row],[Informe o KM inicial do dia]])-Tabela1[[#This Row],[Caso tenha rodado particular alguma parte do trajeto, informe o total de KM a ser deduzido.]]</f>
        <v>58</v>
      </c>
      <c r="V65" s="55">
        <f>IF(Tabela1[[#This Row],[Informe a data]]&lt;DATE(2026,3,16), Tabela1[[#This Row],[KM Rodado]]*1.1, Tabela1[[#This Row],[KM Rodado]]*1.23)</f>
        <v>63.800000000000004</v>
      </c>
      <c r="W65" s="86">
        <f>IFERROR(SUBSTITUTE(Tabela1[[#This Row],[Pedágio]],".",",",1)*1,0)</f>
        <v>0</v>
      </c>
      <c r="X65" s="86">
        <f>IFERROR(SUBSTITUTE(Tabela1[[#This Row],[Estacionamento]],".",",",1)*1,0)</f>
        <v>0</v>
      </c>
      <c r="Y65" s="86">
        <f>IFERROR(SUBSTITUTE(Tabela1[[#This Row],[Despesas Diversas 
(Jantar em viagem, Impressões, Etc)]],".",",",1)*1,0)</f>
        <v>0</v>
      </c>
      <c r="Z65" s="86">
        <f>IFERROR(SUBSTITUTE(Tabela1[[#This Row],[Hospedagem]],".",",",1)*1,0)</f>
        <v>0</v>
      </c>
      <c r="AA65" s="56" t="str">
        <f>IF(DAY(Tabela1[[#This Row],[Informe a data]])&lt;=15,"1ª Quinzena","2ª Quinzena")</f>
        <v>2ª Quinzena</v>
      </c>
      <c r="AB65" s="56" t="str">
        <f>UPPER(TEXT(Tabela1[[#This Row],[Informe a data]],"mmmm"))</f>
        <v>JANEIRO</v>
      </c>
      <c r="AC65" s="87" t="e">
        <f ca="1">_xlfn.CONCAT(Tabela1[[#This Row],[Selecione o Usuário]]," - ",TEXT(Tabela1[[#This Row],[Informe a data]],"dd-mm-aa"))</f>
        <v>#NAME?</v>
      </c>
    </row>
    <row r="66" spans="1:29">
      <c r="A66" s="59">
        <v>46053.826493055552</v>
      </c>
      <c r="B66" s="60" t="s">
        <v>300</v>
      </c>
      <c r="C66" s="60" t="s">
        <v>250</v>
      </c>
      <c r="D66" s="60" t="s">
        <v>301</v>
      </c>
      <c r="E66" s="61">
        <v>46053</v>
      </c>
      <c r="F66" s="60">
        <v>119338</v>
      </c>
      <c r="G66" s="60" t="s">
        <v>409</v>
      </c>
      <c r="H66" s="60">
        <v>119420</v>
      </c>
      <c r="I66" s="60" t="s">
        <v>410</v>
      </c>
      <c r="J66" s="60" t="s">
        <v>411</v>
      </c>
      <c r="K66" s="60"/>
      <c r="L66" s="60" t="s">
        <v>60</v>
      </c>
      <c r="M66" s="60"/>
      <c r="N66" s="60"/>
      <c r="O66" s="60"/>
      <c r="P66" s="60"/>
      <c r="Q66" s="60"/>
      <c r="R66" s="60"/>
      <c r="S66" s="60"/>
      <c r="T66" s="60"/>
      <c r="U66" s="85">
        <f>(Tabela1[[#This Row],[Informe o KM final do dia]]-Tabela1[[#This Row],[Informe o KM inicial do dia]])-Tabela1[[#This Row],[Caso tenha rodado particular alguma parte do trajeto, informe o total de KM a ser deduzido.]]</f>
        <v>82</v>
      </c>
      <c r="V66" s="55">
        <f>IF(Tabela1[[#This Row],[Informe a data]]&lt;DATE(2026,3,16), Tabela1[[#This Row],[KM Rodado]]*1.1, Tabela1[[#This Row],[KM Rodado]]*1.23)</f>
        <v>90.2</v>
      </c>
      <c r="W66" s="86">
        <f>IFERROR(SUBSTITUTE(Tabela1[[#This Row],[Pedágio]],".",",",1)*1,0)</f>
        <v>0</v>
      </c>
      <c r="X66" s="86">
        <f>IFERROR(SUBSTITUTE(Tabela1[[#This Row],[Estacionamento]],".",",",1)*1,0)</f>
        <v>0</v>
      </c>
      <c r="Y66" s="86">
        <f>IFERROR(SUBSTITUTE(Tabela1[[#This Row],[Despesas Diversas 
(Jantar em viagem, Impressões, Etc)]],".",",",1)*1,0)</f>
        <v>0</v>
      </c>
      <c r="Z66" s="86">
        <f>IFERROR(SUBSTITUTE(Tabela1[[#This Row],[Hospedagem]],".",",",1)*1,0)</f>
        <v>0</v>
      </c>
      <c r="AA66" s="56" t="str">
        <f>IF(DAY(Tabela1[[#This Row],[Informe a data]])&lt;=15,"1ª Quinzena","2ª Quinzena")</f>
        <v>2ª Quinzena</v>
      </c>
      <c r="AB66" s="56" t="str">
        <f>UPPER(TEXT(Tabela1[[#This Row],[Informe a data]],"mmmm"))</f>
        <v>JANEIRO</v>
      </c>
      <c r="AC66" s="87" t="e">
        <f ca="1">_xlfn.CONCAT(Tabela1[[#This Row],[Selecione o Usuário]]," - ",TEXT(Tabela1[[#This Row],[Informe a data]],"dd-mm-aa"))</f>
        <v>#NAME?</v>
      </c>
    </row>
    <row r="67" spans="1:29">
      <c r="A67" s="89">
        <v>46056.409143518518</v>
      </c>
      <c r="B67" s="90" t="s">
        <v>300</v>
      </c>
      <c r="C67" s="90" t="s">
        <v>250</v>
      </c>
      <c r="D67" s="90" t="s">
        <v>228</v>
      </c>
      <c r="E67" s="91">
        <v>46055</v>
      </c>
      <c r="F67" s="92">
        <v>119499</v>
      </c>
      <c r="G67" s="93" t="s">
        <v>412</v>
      </c>
      <c r="H67" s="92">
        <v>119665</v>
      </c>
      <c r="I67" s="93" t="s">
        <v>413</v>
      </c>
      <c r="J67" s="90" t="s">
        <v>414</v>
      </c>
      <c r="K67" s="94"/>
      <c r="L67" s="90" t="s">
        <v>61</v>
      </c>
      <c r="M67" s="94"/>
      <c r="N67" s="94"/>
      <c r="O67" s="94"/>
      <c r="P67" s="94"/>
      <c r="Q67" s="90" t="s">
        <v>415</v>
      </c>
      <c r="R67" s="93" t="s">
        <v>416</v>
      </c>
      <c r="S67" s="94"/>
      <c r="T67" s="94" t="s">
        <v>417</v>
      </c>
      <c r="U67" s="85">
        <f>(Tabela1[[#This Row],[Informe o KM final do dia]]-Tabela1[[#This Row],[Informe o KM inicial do dia]])-Tabela1[[#This Row],[Caso tenha rodado particular alguma parte do trajeto, informe o total de KM a ser deduzido.]]</f>
        <v>166</v>
      </c>
      <c r="V67" s="55">
        <f>IF(Tabela1[[#This Row],[Informe a data]]&lt;DATE(2026,3,16), Tabela1[[#This Row],[KM Rodado]]*1.1, Tabela1[[#This Row],[KM Rodado]]*1.23)</f>
        <v>182.60000000000002</v>
      </c>
      <c r="W67" s="86">
        <f>IFERROR(SUBSTITUTE(Tabela1[[#This Row],[Pedágio]],".",",",1)*1,0)</f>
        <v>0</v>
      </c>
      <c r="X67" s="86">
        <f>IFERROR(SUBSTITUTE(Tabela1[[#This Row],[Estacionamento]],".",",",1)*1,0)</f>
        <v>0</v>
      </c>
      <c r="Y67" s="86">
        <f>IFERROR(SUBSTITUTE(Tabela1[[#This Row],[Despesas Diversas 
(Jantar em viagem, Impressões, Etc)]],".",",",1)*1,0)</f>
        <v>13.8</v>
      </c>
      <c r="Z67" s="86">
        <f>IFERROR(SUBSTITUTE(Tabela1[[#This Row],[Hospedagem]],".",",",1)*1,0)</f>
        <v>0</v>
      </c>
      <c r="AA67" s="56" t="str">
        <f>IF(DAY(Tabela1[[#This Row],[Informe a data]])&lt;=15,"1ª Quinzena","2ª Quinzena")</f>
        <v>1ª Quinzena</v>
      </c>
      <c r="AB67" s="56" t="str">
        <f>UPPER(TEXT(Tabela1[[#This Row],[Informe a data]],"mmmm"))</f>
        <v>FEVEREIRO</v>
      </c>
      <c r="AC67" s="87" t="e">
        <f ca="1">_xlfn.CONCAT(Tabela1[[#This Row],[Selecione o Usuário]]," - ",TEXT(Tabela1[[#This Row],[Informe a data]],"dd-mm-aa"))</f>
        <v>#NAME?</v>
      </c>
    </row>
    <row r="68" spans="1:29">
      <c r="A68" s="49">
        <v>46071.354317129626</v>
      </c>
      <c r="B68" s="50" t="s">
        <v>176</v>
      </c>
      <c r="C68" s="50" t="s">
        <v>136</v>
      </c>
      <c r="D68" s="50" t="s">
        <v>177</v>
      </c>
      <c r="E68" s="51">
        <v>46055</v>
      </c>
      <c r="F68" s="52">
        <v>169047</v>
      </c>
      <c r="G68" s="53"/>
      <c r="H68" s="52">
        <v>169070</v>
      </c>
      <c r="I68" s="53"/>
      <c r="J68" s="50" t="s">
        <v>544</v>
      </c>
      <c r="K68" s="53"/>
      <c r="L68" s="50" t="s">
        <v>60</v>
      </c>
      <c r="M68" s="53"/>
      <c r="N68" s="53"/>
      <c r="O68" s="53"/>
      <c r="P68" s="53"/>
      <c r="Q68" s="53"/>
      <c r="R68" s="53"/>
      <c r="S68" s="53"/>
      <c r="T68" s="53"/>
      <c r="U68" s="85">
        <f>(Tabela1[[#This Row],[Informe o KM final do dia]]-Tabela1[[#This Row],[Informe o KM inicial do dia]])-Tabela1[[#This Row],[Caso tenha rodado particular alguma parte do trajeto, informe o total de KM a ser deduzido.]]</f>
        <v>23</v>
      </c>
      <c r="V68" s="55">
        <f>IF(Tabela1[[#This Row],[Informe a data]]&lt;DATE(2026,3,16), Tabela1[[#This Row],[KM Rodado]]*1.1, Tabela1[[#This Row],[KM Rodado]]*1.23)</f>
        <v>25.3</v>
      </c>
      <c r="W68" s="86">
        <f>IFERROR(SUBSTITUTE(Tabela1[[#This Row],[Pedágio]],".",",",1)*1,0)</f>
        <v>0</v>
      </c>
      <c r="X68" s="86">
        <f>IFERROR(SUBSTITUTE(Tabela1[[#This Row],[Estacionamento]],".",",",1)*1,0)</f>
        <v>0</v>
      </c>
      <c r="Y68" s="86">
        <f>IFERROR(SUBSTITUTE(Tabela1[[#This Row],[Despesas Diversas 
(Jantar em viagem, Impressões, Etc)]],".",",",1)*1,0)</f>
        <v>0</v>
      </c>
      <c r="Z68" s="86">
        <f>IFERROR(SUBSTITUTE(Tabela1[[#This Row],[Hospedagem]],".",",",1)*1,0)</f>
        <v>0</v>
      </c>
      <c r="AA68" s="56" t="str">
        <f>IF(DAY(Tabela1[[#This Row],[Informe a data]])&lt;=15,"1ª Quinzena","2ª Quinzena")</f>
        <v>1ª Quinzena</v>
      </c>
      <c r="AB68" s="56" t="str">
        <f>UPPER(TEXT(Tabela1[[#This Row],[Informe a data]],"mmmm"))</f>
        <v>FEVEREIRO</v>
      </c>
      <c r="AC68" s="87" t="e">
        <f ca="1">_xlfn.CONCAT(Tabela1[[#This Row],[Selecione o Usuário]]," - ",TEXT(Tabela1[[#This Row],[Informe a data]],"dd-mm-aa"))</f>
        <v>#NAME?</v>
      </c>
    </row>
    <row r="69" spans="1:29">
      <c r="A69" s="89">
        <v>46056.774467592593</v>
      </c>
      <c r="B69" s="90" t="s">
        <v>131</v>
      </c>
      <c r="C69" s="90" t="s">
        <v>132</v>
      </c>
      <c r="D69" s="90" t="s">
        <v>133</v>
      </c>
      <c r="E69" s="91">
        <v>46056</v>
      </c>
      <c r="F69" s="92">
        <v>186907</v>
      </c>
      <c r="G69" s="93" t="s">
        <v>421</v>
      </c>
      <c r="H69" s="92">
        <v>187112</v>
      </c>
      <c r="I69" s="93" t="s">
        <v>422</v>
      </c>
      <c r="J69" s="90" t="s">
        <v>423</v>
      </c>
      <c r="K69" s="94"/>
      <c r="L69" s="90" t="s">
        <v>61</v>
      </c>
      <c r="M69" s="90" t="s">
        <v>128</v>
      </c>
      <c r="N69" s="93" t="s">
        <v>424</v>
      </c>
      <c r="O69" s="94"/>
      <c r="P69" s="94"/>
      <c r="Q69" s="90" t="s">
        <v>425</v>
      </c>
      <c r="R69" s="93" t="s">
        <v>426</v>
      </c>
      <c r="S69" s="94"/>
      <c r="T69" s="94"/>
      <c r="U69" s="85">
        <f>(Tabela1[[#This Row],[Informe o KM final do dia]]-Tabela1[[#This Row],[Informe o KM inicial do dia]])-Tabela1[[#This Row],[Caso tenha rodado particular alguma parte do trajeto, informe o total de KM a ser deduzido.]]</f>
        <v>205</v>
      </c>
      <c r="V69" s="55">
        <f>IF(Tabela1[[#This Row],[Informe a data]]&lt;DATE(2026,3,16), Tabela1[[#This Row],[KM Rodado]]*1.1, Tabela1[[#This Row],[KM Rodado]]*1.23)</f>
        <v>225.50000000000003</v>
      </c>
      <c r="W69" s="86">
        <f>IFERROR(SUBSTITUTE(Tabela1[[#This Row],[Pedágio]],".",",",1)*1,0)</f>
        <v>11.4</v>
      </c>
      <c r="X69" s="86">
        <f>IFERROR(SUBSTITUTE(Tabela1[[#This Row],[Estacionamento]],".",",",1)*1,0)</f>
        <v>0</v>
      </c>
      <c r="Y69" s="86">
        <f>IFERROR(SUBSTITUTE(Tabela1[[#This Row],[Despesas Diversas 
(Jantar em viagem, Impressões, Etc)]],".",",",1)*1,0)</f>
        <v>106.76</v>
      </c>
      <c r="Z69" s="86">
        <f>IFERROR(SUBSTITUTE(Tabela1[[#This Row],[Hospedagem]],".",",",1)*1,0)</f>
        <v>0</v>
      </c>
      <c r="AA69" s="56" t="str">
        <f>IF(DAY(Tabela1[[#This Row],[Informe a data]])&lt;=15,"1ª Quinzena","2ª Quinzena")</f>
        <v>1ª Quinzena</v>
      </c>
      <c r="AB69" s="56" t="str">
        <f>UPPER(TEXT(Tabela1[[#This Row],[Informe a data]],"mmmm"))</f>
        <v>FEVEREIRO</v>
      </c>
      <c r="AC69" s="87" t="e">
        <f ca="1">_xlfn.CONCAT(Tabela1[[#This Row],[Selecione o Usuário]]," - ",TEXT(Tabela1[[#This Row],[Informe a data]],"dd-mm-aa"))</f>
        <v>#NAME?</v>
      </c>
    </row>
    <row r="70" spans="1:29">
      <c r="A70" s="49">
        <v>46056.756435185183</v>
      </c>
      <c r="B70" s="50" t="s">
        <v>300</v>
      </c>
      <c r="C70" s="50" t="s">
        <v>250</v>
      </c>
      <c r="D70" s="50" t="s">
        <v>228</v>
      </c>
      <c r="E70" s="51">
        <v>46056</v>
      </c>
      <c r="F70" s="52">
        <v>119764</v>
      </c>
      <c r="G70" s="58" t="s">
        <v>418</v>
      </c>
      <c r="H70" s="52">
        <v>119931</v>
      </c>
      <c r="I70" s="58" t="s">
        <v>419</v>
      </c>
      <c r="J70" s="50" t="s">
        <v>420</v>
      </c>
      <c r="K70" s="53"/>
      <c r="L70" s="50" t="s">
        <v>60</v>
      </c>
      <c r="M70" s="53"/>
      <c r="N70" s="53"/>
      <c r="O70" s="53"/>
      <c r="P70" s="53"/>
      <c r="Q70" s="53"/>
      <c r="R70" s="53"/>
      <c r="S70" s="53"/>
      <c r="T70" s="53"/>
      <c r="U70" s="85">
        <f>(Tabela1[[#This Row],[Informe o KM final do dia]]-Tabela1[[#This Row],[Informe o KM inicial do dia]])-Tabela1[[#This Row],[Caso tenha rodado particular alguma parte do trajeto, informe o total de KM a ser deduzido.]]</f>
        <v>167</v>
      </c>
      <c r="V70" s="55">
        <f>IF(Tabela1[[#This Row],[Informe a data]]&lt;DATE(2026,3,16), Tabela1[[#This Row],[KM Rodado]]*1.1, Tabela1[[#This Row],[KM Rodado]]*1.23)</f>
        <v>183.70000000000002</v>
      </c>
      <c r="W70" s="86">
        <f>IFERROR(SUBSTITUTE(Tabela1[[#This Row],[Pedágio]],".",",",1)*1,0)</f>
        <v>0</v>
      </c>
      <c r="X70" s="86">
        <f>IFERROR(SUBSTITUTE(Tabela1[[#This Row],[Estacionamento]],".",",",1)*1,0)</f>
        <v>0</v>
      </c>
      <c r="Y70" s="86">
        <f>IFERROR(SUBSTITUTE(Tabela1[[#This Row],[Despesas Diversas 
(Jantar em viagem, Impressões, Etc)]],".",",",1)*1,0)</f>
        <v>0</v>
      </c>
      <c r="Z70" s="86">
        <f>IFERROR(SUBSTITUTE(Tabela1[[#This Row],[Hospedagem]],".",",",1)*1,0)</f>
        <v>0</v>
      </c>
      <c r="AA70" s="56" t="str">
        <f>IF(DAY(Tabela1[[#This Row],[Informe a data]])&lt;=15,"1ª Quinzena","2ª Quinzena")</f>
        <v>1ª Quinzena</v>
      </c>
      <c r="AB70" s="56" t="str">
        <f>UPPER(TEXT(Tabela1[[#This Row],[Informe a data]],"mmmm"))</f>
        <v>FEVEREIRO</v>
      </c>
      <c r="AC70" s="87" t="e">
        <f ca="1">_xlfn.CONCAT(Tabela1[[#This Row],[Selecione o Usuário]]," - ",TEXT(Tabela1[[#This Row],[Informe a data]],"dd-mm-aa"))</f>
        <v>#NAME?</v>
      </c>
    </row>
    <row r="71" spans="1:29">
      <c r="A71" s="49">
        <v>46057.722291666665</v>
      </c>
      <c r="B71" s="50" t="s">
        <v>140</v>
      </c>
      <c r="C71" s="50" t="s">
        <v>141</v>
      </c>
      <c r="D71" s="50" t="s">
        <v>169</v>
      </c>
      <c r="E71" s="51">
        <v>46056</v>
      </c>
      <c r="F71" s="52">
        <v>238029</v>
      </c>
      <c r="G71" s="58" t="s">
        <v>427</v>
      </c>
      <c r="H71" s="52">
        <v>238353</v>
      </c>
      <c r="I71" s="58" t="s">
        <v>428</v>
      </c>
      <c r="J71" s="50" t="s">
        <v>429</v>
      </c>
      <c r="K71" s="53"/>
      <c r="L71" s="50" t="s">
        <v>60</v>
      </c>
      <c r="M71" s="53"/>
      <c r="N71" s="53"/>
      <c r="O71" s="53"/>
      <c r="P71" s="53"/>
      <c r="Q71" s="53"/>
      <c r="R71" s="53"/>
      <c r="S71" s="53"/>
      <c r="T71" s="53"/>
      <c r="U71" s="85">
        <f>(Tabela1[[#This Row],[Informe o KM final do dia]]-Tabela1[[#This Row],[Informe o KM inicial do dia]])-Tabela1[[#This Row],[Caso tenha rodado particular alguma parte do trajeto, informe o total de KM a ser deduzido.]]</f>
        <v>324</v>
      </c>
      <c r="V71" s="55">
        <f>IF(Tabela1[[#This Row],[Informe a data]]&lt;DATE(2026,3,16), Tabela1[[#This Row],[KM Rodado]]*1.1, Tabela1[[#This Row],[KM Rodado]]*1.23)</f>
        <v>356.40000000000003</v>
      </c>
      <c r="W71" s="86">
        <f>IFERROR(SUBSTITUTE(Tabela1[[#This Row],[Pedágio]],".",",",1)*1,0)</f>
        <v>0</v>
      </c>
      <c r="X71" s="86">
        <f>IFERROR(SUBSTITUTE(Tabela1[[#This Row],[Estacionamento]],".",",",1)*1,0)</f>
        <v>0</v>
      </c>
      <c r="Y71" s="86">
        <f>IFERROR(SUBSTITUTE(Tabela1[[#This Row],[Despesas Diversas 
(Jantar em viagem, Impressões, Etc)]],".",",",1)*1,0)</f>
        <v>0</v>
      </c>
      <c r="Z71" s="86">
        <f>IFERROR(SUBSTITUTE(Tabela1[[#This Row],[Hospedagem]],".",",",1)*1,0)</f>
        <v>0</v>
      </c>
      <c r="AA71" s="56" t="str">
        <f>IF(DAY(Tabela1[[#This Row],[Informe a data]])&lt;=15,"1ª Quinzena","2ª Quinzena")</f>
        <v>1ª Quinzena</v>
      </c>
      <c r="AB71" s="56" t="str">
        <f>UPPER(TEXT(Tabela1[[#This Row],[Informe a data]],"mmmm"))</f>
        <v>FEVEREIRO</v>
      </c>
      <c r="AC71" s="87" t="e">
        <f ca="1">_xlfn.CONCAT(Tabela1[[#This Row],[Selecione o Usuário]]," - ",TEXT(Tabela1[[#This Row],[Informe a data]],"dd-mm-aa"))</f>
        <v>#NAME?</v>
      </c>
    </row>
    <row r="72" spans="1:29">
      <c r="A72" s="89">
        <v>46058.311342592591</v>
      </c>
      <c r="B72" s="90" t="s">
        <v>131</v>
      </c>
      <c r="C72" s="90" t="s">
        <v>132</v>
      </c>
      <c r="D72" s="90" t="s">
        <v>133</v>
      </c>
      <c r="E72" s="91">
        <v>46057</v>
      </c>
      <c r="F72" s="92">
        <v>187112</v>
      </c>
      <c r="G72" s="93" t="s">
        <v>430</v>
      </c>
      <c r="H72" s="92">
        <v>187171</v>
      </c>
      <c r="I72" s="93" t="s">
        <v>431</v>
      </c>
      <c r="J72" s="90" t="s">
        <v>432</v>
      </c>
      <c r="K72" s="94"/>
      <c r="L72" s="90" t="s">
        <v>61</v>
      </c>
      <c r="M72" s="94"/>
      <c r="N72" s="94"/>
      <c r="O72" s="90" t="s">
        <v>317</v>
      </c>
      <c r="P72" s="93" t="s">
        <v>433</v>
      </c>
      <c r="Q72" s="94"/>
      <c r="R72" s="94"/>
      <c r="S72" s="94"/>
      <c r="T72" s="94"/>
      <c r="U72" s="85">
        <f>(Tabela1[[#This Row],[Informe o KM final do dia]]-Tabela1[[#This Row],[Informe o KM inicial do dia]])-Tabela1[[#This Row],[Caso tenha rodado particular alguma parte do trajeto, informe o total de KM a ser deduzido.]]</f>
        <v>59</v>
      </c>
      <c r="V72" s="55">
        <f>IF(Tabela1[[#This Row],[Informe a data]]&lt;DATE(2026,3,16), Tabela1[[#This Row],[KM Rodado]]*1.1, Tabela1[[#This Row],[KM Rodado]]*1.23)</f>
        <v>64.900000000000006</v>
      </c>
      <c r="W72" s="86">
        <f>IFERROR(SUBSTITUTE(Tabela1[[#This Row],[Pedágio]],".",",",1)*1,0)</f>
        <v>0</v>
      </c>
      <c r="X72" s="86">
        <f>IFERROR(SUBSTITUTE(Tabela1[[#This Row],[Estacionamento]],".",",",1)*1,0)</f>
        <v>20</v>
      </c>
      <c r="Y72" s="86">
        <f>IFERROR(SUBSTITUTE(Tabela1[[#This Row],[Despesas Diversas 
(Jantar em viagem, Impressões, Etc)]],".",",",1)*1,0)</f>
        <v>0</v>
      </c>
      <c r="Z72" s="86">
        <f>IFERROR(SUBSTITUTE(Tabela1[[#This Row],[Hospedagem]],".",",",1)*1,0)</f>
        <v>0</v>
      </c>
      <c r="AA72" s="56" t="str">
        <f>IF(DAY(Tabela1[[#This Row],[Informe a data]])&lt;=15,"1ª Quinzena","2ª Quinzena")</f>
        <v>1ª Quinzena</v>
      </c>
      <c r="AB72" s="56" t="str">
        <f>UPPER(TEXT(Tabela1[[#This Row],[Informe a data]],"mmmm"))</f>
        <v>FEVEREIRO</v>
      </c>
      <c r="AC72" s="87" t="e">
        <f ca="1">_xlfn.CONCAT(Tabela1[[#This Row],[Selecione o Usuário]]," - ",TEXT(Tabela1[[#This Row],[Informe a data]],"dd-mm-aa"))</f>
        <v>#NAME?</v>
      </c>
    </row>
    <row r="73" spans="1:29">
      <c r="A73" s="49">
        <v>46058.381840277776</v>
      </c>
      <c r="B73" s="50" t="s">
        <v>300</v>
      </c>
      <c r="C73" s="50" t="s">
        <v>250</v>
      </c>
      <c r="D73" s="50" t="s">
        <v>228</v>
      </c>
      <c r="E73" s="51">
        <v>46057</v>
      </c>
      <c r="F73" s="52">
        <v>119931</v>
      </c>
      <c r="G73" s="58" t="s">
        <v>434</v>
      </c>
      <c r="H73" s="52">
        <v>120017</v>
      </c>
      <c r="I73" s="58" t="s">
        <v>435</v>
      </c>
      <c r="J73" s="50" t="s">
        <v>436</v>
      </c>
      <c r="K73" s="53"/>
      <c r="L73" s="50" t="s">
        <v>60</v>
      </c>
      <c r="M73" s="53"/>
      <c r="N73" s="53"/>
      <c r="O73" s="53"/>
      <c r="P73" s="53"/>
      <c r="Q73" s="53"/>
      <c r="R73" s="53"/>
      <c r="S73" s="53"/>
      <c r="T73" s="53"/>
      <c r="U73" s="85">
        <f>(Tabela1[[#This Row],[Informe o KM final do dia]]-Tabela1[[#This Row],[Informe o KM inicial do dia]])-Tabela1[[#This Row],[Caso tenha rodado particular alguma parte do trajeto, informe o total de KM a ser deduzido.]]</f>
        <v>86</v>
      </c>
      <c r="V73" s="55">
        <f>IF(Tabela1[[#This Row],[Informe a data]]&lt;DATE(2026,3,16), Tabela1[[#This Row],[KM Rodado]]*1.1, Tabela1[[#This Row],[KM Rodado]]*1.23)</f>
        <v>94.600000000000009</v>
      </c>
      <c r="W73" s="86">
        <f>IFERROR(SUBSTITUTE(Tabela1[[#This Row],[Pedágio]],".",",",1)*1,0)</f>
        <v>0</v>
      </c>
      <c r="X73" s="86">
        <f>IFERROR(SUBSTITUTE(Tabela1[[#This Row],[Estacionamento]],".",",",1)*1,0)</f>
        <v>0</v>
      </c>
      <c r="Y73" s="86">
        <f>IFERROR(SUBSTITUTE(Tabela1[[#This Row],[Despesas Diversas 
(Jantar em viagem, Impressões, Etc)]],".",",",1)*1,0)</f>
        <v>0</v>
      </c>
      <c r="Z73" s="86">
        <f>IFERROR(SUBSTITUTE(Tabela1[[#This Row],[Hospedagem]],".",",",1)*1,0)</f>
        <v>0</v>
      </c>
      <c r="AA73" s="56" t="str">
        <f>IF(DAY(Tabela1[[#This Row],[Informe a data]])&lt;=15,"1ª Quinzena","2ª Quinzena")</f>
        <v>1ª Quinzena</v>
      </c>
      <c r="AB73" s="56" t="str">
        <f>UPPER(TEXT(Tabela1[[#This Row],[Informe a data]],"mmmm"))</f>
        <v>FEVEREIRO</v>
      </c>
      <c r="AC73" s="87" t="e">
        <f ca="1">_xlfn.CONCAT(Tabela1[[#This Row],[Selecione o Usuário]]," - ",TEXT(Tabela1[[#This Row],[Informe a data]],"dd-mm-aa"))</f>
        <v>#NAME?</v>
      </c>
    </row>
    <row r="74" spans="1:29">
      <c r="A74" s="89">
        <v>46058.863912037035</v>
      </c>
      <c r="B74" s="90" t="s">
        <v>140</v>
      </c>
      <c r="C74" s="90" t="s">
        <v>141</v>
      </c>
      <c r="D74" s="90" t="s">
        <v>169</v>
      </c>
      <c r="E74" s="91">
        <v>46057</v>
      </c>
      <c r="F74" s="92">
        <v>56431</v>
      </c>
      <c r="G74" s="93" t="s">
        <v>437</v>
      </c>
      <c r="H74" s="92">
        <v>56555</v>
      </c>
      <c r="I74" s="93" t="s">
        <v>438</v>
      </c>
      <c r="J74" s="90" t="s">
        <v>439</v>
      </c>
      <c r="K74" s="94"/>
      <c r="L74" s="90" t="s">
        <v>60</v>
      </c>
      <c r="M74" s="94"/>
      <c r="N74" s="94"/>
      <c r="O74" s="94"/>
      <c r="P74" s="94"/>
      <c r="Q74" s="94"/>
      <c r="R74" s="94"/>
      <c r="S74" s="94"/>
      <c r="T74" s="94"/>
      <c r="U74" s="85">
        <f>(Tabela1[[#This Row],[Informe o KM final do dia]]-Tabela1[[#This Row],[Informe o KM inicial do dia]])-Tabela1[[#This Row],[Caso tenha rodado particular alguma parte do trajeto, informe o total de KM a ser deduzido.]]</f>
        <v>124</v>
      </c>
      <c r="V74" s="55">
        <f>IF(Tabela1[[#This Row],[Informe a data]]&lt;DATE(2026,3,16), Tabela1[[#This Row],[KM Rodado]]*1.1, Tabela1[[#This Row],[KM Rodado]]*1.23)</f>
        <v>136.4</v>
      </c>
      <c r="W74" s="86">
        <f>IFERROR(SUBSTITUTE(Tabela1[[#This Row],[Pedágio]],".",",",1)*1,0)</f>
        <v>0</v>
      </c>
      <c r="X74" s="86">
        <f>IFERROR(SUBSTITUTE(Tabela1[[#This Row],[Estacionamento]],".",",",1)*1,0)</f>
        <v>0</v>
      </c>
      <c r="Y74" s="86">
        <f>IFERROR(SUBSTITUTE(Tabela1[[#This Row],[Despesas Diversas 
(Jantar em viagem, Impressões, Etc)]],".",",",1)*1,0)</f>
        <v>0</v>
      </c>
      <c r="Z74" s="86">
        <f>IFERROR(SUBSTITUTE(Tabela1[[#This Row],[Hospedagem]],".",",",1)*1,0)</f>
        <v>0</v>
      </c>
      <c r="AA74" s="56" t="str">
        <f>IF(DAY(Tabela1[[#This Row],[Informe a data]])&lt;=15,"1ª Quinzena","2ª Quinzena")</f>
        <v>1ª Quinzena</v>
      </c>
      <c r="AB74" s="56" t="str">
        <f>UPPER(TEXT(Tabela1[[#This Row],[Informe a data]],"mmmm"))</f>
        <v>FEVEREIRO</v>
      </c>
      <c r="AC74" s="87" t="e">
        <f ca="1">_xlfn.CONCAT(Tabela1[[#This Row],[Selecione o Usuário]]," - ",TEXT(Tabela1[[#This Row],[Informe a data]],"dd-mm-aa"))</f>
        <v>#NAME?</v>
      </c>
    </row>
    <row r="75" spans="1:29">
      <c r="A75" s="49">
        <v>46058.899247685185</v>
      </c>
      <c r="B75" s="50" t="s">
        <v>131</v>
      </c>
      <c r="C75" s="50" t="s">
        <v>132</v>
      </c>
      <c r="D75" s="50" t="s">
        <v>133</v>
      </c>
      <c r="E75" s="51">
        <v>46058</v>
      </c>
      <c r="F75" s="52">
        <v>187171</v>
      </c>
      <c r="G75" s="58" t="s">
        <v>440</v>
      </c>
      <c r="H75" s="52">
        <v>187393</v>
      </c>
      <c r="I75" s="58" t="s">
        <v>441</v>
      </c>
      <c r="J75" s="50" t="s">
        <v>442</v>
      </c>
      <c r="K75" s="53"/>
      <c r="L75" s="50" t="s">
        <v>61</v>
      </c>
      <c r="M75" s="50" t="s">
        <v>128</v>
      </c>
      <c r="N75" s="53"/>
      <c r="O75" s="53"/>
      <c r="P75" s="53"/>
      <c r="Q75" s="50" t="s">
        <v>443</v>
      </c>
      <c r="R75" s="58" t="s">
        <v>444</v>
      </c>
      <c r="S75" s="53"/>
      <c r="T75" s="53"/>
      <c r="U75" s="85">
        <f>(Tabela1[[#This Row],[Informe o KM final do dia]]-Tabela1[[#This Row],[Informe o KM inicial do dia]])-Tabela1[[#This Row],[Caso tenha rodado particular alguma parte do trajeto, informe o total de KM a ser deduzido.]]</f>
        <v>222</v>
      </c>
      <c r="V75" s="55">
        <f>IF(Tabela1[[#This Row],[Informe a data]]&lt;DATE(2026,3,16), Tabela1[[#This Row],[KM Rodado]]*1.1, Tabela1[[#This Row],[KM Rodado]]*1.23)</f>
        <v>244.20000000000002</v>
      </c>
      <c r="W75" s="86">
        <f>IFERROR(SUBSTITUTE(Tabela1[[#This Row],[Pedágio]],".",",",1)*1,0)</f>
        <v>11.4</v>
      </c>
      <c r="X75" s="86">
        <f>IFERROR(SUBSTITUTE(Tabela1[[#This Row],[Estacionamento]],".",",",1)*1,0)</f>
        <v>0</v>
      </c>
      <c r="Y75" s="86">
        <f>IFERROR(SUBSTITUTE(Tabela1[[#This Row],[Despesas Diversas 
(Jantar em viagem, Impressões, Etc)]],".",",",1)*1,0)</f>
        <v>57.9</v>
      </c>
      <c r="Z75" s="86">
        <f>IFERROR(SUBSTITUTE(Tabela1[[#This Row],[Hospedagem]],".",",",1)*1,0)</f>
        <v>0</v>
      </c>
      <c r="AA75" s="56" t="str">
        <f>IF(DAY(Tabela1[[#This Row],[Informe a data]])&lt;=15,"1ª Quinzena","2ª Quinzena")</f>
        <v>1ª Quinzena</v>
      </c>
      <c r="AB75" s="56" t="str">
        <f>UPPER(TEXT(Tabela1[[#This Row],[Informe a data]],"mmmm"))</f>
        <v>FEVEREIRO</v>
      </c>
      <c r="AC75" s="87" t="e">
        <f ca="1">_xlfn.CONCAT(Tabela1[[#This Row],[Selecione o Usuário]]," - ",TEXT(Tabela1[[#This Row],[Informe a data]],"dd-mm-aa"))</f>
        <v>#NAME?</v>
      </c>
    </row>
    <row r="76" spans="1:29">
      <c r="A76" s="89">
        <v>46065.765856481485</v>
      </c>
      <c r="B76" s="90" t="s">
        <v>504</v>
      </c>
      <c r="C76" s="90" t="s">
        <v>505</v>
      </c>
      <c r="D76" s="90" t="s">
        <v>506</v>
      </c>
      <c r="E76" s="91">
        <v>46058</v>
      </c>
      <c r="F76" s="92">
        <v>99405</v>
      </c>
      <c r="G76" s="93" t="s">
        <v>507</v>
      </c>
      <c r="H76" s="92">
        <v>99495</v>
      </c>
      <c r="I76" s="93" t="s">
        <v>508</v>
      </c>
      <c r="J76" s="90" t="s">
        <v>509</v>
      </c>
      <c r="K76" s="94"/>
      <c r="L76" s="90" t="s">
        <v>60</v>
      </c>
      <c r="M76" s="94"/>
      <c r="N76" s="94"/>
      <c r="O76" s="94"/>
      <c r="P76" s="94"/>
      <c r="Q76" s="94"/>
      <c r="R76" s="94"/>
      <c r="S76" s="94"/>
      <c r="T76" s="94"/>
      <c r="U76" s="85">
        <f>(Tabela1[[#This Row],[Informe o KM final do dia]]-Tabela1[[#This Row],[Informe o KM inicial do dia]])-Tabela1[[#This Row],[Caso tenha rodado particular alguma parte do trajeto, informe o total de KM a ser deduzido.]]</f>
        <v>90</v>
      </c>
      <c r="V76" s="55">
        <f>IF(Tabela1[[#This Row],[Informe a data]]&lt;DATE(2026,3,16), Tabela1[[#This Row],[KM Rodado]]*1.1, Tabela1[[#This Row],[KM Rodado]]*1.23)</f>
        <v>99.000000000000014</v>
      </c>
      <c r="W76" s="86">
        <f>IFERROR(SUBSTITUTE(Tabela1[[#This Row],[Pedágio]],".",",",1)*1,0)</f>
        <v>0</v>
      </c>
      <c r="X76" s="86">
        <f>IFERROR(SUBSTITUTE(Tabela1[[#This Row],[Estacionamento]],".",",",1)*1,0)</f>
        <v>0</v>
      </c>
      <c r="Y76" s="86">
        <f>IFERROR(SUBSTITUTE(Tabela1[[#This Row],[Despesas Diversas 
(Jantar em viagem, Impressões, Etc)]],".",",",1)*1,0)</f>
        <v>0</v>
      </c>
      <c r="Z76" s="86">
        <f>IFERROR(SUBSTITUTE(Tabela1[[#This Row],[Hospedagem]],".",",",1)*1,0)</f>
        <v>0</v>
      </c>
      <c r="AA76" s="56" t="str">
        <f>IF(DAY(Tabela1[[#This Row],[Informe a data]])&lt;=15,"1ª Quinzena","2ª Quinzena")</f>
        <v>1ª Quinzena</v>
      </c>
      <c r="AB76" s="56" t="str">
        <f>UPPER(TEXT(Tabela1[[#This Row],[Informe a data]],"mmmm"))</f>
        <v>FEVEREIRO</v>
      </c>
      <c r="AC76" s="87" t="e">
        <f ca="1">_xlfn.CONCAT(Tabela1[[#This Row],[Selecione o Usuário]]," - ",TEXT(Tabela1[[#This Row],[Informe a data]],"dd-mm-aa"))</f>
        <v>#NAME?</v>
      </c>
    </row>
    <row r="77" spans="1:29">
      <c r="A77" s="89">
        <v>46060.393506944441</v>
      </c>
      <c r="B77" s="90" t="s">
        <v>300</v>
      </c>
      <c r="C77" s="90" t="s">
        <v>250</v>
      </c>
      <c r="D77" s="90" t="s">
        <v>445</v>
      </c>
      <c r="E77" s="91">
        <v>46058</v>
      </c>
      <c r="F77" s="92">
        <v>120017</v>
      </c>
      <c r="G77" s="93" t="s">
        <v>446</v>
      </c>
      <c r="H77" s="92">
        <v>120139</v>
      </c>
      <c r="I77" s="93" t="s">
        <v>447</v>
      </c>
      <c r="J77" s="90" t="s">
        <v>448</v>
      </c>
      <c r="K77" s="92">
        <v>9</v>
      </c>
      <c r="L77" s="90" t="s">
        <v>60</v>
      </c>
      <c r="M77" s="94"/>
      <c r="N77" s="94"/>
      <c r="O77" s="94"/>
      <c r="P77" s="94"/>
      <c r="Q77" s="94"/>
      <c r="R77" s="94"/>
      <c r="S77" s="94"/>
      <c r="T77" s="94"/>
      <c r="U77" s="85">
        <f>(Tabela1[[#This Row],[Informe o KM final do dia]]-Tabela1[[#This Row],[Informe o KM inicial do dia]])-Tabela1[[#This Row],[Caso tenha rodado particular alguma parte do trajeto, informe o total de KM a ser deduzido.]]</f>
        <v>113</v>
      </c>
      <c r="V77" s="55">
        <f>IF(Tabela1[[#This Row],[Informe a data]]&lt;DATE(2026,3,16), Tabela1[[#This Row],[KM Rodado]]*1.1, Tabela1[[#This Row],[KM Rodado]]*1.23)</f>
        <v>124.30000000000001</v>
      </c>
      <c r="W77" s="86">
        <f>IFERROR(SUBSTITUTE(Tabela1[[#This Row],[Pedágio]],".",",",1)*1,0)</f>
        <v>0</v>
      </c>
      <c r="X77" s="86">
        <f>IFERROR(SUBSTITUTE(Tabela1[[#This Row],[Estacionamento]],".",",",1)*1,0)</f>
        <v>0</v>
      </c>
      <c r="Y77" s="86">
        <f>IFERROR(SUBSTITUTE(Tabela1[[#This Row],[Despesas Diversas 
(Jantar em viagem, Impressões, Etc)]],".",",",1)*1,0)</f>
        <v>0</v>
      </c>
      <c r="Z77" s="86">
        <f>IFERROR(SUBSTITUTE(Tabela1[[#This Row],[Hospedagem]],".",",",1)*1,0)</f>
        <v>0</v>
      </c>
      <c r="AA77" s="56" t="str">
        <f>IF(DAY(Tabela1[[#This Row],[Informe a data]])&lt;=15,"1ª Quinzena","2ª Quinzena")</f>
        <v>1ª Quinzena</v>
      </c>
      <c r="AB77" s="56" t="str">
        <f>UPPER(TEXT(Tabela1[[#This Row],[Informe a data]],"mmmm"))</f>
        <v>FEVEREIRO</v>
      </c>
      <c r="AC77" s="87" t="e">
        <f ca="1">_xlfn.CONCAT(Tabela1[[#This Row],[Selecione o Usuário]]," - ",TEXT(Tabela1[[#This Row],[Informe a data]],"dd-mm-aa"))</f>
        <v>#NAME?</v>
      </c>
    </row>
    <row r="78" spans="1:29">
      <c r="A78" s="89">
        <v>46071.358344907407</v>
      </c>
      <c r="B78" s="90" t="s">
        <v>176</v>
      </c>
      <c r="C78" s="90" t="s">
        <v>136</v>
      </c>
      <c r="D78" s="90" t="s">
        <v>177</v>
      </c>
      <c r="E78" s="91">
        <v>46058</v>
      </c>
      <c r="F78" s="92">
        <v>169262</v>
      </c>
      <c r="G78" s="94"/>
      <c r="H78" s="92">
        <v>169277</v>
      </c>
      <c r="I78" s="94"/>
      <c r="J78" s="90" t="s">
        <v>545</v>
      </c>
      <c r="K78" s="94"/>
      <c r="L78" s="90" t="s">
        <v>60</v>
      </c>
      <c r="M78" s="94"/>
      <c r="N78" s="94"/>
      <c r="O78" s="94"/>
      <c r="P78" s="94"/>
      <c r="Q78" s="94"/>
      <c r="R78" s="94"/>
      <c r="S78" s="94"/>
      <c r="T78" s="94"/>
      <c r="U78" s="85">
        <f>(Tabela1[[#This Row],[Informe o KM final do dia]]-Tabela1[[#This Row],[Informe o KM inicial do dia]])-Tabela1[[#This Row],[Caso tenha rodado particular alguma parte do trajeto, informe o total de KM a ser deduzido.]]</f>
        <v>15</v>
      </c>
      <c r="V78" s="55">
        <f>IF(Tabela1[[#This Row],[Informe a data]]&lt;DATE(2026,3,16), Tabela1[[#This Row],[KM Rodado]]*1.1, Tabela1[[#This Row],[KM Rodado]]*1.23)</f>
        <v>16.5</v>
      </c>
      <c r="W78" s="86">
        <f>IFERROR(SUBSTITUTE(Tabela1[[#This Row],[Pedágio]],".",",",1)*1,0)</f>
        <v>0</v>
      </c>
      <c r="X78" s="86">
        <f>IFERROR(SUBSTITUTE(Tabela1[[#This Row],[Estacionamento]],".",",",1)*1,0)</f>
        <v>0</v>
      </c>
      <c r="Y78" s="86">
        <f>IFERROR(SUBSTITUTE(Tabela1[[#This Row],[Despesas Diversas 
(Jantar em viagem, Impressões, Etc)]],".",",",1)*1,0)</f>
        <v>0</v>
      </c>
      <c r="Z78" s="86">
        <f>IFERROR(SUBSTITUTE(Tabela1[[#This Row],[Hospedagem]],".",",",1)*1,0)</f>
        <v>0</v>
      </c>
      <c r="AA78" s="56" t="str">
        <f>IF(DAY(Tabela1[[#This Row],[Informe a data]])&lt;=15,"1ª Quinzena","2ª Quinzena")</f>
        <v>1ª Quinzena</v>
      </c>
      <c r="AB78" s="56" t="str">
        <f>UPPER(TEXT(Tabela1[[#This Row],[Informe a data]],"mmmm"))</f>
        <v>FEVEREIRO</v>
      </c>
      <c r="AC78" s="87" t="e">
        <f ca="1">_xlfn.CONCAT(Tabela1[[#This Row],[Selecione o Usuário]]," - ",TEXT(Tabela1[[#This Row],[Informe a data]],"dd-mm-aa"))</f>
        <v>#NAME?</v>
      </c>
    </row>
    <row r="79" spans="1:29">
      <c r="A79" s="49">
        <v>46061.688576388886</v>
      </c>
      <c r="B79" s="50" t="s">
        <v>140</v>
      </c>
      <c r="C79" s="50" t="s">
        <v>141</v>
      </c>
      <c r="D79" s="50" t="s">
        <v>169</v>
      </c>
      <c r="E79" s="51">
        <v>46058</v>
      </c>
      <c r="F79" s="52">
        <v>56555</v>
      </c>
      <c r="G79" s="58" t="s">
        <v>458</v>
      </c>
      <c r="H79" s="52">
        <v>56587</v>
      </c>
      <c r="I79" s="58" t="s">
        <v>459</v>
      </c>
      <c r="J79" s="50" t="s">
        <v>460</v>
      </c>
      <c r="K79" s="53"/>
      <c r="L79" s="50" t="s">
        <v>60</v>
      </c>
      <c r="M79" s="53"/>
      <c r="N79" s="53"/>
      <c r="O79" s="53"/>
      <c r="P79" s="53"/>
      <c r="Q79" s="53"/>
      <c r="R79" s="53"/>
      <c r="S79" s="53"/>
      <c r="T79" s="53"/>
      <c r="U79" s="85">
        <f>(Tabela1[[#This Row],[Informe o KM final do dia]]-Tabela1[[#This Row],[Informe o KM inicial do dia]])-Tabela1[[#This Row],[Caso tenha rodado particular alguma parte do trajeto, informe o total de KM a ser deduzido.]]</f>
        <v>32</v>
      </c>
      <c r="V79" s="55">
        <f>IF(Tabela1[[#This Row],[Informe a data]]&lt;DATE(2026,3,16), Tabela1[[#This Row],[KM Rodado]]*1.1, Tabela1[[#This Row],[KM Rodado]]*1.23)</f>
        <v>35.200000000000003</v>
      </c>
      <c r="W79" s="86">
        <f>IFERROR(SUBSTITUTE(Tabela1[[#This Row],[Pedágio]],".",",",1)*1,0)</f>
        <v>0</v>
      </c>
      <c r="X79" s="86">
        <f>IFERROR(SUBSTITUTE(Tabela1[[#This Row],[Estacionamento]],".",",",1)*1,0)</f>
        <v>0</v>
      </c>
      <c r="Y79" s="86">
        <f>IFERROR(SUBSTITUTE(Tabela1[[#This Row],[Despesas Diversas 
(Jantar em viagem, Impressões, Etc)]],".",",",1)*1,0)</f>
        <v>0</v>
      </c>
      <c r="Z79" s="86">
        <f>IFERROR(SUBSTITUTE(Tabela1[[#This Row],[Hospedagem]],".",",",1)*1,0)</f>
        <v>0</v>
      </c>
      <c r="AA79" s="56" t="str">
        <f>IF(DAY(Tabela1[[#This Row],[Informe a data]])&lt;=15,"1ª Quinzena","2ª Quinzena")</f>
        <v>1ª Quinzena</v>
      </c>
      <c r="AB79" s="56" t="str">
        <f>UPPER(TEXT(Tabela1[[#This Row],[Informe a data]],"mmmm"))</f>
        <v>FEVEREIRO</v>
      </c>
      <c r="AC79" s="87" t="e">
        <f ca="1">_xlfn.CONCAT(Tabela1[[#This Row],[Selecione o Usuário]]," - ",TEXT(Tabela1[[#This Row],[Informe a data]],"dd-mm-aa"))</f>
        <v>#NAME?</v>
      </c>
    </row>
    <row r="80" spans="1:29">
      <c r="A80" s="49">
        <v>46063.692615740743</v>
      </c>
      <c r="B80" s="50" t="s">
        <v>469</v>
      </c>
      <c r="C80" s="50" t="s">
        <v>470</v>
      </c>
      <c r="D80" s="50" t="s">
        <v>471</v>
      </c>
      <c r="E80" s="51">
        <v>46059</v>
      </c>
      <c r="F80" s="52">
        <v>74739</v>
      </c>
      <c r="G80" s="53"/>
      <c r="H80" s="52">
        <v>74851</v>
      </c>
      <c r="I80" s="53"/>
      <c r="J80" s="50" t="s">
        <v>472</v>
      </c>
      <c r="K80" s="53"/>
      <c r="L80" s="50" t="s">
        <v>60</v>
      </c>
      <c r="M80" s="53"/>
      <c r="N80" s="53"/>
      <c r="O80" s="53"/>
      <c r="P80" s="53"/>
      <c r="Q80" s="53"/>
      <c r="R80" s="53"/>
      <c r="S80" s="53"/>
      <c r="T80" s="53"/>
      <c r="U80" s="85">
        <f>(Tabela1[[#This Row],[Informe o KM final do dia]]-Tabela1[[#This Row],[Informe o KM inicial do dia]])-Tabela1[[#This Row],[Caso tenha rodado particular alguma parte do trajeto, informe o total de KM a ser deduzido.]]</f>
        <v>112</v>
      </c>
      <c r="V80" s="55">
        <f>IF(Tabela1[[#This Row],[Informe a data]]&lt;DATE(2026,3,16), Tabela1[[#This Row],[KM Rodado]]*1.1, Tabela1[[#This Row],[KM Rodado]]*1.23)</f>
        <v>123.20000000000002</v>
      </c>
      <c r="W80" s="86">
        <f>IFERROR(SUBSTITUTE(Tabela1[[#This Row],[Pedágio]],".",",",1)*1,0)</f>
        <v>0</v>
      </c>
      <c r="X80" s="86">
        <f>IFERROR(SUBSTITUTE(Tabela1[[#This Row],[Estacionamento]],".",",",1)*1,0)</f>
        <v>0</v>
      </c>
      <c r="Y80" s="86">
        <f>IFERROR(SUBSTITUTE(Tabela1[[#This Row],[Despesas Diversas 
(Jantar em viagem, Impressões, Etc)]],".",",",1)*1,0)</f>
        <v>0</v>
      </c>
      <c r="Z80" s="86">
        <f>IFERROR(SUBSTITUTE(Tabela1[[#This Row],[Hospedagem]],".",",",1)*1,0)</f>
        <v>0</v>
      </c>
      <c r="AA80" s="56" t="str">
        <f>IF(DAY(Tabela1[[#This Row],[Informe a data]])&lt;=15,"1ª Quinzena","2ª Quinzena")</f>
        <v>1ª Quinzena</v>
      </c>
      <c r="AB80" s="56" t="str">
        <f>UPPER(TEXT(Tabela1[[#This Row],[Informe a data]],"mmmm"))</f>
        <v>FEVEREIRO</v>
      </c>
      <c r="AC80" s="87" t="e">
        <f ca="1">_xlfn.CONCAT(Tabela1[[#This Row],[Selecione o Usuário]]," - ",TEXT(Tabela1[[#This Row],[Informe a data]],"dd-mm-aa"))</f>
        <v>#NAME?</v>
      </c>
    </row>
    <row r="81" spans="1:29">
      <c r="A81" s="49">
        <v>46060.47215277778</v>
      </c>
      <c r="B81" s="50" t="s">
        <v>131</v>
      </c>
      <c r="C81" s="50" t="s">
        <v>132</v>
      </c>
      <c r="D81" s="50" t="s">
        <v>133</v>
      </c>
      <c r="E81" s="51">
        <v>46059</v>
      </c>
      <c r="F81" s="52">
        <v>187393</v>
      </c>
      <c r="G81" s="58" t="s">
        <v>449</v>
      </c>
      <c r="H81" s="52">
        <v>187611</v>
      </c>
      <c r="I81" s="58" t="s">
        <v>450</v>
      </c>
      <c r="J81" s="50" t="s">
        <v>451</v>
      </c>
      <c r="K81" s="53"/>
      <c r="L81" s="50" t="s">
        <v>61</v>
      </c>
      <c r="M81" s="50" t="s">
        <v>128</v>
      </c>
      <c r="N81" s="58" t="s">
        <v>452</v>
      </c>
      <c r="O81" s="53"/>
      <c r="P81" s="53"/>
      <c r="Q81" s="53"/>
      <c r="R81" s="58" t="s">
        <v>453</v>
      </c>
      <c r="S81" s="50" t="s">
        <v>454</v>
      </c>
      <c r="T81" s="53"/>
      <c r="U81" s="85">
        <f>(Tabela1[[#This Row],[Informe o KM final do dia]]-Tabela1[[#This Row],[Informe o KM inicial do dia]])-Tabela1[[#This Row],[Caso tenha rodado particular alguma parte do trajeto, informe o total de KM a ser deduzido.]]</f>
        <v>218</v>
      </c>
      <c r="V81" s="55">
        <f>IF(Tabela1[[#This Row],[Informe a data]]&lt;DATE(2026,3,16), Tabela1[[#This Row],[KM Rodado]]*1.1, Tabela1[[#This Row],[KM Rodado]]*1.23)</f>
        <v>239.8</v>
      </c>
      <c r="W81" s="86">
        <f>IFERROR(SUBSTITUTE(Tabela1[[#This Row],[Pedágio]],".",",",1)*1,0)</f>
        <v>11.4</v>
      </c>
      <c r="X81" s="86">
        <f>IFERROR(SUBSTITUTE(Tabela1[[#This Row],[Estacionamento]],".",",",1)*1,0)</f>
        <v>0</v>
      </c>
      <c r="Y81" s="86">
        <f>IFERROR(SUBSTITUTE(Tabela1[[#This Row],[Despesas Diversas 
(Jantar em viagem, Impressões, Etc)]],".",",",1)*1,0)</f>
        <v>0</v>
      </c>
      <c r="Z81" s="86">
        <f>IFERROR(SUBSTITUTE(Tabela1[[#This Row],[Hospedagem]],".",",",1)*1,0)</f>
        <v>300.86</v>
      </c>
      <c r="AA81" s="56" t="str">
        <f>IF(DAY(Tabela1[[#This Row],[Informe a data]])&lt;=15,"1ª Quinzena","2ª Quinzena")</f>
        <v>1ª Quinzena</v>
      </c>
      <c r="AB81" s="56" t="str">
        <f>UPPER(TEXT(Tabela1[[#This Row],[Informe a data]],"mmmm"))</f>
        <v>FEVEREIRO</v>
      </c>
      <c r="AC81" s="87" t="e">
        <f ca="1">_xlfn.CONCAT(Tabela1[[#This Row],[Selecione o Usuário]]," - ",TEXT(Tabela1[[#This Row],[Informe a data]],"dd-mm-aa"))</f>
        <v>#NAME?</v>
      </c>
    </row>
    <row r="82" spans="1:29">
      <c r="A82" s="89">
        <v>46061.4372337963</v>
      </c>
      <c r="B82" s="90" t="s">
        <v>140</v>
      </c>
      <c r="C82" s="90" t="s">
        <v>141</v>
      </c>
      <c r="D82" s="90" t="s">
        <v>169</v>
      </c>
      <c r="E82" s="91">
        <v>46059</v>
      </c>
      <c r="F82" s="92">
        <v>197216</v>
      </c>
      <c r="G82" s="93" t="s">
        <v>455</v>
      </c>
      <c r="H82" s="92">
        <v>197296</v>
      </c>
      <c r="I82" s="93" t="s">
        <v>456</v>
      </c>
      <c r="J82" s="90" t="s">
        <v>457</v>
      </c>
      <c r="K82" s="94"/>
      <c r="L82" s="90" t="s">
        <v>60</v>
      </c>
      <c r="M82" s="94"/>
      <c r="N82" s="94"/>
      <c r="O82" s="94"/>
      <c r="P82" s="94"/>
      <c r="Q82" s="94"/>
      <c r="R82" s="94"/>
      <c r="S82" s="94"/>
      <c r="T82" s="94"/>
      <c r="U82" s="85">
        <f>(Tabela1[[#This Row],[Informe o KM final do dia]]-Tabela1[[#This Row],[Informe o KM inicial do dia]])-Tabela1[[#This Row],[Caso tenha rodado particular alguma parte do trajeto, informe o total de KM a ser deduzido.]]</f>
        <v>80</v>
      </c>
      <c r="V82" s="55">
        <f>IF(Tabela1[[#This Row],[Informe a data]]&lt;DATE(2026,3,16), Tabela1[[#This Row],[KM Rodado]]*1.1, Tabela1[[#This Row],[KM Rodado]]*1.23)</f>
        <v>88</v>
      </c>
      <c r="W82" s="86">
        <f>IFERROR(SUBSTITUTE(Tabela1[[#This Row],[Pedágio]],".",",",1)*1,0)</f>
        <v>0</v>
      </c>
      <c r="X82" s="86">
        <f>IFERROR(SUBSTITUTE(Tabela1[[#This Row],[Estacionamento]],".",",",1)*1,0)</f>
        <v>0</v>
      </c>
      <c r="Y82" s="86">
        <f>IFERROR(SUBSTITUTE(Tabela1[[#This Row],[Despesas Diversas 
(Jantar em viagem, Impressões, Etc)]],".",",",1)*1,0)</f>
        <v>0</v>
      </c>
      <c r="Z82" s="86">
        <f>IFERROR(SUBSTITUTE(Tabela1[[#This Row],[Hospedagem]],".",",",1)*1,0)</f>
        <v>0</v>
      </c>
      <c r="AA82" s="56" t="str">
        <f>IF(DAY(Tabela1[[#This Row],[Informe a data]])&lt;=15,"1ª Quinzena","2ª Quinzena")</f>
        <v>1ª Quinzena</v>
      </c>
      <c r="AB82" s="56" t="str">
        <f>UPPER(TEXT(Tabela1[[#This Row],[Informe a data]],"mmmm"))</f>
        <v>FEVEREIRO</v>
      </c>
      <c r="AC82" s="87" t="e">
        <f ca="1">_xlfn.CONCAT(Tabela1[[#This Row],[Selecione o Usuário]]," - ",TEXT(Tabela1[[#This Row],[Informe a data]],"dd-mm-aa"))</f>
        <v>#NAME?</v>
      </c>
    </row>
    <row r="83" spans="1:29">
      <c r="A83" s="89">
        <v>46063.69771990741</v>
      </c>
      <c r="B83" s="90" t="s">
        <v>469</v>
      </c>
      <c r="C83" s="90" t="s">
        <v>470</v>
      </c>
      <c r="D83" s="90" t="s">
        <v>471</v>
      </c>
      <c r="E83" s="91">
        <v>46062</v>
      </c>
      <c r="F83" s="92">
        <v>74913</v>
      </c>
      <c r="G83" s="94"/>
      <c r="H83" s="92">
        <v>75117</v>
      </c>
      <c r="I83" s="94"/>
      <c r="J83" s="90" t="s">
        <v>473</v>
      </c>
      <c r="K83" s="94"/>
      <c r="L83" s="90" t="s">
        <v>60</v>
      </c>
      <c r="M83" s="94"/>
      <c r="N83" s="94"/>
      <c r="O83" s="94"/>
      <c r="P83" s="94"/>
      <c r="Q83" s="94"/>
      <c r="R83" s="94"/>
      <c r="S83" s="94"/>
      <c r="T83" s="94"/>
      <c r="U83" s="85">
        <f>(Tabela1[[#This Row],[Informe o KM final do dia]]-Tabela1[[#This Row],[Informe o KM inicial do dia]])-Tabela1[[#This Row],[Caso tenha rodado particular alguma parte do trajeto, informe o total de KM a ser deduzido.]]</f>
        <v>204</v>
      </c>
      <c r="V83" s="55">
        <f>IF(Tabela1[[#This Row],[Informe a data]]&lt;DATE(2026,3,16), Tabela1[[#This Row],[KM Rodado]]*1.1, Tabela1[[#This Row],[KM Rodado]]*1.23)</f>
        <v>224.4</v>
      </c>
      <c r="W83" s="86">
        <f>IFERROR(SUBSTITUTE(Tabela1[[#This Row],[Pedágio]],".",",",1)*1,0)</f>
        <v>0</v>
      </c>
      <c r="X83" s="86">
        <f>IFERROR(SUBSTITUTE(Tabela1[[#This Row],[Estacionamento]],".",",",1)*1,0)</f>
        <v>0</v>
      </c>
      <c r="Y83" s="86">
        <f>IFERROR(SUBSTITUTE(Tabela1[[#This Row],[Despesas Diversas 
(Jantar em viagem, Impressões, Etc)]],".",",",1)*1,0)</f>
        <v>0</v>
      </c>
      <c r="Z83" s="86">
        <f>IFERROR(SUBSTITUTE(Tabela1[[#This Row],[Hospedagem]],".",",",1)*1,0)</f>
        <v>0</v>
      </c>
      <c r="AA83" s="56" t="str">
        <f>IF(DAY(Tabela1[[#This Row],[Informe a data]])&lt;=15,"1ª Quinzena","2ª Quinzena")</f>
        <v>1ª Quinzena</v>
      </c>
      <c r="AB83" s="56" t="str">
        <f>UPPER(TEXT(Tabela1[[#This Row],[Informe a data]],"mmmm"))</f>
        <v>FEVEREIRO</v>
      </c>
      <c r="AC83" s="87" t="e">
        <f ca="1">_xlfn.CONCAT(Tabela1[[#This Row],[Selecione o Usuário]]," - ",TEXT(Tabela1[[#This Row],[Informe a data]],"dd-mm-aa"))</f>
        <v>#NAME?</v>
      </c>
    </row>
    <row r="84" spans="1:29">
      <c r="A84" s="89">
        <v>46063.364629629628</v>
      </c>
      <c r="B84" s="90" t="s">
        <v>131</v>
      </c>
      <c r="C84" s="90" t="s">
        <v>132</v>
      </c>
      <c r="D84" s="90" t="s">
        <v>133</v>
      </c>
      <c r="E84" s="91">
        <v>46062</v>
      </c>
      <c r="F84" s="92">
        <v>187617</v>
      </c>
      <c r="G84" s="93" t="s">
        <v>461</v>
      </c>
      <c r="H84" s="92">
        <v>187828</v>
      </c>
      <c r="I84" s="93" t="s">
        <v>462</v>
      </c>
      <c r="J84" s="90" t="s">
        <v>463</v>
      </c>
      <c r="K84" s="94"/>
      <c r="L84" s="90" t="s">
        <v>61</v>
      </c>
      <c r="M84" s="90" t="s">
        <v>291</v>
      </c>
      <c r="N84" s="93" t="s">
        <v>464</v>
      </c>
      <c r="O84" s="90" t="s">
        <v>465</v>
      </c>
      <c r="P84" s="93" t="s">
        <v>466</v>
      </c>
      <c r="Q84" s="90" t="s">
        <v>467</v>
      </c>
      <c r="R84" s="93" t="s">
        <v>468</v>
      </c>
      <c r="S84" s="94"/>
      <c r="T84" s="94"/>
      <c r="U84" s="85">
        <f>(Tabela1[[#This Row],[Informe o KM final do dia]]-Tabela1[[#This Row],[Informe o KM inicial do dia]])-Tabela1[[#This Row],[Caso tenha rodado particular alguma parte do trajeto, informe o total de KM a ser deduzido.]]</f>
        <v>211</v>
      </c>
      <c r="V84" s="55">
        <f>IF(Tabela1[[#This Row],[Informe a data]]&lt;DATE(2026,3,16), Tabela1[[#This Row],[KM Rodado]]*1.1, Tabela1[[#This Row],[KM Rodado]]*1.23)</f>
        <v>232.10000000000002</v>
      </c>
      <c r="W84" s="86">
        <f>IFERROR(SUBSTITUTE(Tabela1[[#This Row],[Pedágio]],".",",",1)*1,0)</f>
        <v>5.7</v>
      </c>
      <c r="X84" s="86">
        <f>IFERROR(SUBSTITUTE(Tabela1[[#This Row],[Estacionamento]],".",",",1)*1,0)</f>
        <v>30</v>
      </c>
      <c r="Y84" s="86">
        <f>IFERROR(SUBSTITUTE(Tabela1[[#This Row],[Despesas Diversas 
(Jantar em viagem, Impressões, Etc)]],".",",",1)*1,0)</f>
        <v>37.9</v>
      </c>
      <c r="Z84" s="86">
        <f>IFERROR(SUBSTITUTE(Tabela1[[#This Row],[Hospedagem]],".",",",1)*1,0)</f>
        <v>0</v>
      </c>
      <c r="AA84" s="56" t="str">
        <f>IF(DAY(Tabela1[[#This Row],[Informe a data]])&lt;=15,"1ª Quinzena","2ª Quinzena")</f>
        <v>1ª Quinzena</v>
      </c>
      <c r="AB84" s="56" t="str">
        <f>UPPER(TEXT(Tabela1[[#This Row],[Informe a data]],"mmmm"))</f>
        <v>FEVEREIRO</v>
      </c>
      <c r="AC84" s="87" t="e">
        <f ca="1">_xlfn.CONCAT(Tabela1[[#This Row],[Selecione o Usuário]]," - ",TEXT(Tabela1[[#This Row],[Informe a data]],"dd-mm-aa"))</f>
        <v>#NAME?</v>
      </c>
    </row>
    <row r="85" spans="1:29">
      <c r="A85" s="49">
        <v>46064.844155092593</v>
      </c>
      <c r="B85" s="50" t="s">
        <v>300</v>
      </c>
      <c r="C85" s="50" t="s">
        <v>250</v>
      </c>
      <c r="D85" s="50" t="s">
        <v>482</v>
      </c>
      <c r="E85" s="51">
        <v>46062</v>
      </c>
      <c r="F85" s="52">
        <v>120436</v>
      </c>
      <c r="G85" s="58" t="s">
        <v>483</v>
      </c>
      <c r="H85" s="52">
        <v>120611</v>
      </c>
      <c r="I85" s="58" t="s">
        <v>484</v>
      </c>
      <c r="J85" s="50" t="s">
        <v>485</v>
      </c>
      <c r="K85" s="53"/>
      <c r="L85" s="50" t="s">
        <v>61</v>
      </c>
      <c r="M85" s="53"/>
      <c r="N85" s="53"/>
      <c r="O85" s="53"/>
      <c r="P85" s="53"/>
      <c r="Q85" s="50" t="s">
        <v>486</v>
      </c>
      <c r="R85" s="58" t="s">
        <v>487</v>
      </c>
      <c r="S85" s="53"/>
      <c r="T85" s="53"/>
      <c r="U85" s="85">
        <f>(Tabela1[[#This Row],[Informe o KM final do dia]]-Tabela1[[#This Row],[Informe o KM inicial do dia]])-Tabela1[[#This Row],[Caso tenha rodado particular alguma parte do trajeto, informe o total de KM a ser deduzido.]]</f>
        <v>175</v>
      </c>
      <c r="V85" s="55">
        <f>IF(Tabela1[[#This Row],[Informe a data]]&lt;DATE(2026,3,16), Tabela1[[#This Row],[KM Rodado]]*1.1, Tabela1[[#This Row],[KM Rodado]]*1.23)</f>
        <v>192.50000000000003</v>
      </c>
      <c r="W85" s="86">
        <f>IFERROR(SUBSTITUTE(Tabela1[[#This Row],[Pedágio]],".",",",1)*1,0)</f>
        <v>0</v>
      </c>
      <c r="X85" s="86">
        <f>IFERROR(SUBSTITUTE(Tabela1[[#This Row],[Estacionamento]],".",",",1)*1,0)</f>
        <v>0</v>
      </c>
      <c r="Y85" s="86">
        <f>IFERROR(SUBSTITUTE(Tabela1[[#This Row],[Despesas Diversas 
(Jantar em viagem, Impressões, Etc)]],".",",",1)*1,0)</f>
        <v>3.7</v>
      </c>
      <c r="Z85" s="86">
        <f>IFERROR(SUBSTITUTE(Tabela1[[#This Row],[Hospedagem]],".",",",1)*1,0)</f>
        <v>0</v>
      </c>
      <c r="AA85" s="56" t="str">
        <f>IF(DAY(Tabela1[[#This Row],[Informe a data]])&lt;=15,"1ª Quinzena","2ª Quinzena")</f>
        <v>1ª Quinzena</v>
      </c>
      <c r="AB85" s="56" t="str">
        <f>UPPER(TEXT(Tabela1[[#This Row],[Informe a data]],"mmmm"))</f>
        <v>FEVEREIRO</v>
      </c>
      <c r="AC85" s="87" t="e">
        <f ca="1">_xlfn.CONCAT(Tabela1[[#This Row],[Selecione o Usuário]]," - ",TEXT(Tabela1[[#This Row],[Informe a data]],"dd-mm-aa"))</f>
        <v>#NAME?</v>
      </c>
    </row>
    <row r="86" spans="1:29">
      <c r="A86" s="49">
        <v>46064.949675925927</v>
      </c>
      <c r="B86" s="50" t="s">
        <v>140</v>
      </c>
      <c r="C86" s="50" t="s">
        <v>141</v>
      </c>
      <c r="D86" s="50" t="s">
        <v>332</v>
      </c>
      <c r="E86" s="51">
        <v>46062</v>
      </c>
      <c r="F86" s="52">
        <v>174328</v>
      </c>
      <c r="G86" s="58" t="s">
        <v>491</v>
      </c>
      <c r="H86" s="52">
        <v>174413</v>
      </c>
      <c r="I86" s="58" t="s">
        <v>492</v>
      </c>
      <c r="J86" s="50" t="s">
        <v>493</v>
      </c>
      <c r="K86" s="53"/>
      <c r="L86" s="50" t="s">
        <v>60</v>
      </c>
      <c r="M86" s="53"/>
      <c r="N86" s="53"/>
      <c r="O86" s="53"/>
      <c r="P86" s="53"/>
      <c r="Q86" s="53"/>
      <c r="R86" s="53"/>
      <c r="S86" s="53"/>
      <c r="T86" s="53"/>
      <c r="U86" s="85">
        <f>(Tabela1[[#This Row],[Informe o KM final do dia]]-Tabela1[[#This Row],[Informe o KM inicial do dia]])-Tabela1[[#This Row],[Caso tenha rodado particular alguma parte do trajeto, informe o total de KM a ser deduzido.]]</f>
        <v>85</v>
      </c>
      <c r="V86" s="55">
        <f>IF(Tabela1[[#This Row],[Informe a data]]&lt;DATE(2026,3,16), Tabela1[[#This Row],[KM Rodado]]*1.1, Tabela1[[#This Row],[KM Rodado]]*1.23)</f>
        <v>93.500000000000014</v>
      </c>
      <c r="W86" s="86">
        <f>IFERROR(SUBSTITUTE(Tabela1[[#This Row],[Pedágio]],".",",",1)*1,0)</f>
        <v>0</v>
      </c>
      <c r="X86" s="86">
        <f>IFERROR(SUBSTITUTE(Tabela1[[#This Row],[Estacionamento]],".",",",1)*1,0)</f>
        <v>0</v>
      </c>
      <c r="Y86" s="86">
        <f>IFERROR(SUBSTITUTE(Tabela1[[#This Row],[Despesas Diversas 
(Jantar em viagem, Impressões, Etc)]],".",",",1)*1,0)</f>
        <v>0</v>
      </c>
      <c r="Z86" s="86">
        <f>IFERROR(SUBSTITUTE(Tabela1[[#This Row],[Hospedagem]],".",",",1)*1,0)</f>
        <v>0</v>
      </c>
      <c r="AA86" s="56" t="str">
        <f>IF(DAY(Tabela1[[#This Row],[Informe a data]])&lt;=15,"1ª Quinzena","2ª Quinzena")</f>
        <v>1ª Quinzena</v>
      </c>
      <c r="AB86" s="56" t="str">
        <f>UPPER(TEXT(Tabela1[[#This Row],[Informe a data]],"mmmm"))</f>
        <v>FEVEREIRO</v>
      </c>
      <c r="AC86" s="87" t="e">
        <f ca="1">_xlfn.CONCAT(Tabela1[[#This Row],[Selecione o Usuário]]," - ",TEXT(Tabela1[[#This Row],[Informe a data]],"dd-mm-aa"))</f>
        <v>#NAME?</v>
      </c>
    </row>
    <row r="87" spans="1:29">
      <c r="A87" s="49">
        <v>46063.699328703704</v>
      </c>
      <c r="B87" s="50" t="s">
        <v>469</v>
      </c>
      <c r="C87" s="50" t="s">
        <v>470</v>
      </c>
      <c r="D87" s="50" t="s">
        <v>471</v>
      </c>
      <c r="E87" s="51">
        <v>46063</v>
      </c>
      <c r="F87" s="52">
        <v>75117</v>
      </c>
      <c r="G87" s="53"/>
      <c r="H87" s="52">
        <v>75133</v>
      </c>
      <c r="I87" s="53"/>
      <c r="J87" s="50" t="s">
        <v>474</v>
      </c>
      <c r="K87" s="53"/>
      <c r="L87" s="50" t="s">
        <v>60</v>
      </c>
      <c r="M87" s="53"/>
      <c r="N87" s="53"/>
      <c r="O87" s="53"/>
      <c r="P87" s="53"/>
      <c r="Q87" s="53"/>
      <c r="R87" s="53"/>
      <c r="S87" s="53"/>
      <c r="T87" s="53"/>
      <c r="U87" s="85">
        <f>(Tabela1[[#This Row],[Informe o KM final do dia]]-Tabela1[[#This Row],[Informe o KM inicial do dia]])-Tabela1[[#This Row],[Caso tenha rodado particular alguma parte do trajeto, informe o total de KM a ser deduzido.]]</f>
        <v>16</v>
      </c>
      <c r="V87" s="55">
        <f>IF(Tabela1[[#This Row],[Informe a data]]&lt;DATE(2026,3,16), Tabela1[[#This Row],[KM Rodado]]*1.1, Tabela1[[#This Row],[KM Rodado]]*1.23)</f>
        <v>17.600000000000001</v>
      </c>
      <c r="W87" s="86">
        <f>IFERROR(SUBSTITUTE(Tabela1[[#This Row],[Pedágio]],".",",",1)*1,0)</f>
        <v>0</v>
      </c>
      <c r="X87" s="86">
        <f>IFERROR(SUBSTITUTE(Tabela1[[#This Row],[Estacionamento]],".",",",1)*1,0)</f>
        <v>0</v>
      </c>
      <c r="Y87" s="86">
        <f>IFERROR(SUBSTITUTE(Tabela1[[#This Row],[Despesas Diversas 
(Jantar em viagem, Impressões, Etc)]],".",",",1)*1,0)</f>
        <v>0</v>
      </c>
      <c r="Z87" s="86">
        <f>IFERROR(SUBSTITUTE(Tabela1[[#This Row],[Hospedagem]],".",",",1)*1,0)</f>
        <v>0</v>
      </c>
      <c r="AA87" s="56" t="str">
        <f>IF(DAY(Tabela1[[#This Row],[Informe a data]])&lt;=15,"1ª Quinzena","2ª Quinzena")</f>
        <v>1ª Quinzena</v>
      </c>
      <c r="AB87" s="56" t="str">
        <f>UPPER(TEXT(Tabela1[[#This Row],[Informe a data]],"mmmm"))</f>
        <v>FEVEREIRO</v>
      </c>
      <c r="AC87" s="87" t="e">
        <f ca="1">_xlfn.CONCAT(Tabela1[[#This Row],[Selecione o Usuário]]," - ",TEXT(Tabela1[[#This Row],[Informe a data]],"dd-mm-aa"))</f>
        <v>#NAME?</v>
      </c>
    </row>
    <row r="88" spans="1:29">
      <c r="A88" s="89">
        <v>46065.355798611112</v>
      </c>
      <c r="B88" s="90" t="s">
        <v>131</v>
      </c>
      <c r="C88" s="90" t="s">
        <v>132</v>
      </c>
      <c r="D88" s="90" t="s">
        <v>133</v>
      </c>
      <c r="E88" s="91">
        <v>46063</v>
      </c>
      <c r="F88" s="92">
        <v>187828</v>
      </c>
      <c r="G88" s="93" t="s">
        <v>475</v>
      </c>
      <c r="H88" s="92">
        <v>188057</v>
      </c>
      <c r="I88" s="93" t="s">
        <v>476</v>
      </c>
      <c r="J88" s="90" t="s">
        <v>477</v>
      </c>
      <c r="K88" s="94"/>
      <c r="L88" s="90" t="s">
        <v>61</v>
      </c>
      <c r="M88" s="90" t="s">
        <v>291</v>
      </c>
      <c r="N88" s="93" t="s">
        <v>478</v>
      </c>
      <c r="O88" s="90" t="s">
        <v>479</v>
      </c>
      <c r="P88" s="93" t="s">
        <v>480</v>
      </c>
      <c r="Q88" s="94"/>
      <c r="R88" s="94"/>
      <c r="S88" s="90" t="s">
        <v>481</v>
      </c>
      <c r="T88" s="94"/>
      <c r="U88" s="85">
        <f>(Tabela1[[#This Row],[Informe o KM final do dia]]-Tabela1[[#This Row],[Informe o KM inicial do dia]])-Tabela1[[#This Row],[Caso tenha rodado particular alguma parte do trajeto, informe o total de KM a ser deduzido.]]</f>
        <v>229</v>
      </c>
      <c r="V88" s="55">
        <f>IF(Tabela1[[#This Row],[Informe a data]]&lt;DATE(2026,3,16), Tabela1[[#This Row],[KM Rodado]]*1.1, Tabela1[[#This Row],[KM Rodado]]*1.23)</f>
        <v>251.90000000000003</v>
      </c>
      <c r="W88" s="86">
        <f>IFERROR(SUBSTITUTE(Tabela1[[#This Row],[Pedágio]],".",",",1)*1,0)</f>
        <v>5.7</v>
      </c>
      <c r="X88" s="86">
        <f>IFERROR(SUBSTITUTE(Tabela1[[#This Row],[Estacionamento]],".",",",1)*1,0)</f>
        <v>25</v>
      </c>
      <c r="Y88" s="86">
        <f>IFERROR(SUBSTITUTE(Tabela1[[#This Row],[Despesas Diversas 
(Jantar em viagem, Impressões, Etc)]],".",",",1)*1,0)</f>
        <v>0</v>
      </c>
      <c r="Z88" s="86">
        <f>IFERROR(SUBSTITUTE(Tabela1[[#This Row],[Hospedagem]],".",",",1)*1,0)</f>
        <v>236.68</v>
      </c>
      <c r="AA88" s="56" t="str">
        <f>IF(DAY(Tabela1[[#This Row],[Informe a data]])&lt;=15,"1ª Quinzena","2ª Quinzena")</f>
        <v>1ª Quinzena</v>
      </c>
      <c r="AB88" s="56" t="str">
        <f>UPPER(TEXT(Tabela1[[#This Row],[Informe a data]],"mmmm"))</f>
        <v>FEVEREIRO</v>
      </c>
      <c r="AC88" s="87" t="e">
        <f ca="1">_xlfn.CONCAT(Tabela1[[#This Row],[Selecione o Usuário]]," - ",TEXT(Tabela1[[#This Row],[Informe a data]],"dd-mm-aa"))</f>
        <v>#NAME?</v>
      </c>
    </row>
    <row r="89" spans="1:29">
      <c r="A89" s="89">
        <v>46069.699166666665</v>
      </c>
      <c r="B89" s="90" t="s">
        <v>208</v>
      </c>
      <c r="C89" s="90" t="s">
        <v>134</v>
      </c>
      <c r="D89" s="90" t="s">
        <v>209</v>
      </c>
      <c r="E89" s="91">
        <v>46063</v>
      </c>
      <c r="F89" s="92">
        <v>161736</v>
      </c>
      <c r="G89" s="94"/>
      <c r="H89" s="92">
        <v>161964</v>
      </c>
      <c r="I89" s="94"/>
      <c r="J89" s="90" t="s">
        <v>536</v>
      </c>
      <c r="K89" s="94"/>
      <c r="L89" s="90" t="s">
        <v>60</v>
      </c>
      <c r="M89" s="94"/>
      <c r="N89" s="94"/>
      <c r="O89" s="94"/>
      <c r="P89" s="94"/>
      <c r="Q89" s="94"/>
      <c r="R89" s="94"/>
      <c r="S89" s="94"/>
      <c r="T89" s="94"/>
      <c r="U89" s="85">
        <f>(Tabela1[[#This Row],[Informe o KM final do dia]]-Tabela1[[#This Row],[Informe o KM inicial do dia]])-Tabela1[[#This Row],[Caso tenha rodado particular alguma parte do trajeto, informe o total de KM a ser deduzido.]]</f>
        <v>228</v>
      </c>
      <c r="V89" s="55">
        <f>IF(Tabela1[[#This Row],[Informe a data]]&lt;DATE(2026,3,16), Tabela1[[#This Row],[KM Rodado]]*1.1, Tabela1[[#This Row],[KM Rodado]]*1.23)</f>
        <v>250.8</v>
      </c>
      <c r="W89" s="86">
        <f>IFERROR(SUBSTITUTE(Tabela1[[#This Row],[Pedágio]],".",",",1)*1,0)</f>
        <v>0</v>
      </c>
      <c r="X89" s="86">
        <f>IFERROR(SUBSTITUTE(Tabela1[[#This Row],[Estacionamento]],".",",",1)*1,0)</f>
        <v>0</v>
      </c>
      <c r="Y89" s="86">
        <f>IFERROR(SUBSTITUTE(Tabela1[[#This Row],[Despesas Diversas 
(Jantar em viagem, Impressões, Etc)]],".",",",1)*1,0)</f>
        <v>0</v>
      </c>
      <c r="Z89" s="86">
        <f>IFERROR(SUBSTITUTE(Tabela1[[#This Row],[Hospedagem]],".",",",1)*1,0)</f>
        <v>0</v>
      </c>
      <c r="AA89" s="56" t="str">
        <f>IF(DAY(Tabela1[[#This Row],[Informe a data]])&lt;=15,"1ª Quinzena","2ª Quinzena")</f>
        <v>1ª Quinzena</v>
      </c>
      <c r="AB89" s="56" t="str">
        <f>UPPER(TEXT(Tabela1[[#This Row],[Informe a data]],"mmmm"))</f>
        <v>FEVEREIRO</v>
      </c>
      <c r="AC89" s="87" t="e">
        <f ca="1">_xlfn.CONCAT(Tabela1[[#This Row],[Selecione o Usuário]]," - ",TEXT(Tabela1[[#This Row],[Informe a data]],"dd-mm-aa"))</f>
        <v>#NAME?</v>
      </c>
    </row>
    <row r="90" spans="1:29">
      <c r="A90" s="89">
        <v>46065.358935185184</v>
      </c>
      <c r="B90" s="90" t="s">
        <v>131</v>
      </c>
      <c r="C90" s="90" t="s">
        <v>132</v>
      </c>
      <c r="D90" s="90" t="s">
        <v>133</v>
      </c>
      <c r="E90" s="91">
        <v>46064</v>
      </c>
      <c r="F90" s="92">
        <v>188057</v>
      </c>
      <c r="G90" s="93" t="s">
        <v>494</v>
      </c>
      <c r="H90" s="92">
        <v>188096</v>
      </c>
      <c r="I90" s="93" t="s">
        <v>495</v>
      </c>
      <c r="J90" s="90" t="s">
        <v>496</v>
      </c>
      <c r="K90" s="94"/>
      <c r="L90" s="90" t="s">
        <v>60</v>
      </c>
      <c r="M90" s="94"/>
      <c r="N90" s="94"/>
      <c r="O90" s="94"/>
      <c r="P90" s="94"/>
      <c r="Q90" s="94"/>
      <c r="R90" s="94"/>
      <c r="S90" s="94"/>
      <c r="T90" s="94"/>
      <c r="U90" s="85">
        <f>(Tabela1[[#This Row],[Informe o KM final do dia]]-Tabela1[[#This Row],[Informe o KM inicial do dia]])-Tabela1[[#This Row],[Caso tenha rodado particular alguma parte do trajeto, informe o total de KM a ser deduzido.]]</f>
        <v>39</v>
      </c>
      <c r="V90" s="55">
        <f>IF(Tabela1[[#This Row],[Informe a data]]&lt;DATE(2026,3,16), Tabela1[[#This Row],[KM Rodado]]*1.1, Tabela1[[#This Row],[KM Rodado]]*1.23)</f>
        <v>42.900000000000006</v>
      </c>
      <c r="W90" s="86">
        <f>IFERROR(SUBSTITUTE(Tabela1[[#This Row],[Pedágio]],".",",",1)*1,0)</f>
        <v>0</v>
      </c>
      <c r="X90" s="86">
        <f>IFERROR(SUBSTITUTE(Tabela1[[#This Row],[Estacionamento]],".",",",1)*1,0)</f>
        <v>0</v>
      </c>
      <c r="Y90" s="86">
        <f>IFERROR(SUBSTITUTE(Tabela1[[#This Row],[Despesas Diversas 
(Jantar em viagem, Impressões, Etc)]],".",",",1)*1,0)</f>
        <v>0</v>
      </c>
      <c r="Z90" s="86">
        <f>IFERROR(SUBSTITUTE(Tabela1[[#This Row],[Hospedagem]],".",",",1)*1,0)</f>
        <v>0</v>
      </c>
      <c r="AA90" s="56" t="str">
        <f>IF(DAY(Tabela1[[#This Row],[Informe a data]])&lt;=15,"1ª Quinzena","2ª Quinzena")</f>
        <v>1ª Quinzena</v>
      </c>
      <c r="AB90" s="56" t="str">
        <f>UPPER(TEXT(Tabela1[[#This Row],[Informe a data]],"mmmm"))</f>
        <v>FEVEREIRO</v>
      </c>
      <c r="AC90" s="87" t="e">
        <f ca="1">_xlfn.CONCAT(Tabela1[[#This Row],[Selecione o Usuário]]," - ",TEXT(Tabela1[[#This Row],[Informe a data]],"dd-mm-aa"))</f>
        <v>#NAME?</v>
      </c>
    </row>
    <row r="91" spans="1:29">
      <c r="A91" s="49">
        <v>46065.769328703704</v>
      </c>
      <c r="B91" s="50" t="s">
        <v>504</v>
      </c>
      <c r="C91" s="50" t="s">
        <v>505</v>
      </c>
      <c r="D91" s="50" t="s">
        <v>506</v>
      </c>
      <c r="E91" s="51">
        <v>46064</v>
      </c>
      <c r="F91" s="52">
        <v>99748</v>
      </c>
      <c r="G91" s="58" t="s">
        <v>510</v>
      </c>
      <c r="H91" s="52">
        <v>99857</v>
      </c>
      <c r="I91" s="58" t="s">
        <v>511</v>
      </c>
      <c r="J91" s="50" t="s">
        <v>512</v>
      </c>
      <c r="K91" s="53"/>
      <c r="L91" s="50" t="s">
        <v>60</v>
      </c>
      <c r="M91" s="53"/>
      <c r="N91" s="53"/>
      <c r="O91" s="53"/>
      <c r="P91" s="53"/>
      <c r="Q91" s="53"/>
      <c r="R91" s="53"/>
      <c r="S91" s="53"/>
      <c r="T91" s="53"/>
      <c r="U91" s="85">
        <f>(Tabela1[[#This Row],[Informe o KM final do dia]]-Tabela1[[#This Row],[Informe o KM inicial do dia]])-Tabela1[[#This Row],[Caso tenha rodado particular alguma parte do trajeto, informe o total de KM a ser deduzido.]]</f>
        <v>109</v>
      </c>
      <c r="V91" s="55">
        <f>IF(Tabela1[[#This Row],[Informe a data]]&lt;DATE(2026,3,16), Tabela1[[#This Row],[KM Rodado]]*1.1, Tabela1[[#This Row],[KM Rodado]]*1.23)</f>
        <v>119.9</v>
      </c>
      <c r="W91" s="86">
        <f>IFERROR(SUBSTITUTE(Tabela1[[#This Row],[Pedágio]],".",",",1)*1,0)</f>
        <v>0</v>
      </c>
      <c r="X91" s="86">
        <f>IFERROR(SUBSTITUTE(Tabela1[[#This Row],[Estacionamento]],".",",",1)*1,0)</f>
        <v>0</v>
      </c>
      <c r="Y91" s="86">
        <f>IFERROR(SUBSTITUTE(Tabela1[[#This Row],[Despesas Diversas 
(Jantar em viagem, Impressões, Etc)]],".",",",1)*1,0)</f>
        <v>0</v>
      </c>
      <c r="Z91" s="86">
        <f>IFERROR(SUBSTITUTE(Tabela1[[#This Row],[Hospedagem]],".",",",1)*1,0)</f>
        <v>0</v>
      </c>
      <c r="AA91" s="56" t="str">
        <f>IF(DAY(Tabela1[[#This Row],[Informe a data]])&lt;=15,"1ª Quinzena","2ª Quinzena")</f>
        <v>1ª Quinzena</v>
      </c>
      <c r="AB91" s="56" t="str">
        <f>UPPER(TEXT(Tabela1[[#This Row],[Informe a data]],"mmmm"))</f>
        <v>FEVEREIRO</v>
      </c>
      <c r="AC91" s="87" t="e">
        <f ca="1">_xlfn.CONCAT(Tabela1[[#This Row],[Selecione o Usuário]]," - ",TEXT(Tabela1[[#This Row],[Informe a data]],"dd-mm-aa"))</f>
        <v>#NAME?</v>
      </c>
    </row>
    <row r="92" spans="1:29">
      <c r="A92" s="89">
        <v>46064.942800925928</v>
      </c>
      <c r="B92" s="90" t="s">
        <v>140</v>
      </c>
      <c r="C92" s="90" t="s">
        <v>141</v>
      </c>
      <c r="D92" s="90" t="s">
        <v>332</v>
      </c>
      <c r="E92" s="91">
        <v>46064</v>
      </c>
      <c r="F92" s="92">
        <v>56587</v>
      </c>
      <c r="G92" s="93" t="s">
        <v>488</v>
      </c>
      <c r="H92" s="92">
        <v>56769</v>
      </c>
      <c r="I92" s="93" t="s">
        <v>489</v>
      </c>
      <c r="J92" s="90" t="s">
        <v>490</v>
      </c>
      <c r="K92" s="94"/>
      <c r="L92" s="90" t="s">
        <v>60</v>
      </c>
      <c r="M92" s="94"/>
      <c r="N92" s="94"/>
      <c r="O92" s="94"/>
      <c r="P92" s="94"/>
      <c r="Q92" s="94"/>
      <c r="R92" s="94"/>
      <c r="S92" s="94"/>
      <c r="T92" s="94"/>
      <c r="U92" s="85">
        <f>(Tabela1[[#This Row],[Informe o KM final do dia]]-Tabela1[[#This Row],[Informe o KM inicial do dia]])-Tabela1[[#This Row],[Caso tenha rodado particular alguma parte do trajeto, informe o total de KM a ser deduzido.]]</f>
        <v>182</v>
      </c>
      <c r="V92" s="55">
        <f>IF(Tabela1[[#This Row],[Informe a data]]&lt;DATE(2026,3,16), Tabela1[[#This Row],[KM Rodado]]*1.1, Tabela1[[#This Row],[KM Rodado]]*1.23)</f>
        <v>200.20000000000002</v>
      </c>
      <c r="W92" s="86">
        <f>IFERROR(SUBSTITUTE(Tabela1[[#This Row],[Pedágio]],".",",",1)*1,0)</f>
        <v>0</v>
      </c>
      <c r="X92" s="86">
        <f>IFERROR(SUBSTITUTE(Tabela1[[#This Row],[Estacionamento]],".",",",1)*1,0)</f>
        <v>0</v>
      </c>
      <c r="Y92" s="86">
        <f>IFERROR(SUBSTITUTE(Tabela1[[#This Row],[Despesas Diversas 
(Jantar em viagem, Impressões, Etc)]],".",",",1)*1,0)</f>
        <v>0</v>
      </c>
      <c r="Z92" s="86">
        <f>IFERROR(SUBSTITUTE(Tabela1[[#This Row],[Hospedagem]],".",",",1)*1,0)</f>
        <v>0</v>
      </c>
      <c r="AA92" s="56" t="str">
        <f>IF(DAY(Tabela1[[#This Row],[Informe a data]])&lt;=15,"1ª Quinzena","2ª Quinzena")</f>
        <v>1ª Quinzena</v>
      </c>
      <c r="AB92" s="56" t="str">
        <f>UPPER(TEXT(Tabela1[[#This Row],[Informe a data]],"mmmm"))</f>
        <v>FEVEREIRO</v>
      </c>
      <c r="AC92" s="87" t="e">
        <f ca="1">_xlfn.CONCAT(Tabela1[[#This Row],[Selecione o Usuário]]," - ",TEXT(Tabela1[[#This Row],[Informe a data]],"dd-mm-aa"))</f>
        <v>#NAME?</v>
      </c>
    </row>
    <row r="93" spans="1:29">
      <c r="A93" s="89">
        <v>46066.348715277774</v>
      </c>
      <c r="B93" s="90" t="s">
        <v>131</v>
      </c>
      <c r="C93" s="90" t="s">
        <v>132</v>
      </c>
      <c r="D93" s="90" t="s">
        <v>133</v>
      </c>
      <c r="E93" s="91">
        <v>46065</v>
      </c>
      <c r="F93" s="92">
        <v>188096</v>
      </c>
      <c r="G93" s="93" t="s">
        <v>513</v>
      </c>
      <c r="H93" s="92">
        <v>188131</v>
      </c>
      <c r="I93" s="93" t="s">
        <v>514</v>
      </c>
      <c r="J93" s="90" t="s">
        <v>515</v>
      </c>
      <c r="K93" s="94"/>
      <c r="L93" s="90" t="s">
        <v>60</v>
      </c>
      <c r="M93" s="94"/>
      <c r="N93" s="94"/>
      <c r="O93" s="94"/>
      <c r="P93" s="94"/>
      <c r="Q93" s="94"/>
      <c r="R93" s="94"/>
      <c r="S93" s="94"/>
      <c r="T93" s="94"/>
      <c r="U93" s="85">
        <f>(Tabela1[[#This Row],[Informe o KM final do dia]]-Tabela1[[#This Row],[Informe o KM inicial do dia]])-Tabela1[[#This Row],[Caso tenha rodado particular alguma parte do trajeto, informe o total de KM a ser deduzido.]]</f>
        <v>35</v>
      </c>
      <c r="V93" s="55">
        <f>IF(Tabela1[[#This Row],[Informe a data]]&lt;DATE(2026,3,16), Tabela1[[#This Row],[KM Rodado]]*1.1, Tabela1[[#This Row],[KM Rodado]]*1.23)</f>
        <v>38.5</v>
      </c>
      <c r="W93" s="86">
        <f>IFERROR(SUBSTITUTE(Tabela1[[#This Row],[Pedágio]],".",",",1)*1,0)</f>
        <v>0</v>
      </c>
      <c r="X93" s="86">
        <f>IFERROR(SUBSTITUTE(Tabela1[[#This Row],[Estacionamento]],".",",",1)*1,0)</f>
        <v>0</v>
      </c>
      <c r="Y93" s="86">
        <f>IFERROR(SUBSTITUTE(Tabela1[[#This Row],[Despesas Diversas 
(Jantar em viagem, Impressões, Etc)]],".",",",1)*1,0)</f>
        <v>0</v>
      </c>
      <c r="Z93" s="86">
        <f>IFERROR(SUBSTITUTE(Tabela1[[#This Row],[Hospedagem]],".",",",1)*1,0)</f>
        <v>0</v>
      </c>
      <c r="AA93" s="56" t="str">
        <f>IF(DAY(Tabela1[[#This Row],[Informe a data]])&lt;=15,"1ª Quinzena","2ª Quinzena")</f>
        <v>1ª Quinzena</v>
      </c>
      <c r="AB93" s="56" t="str">
        <f>UPPER(TEXT(Tabela1[[#This Row],[Informe a data]],"mmmm"))</f>
        <v>FEVEREIRO</v>
      </c>
      <c r="AC93" s="87" t="e">
        <f ca="1">_xlfn.CONCAT(Tabela1[[#This Row],[Selecione o Usuário]]," - ",TEXT(Tabela1[[#This Row],[Informe a data]],"dd-mm-aa"))</f>
        <v>#NAME?</v>
      </c>
    </row>
    <row r="94" spans="1:29">
      <c r="A94" s="49">
        <v>46065.764108796298</v>
      </c>
      <c r="B94" s="50" t="s">
        <v>497</v>
      </c>
      <c r="C94" s="50" t="s">
        <v>498</v>
      </c>
      <c r="D94" s="50" t="s">
        <v>499</v>
      </c>
      <c r="E94" s="51">
        <v>46065</v>
      </c>
      <c r="F94" s="52">
        <v>302949</v>
      </c>
      <c r="G94" s="58" t="s">
        <v>500</v>
      </c>
      <c r="H94" s="52">
        <v>303109</v>
      </c>
      <c r="I94" s="58" t="s">
        <v>501</v>
      </c>
      <c r="J94" s="50" t="s">
        <v>502</v>
      </c>
      <c r="K94" s="53"/>
      <c r="L94" s="50" t="s">
        <v>61</v>
      </c>
      <c r="M94" s="50" t="s">
        <v>291</v>
      </c>
      <c r="N94" s="58" t="s">
        <v>503</v>
      </c>
      <c r="O94" s="53"/>
      <c r="P94" s="53"/>
      <c r="Q94" s="53"/>
      <c r="R94" s="53"/>
      <c r="S94" s="53"/>
      <c r="T94" s="53"/>
      <c r="U94" s="85">
        <f>(Tabela1[[#This Row],[Informe o KM final do dia]]-Tabela1[[#This Row],[Informe o KM inicial do dia]])-Tabela1[[#This Row],[Caso tenha rodado particular alguma parte do trajeto, informe o total de KM a ser deduzido.]]</f>
        <v>160</v>
      </c>
      <c r="V94" s="55">
        <f>IF(Tabela1[[#This Row],[Informe a data]]&lt;DATE(2026,3,16), Tabela1[[#This Row],[KM Rodado]]*1.1, Tabela1[[#This Row],[KM Rodado]]*1.23)</f>
        <v>176</v>
      </c>
      <c r="W94" s="86">
        <f>IFERROR(SUBSTITUTE(Tabela1[[#This Row],[Pedágio]],".",",",1)*1,0)</f>
        <v>5.7</v>
      </c>
      <c r="X94" s="86">
        <f>IFERROR(SUBSTITUTE(Tabela1[[#This Row],[Estacionamento]],".",",",1)*1,0)</f>
        <v>0</v>
      </c>
      <c r="Y94" s="86">
        <f>IFERROR(SUBSTITUTE(Tabela1[[#This Row],[Despesas Diversas 
(Jantar em viagem, Impressões, Etc)]],".",",",1)*1,0)</f>
        <v>0</v>
      </c>
      <c r="Z94" s="86">
        <f>IFERROR(SUBSTITUTE(Tabela1[[#This Row],[Hospedagem]],".",",",1)*1,0)</f>
        <v>0</v>
      </c>
      <c r="AA94" s="56" t="str">
        <f>IF(DAY(Tabela1[[#This Row],[Informe a data]])&lt;=15,"1ª Quinzena","2ª Quinzena")</f>
        <v>1ª Quinzena</v>
      </c>
      <c r="AB94" s="56" t="str">
        <f>UPPER(TEXT(Tabela1[[#This Row],[Informe a data]],"mmmm"))</f>
        <v>FEVEREIRO</v>
      </c>
      <c r="AC94" s="87" t="e">
        <f ca="1">_xlfn.CONCAT(Tabela1[[#This Row],[Selecione o Usuário]]," - ",TEXT(Tabela1[[#This Row],[Informe a data]],"dd-mm-aa"))</f>
        <v>#NAME?</v>
      </c>
    </row>
    <row r="95" spans="1:29">
      <c r="A95" s="49">
        <v>46067.397175925929</v>
      </c>
      <c r="B95" s="50" t="s">
        <v>140</v>
      </c>
      <c r="C95" s="50" t="s">
        <v>141</v>
      </c>
      <c r="D95" s="50" t="s">
        <v>332</v>
      </c>
      <c r="E95" s="51">
        <v>46065</v>
      </c>
      <c r="F95" s="52">
        <v>56769</v>
      </c>
      <c r="G95" s="58" t="s">
        <v>521</v>
      </c>
      <c r="H95" s="52">
        <v>56924</v>
      </c>
      <c r="I95" s="58" t="s">
        <v>522</v>
      </c>
      <c r="J95" s="50" t="s">
        <v>523</v>
      </c>
      <c r="K95" s="53"/>
      <c r="L95" s="50" t="s">
        <v>60</v>
      </c>
      <c r="M95" s="53"/>
      <c r="N95" s="53"/>
      <c r="O95" s="53"/>
      <c r="P95" s="53"/>
      <c r="Q95" s="53"/>
      <c r="R95" s="53"/>
      <c r="S95" s="53"/>
      <c r="T95" s="53"/>
      <c r="U95" s="85">
        <f>(Tabela1[[#This Row],[Informe o KM final do dia]]-Tabela1[[#This Row],[Informe o KM inicial do dia]])-Tabela1[[#This Row],[Caso tenha rodado particular alguma parte do trajeto, informe o total de KM a ser deduzido.]]</f>
        <v>155</v>
      </c>
      <c r="V95" s="55">
        <f>IF(Tabela1[[#This Row],[Informe a data]]&lt;DATE(2026,3,16), Tabela1[[#This Row],[KM Rodado]]*1.1, Tabela1[[#This Row],[KM Rodado]]*1.23)</f>
        <v>170.5</v>
      </c>
      <c r="W95" s="86">
        <f>IFERROR(SUBSTITUTE(Tabela1[[#This Row],[Pedágio]],".",",",1)*1,0)</f>
        <v>0</v>
      </c>
      <c r="X95" s="86">
        <f>IFERROR(SUBSTITUTE(Tabela1[[#This Row],[Estacionamento]],".",",",1)*1,0)</f>
        <v>0</v>
      </c>
      <c r="Y95" s="86">
        <f>IFERROR(SUBSTITUTE(Tabela1[[#This Row],[Despesas Diversas 
(Jantar em viagem, Impressões, Etc)]],".",",",1)*1,0)</f>
        <v>0</v>
      </c>
      <c r="Z95" s="86">
        <f>IFERROR(SUBSTITUTE(Tabela1[[#This Row],[Hospedagem]],".",",",1)*1,0)</f>
        <v>0</v>
      </c>
      <c r="AA95" s="56" t="str">
        <f>IF(DAY(Tabela1[[#This Row],[Informe a data]])&lt;=15,"1ª Quinzena","2ª Quinzena")</f>
        <v>1ª Quinzena</v>
      </c>
      <c r="AB95" s="56" t="str">
        <f>UPPER(TEXT(Tabela1[[#This Row],[Informe a data]],"mmmm"))</f>
        <v>FEVEREIRO</v>
      </c>
      <c r="AC95" s="87" t="e">
        <f ca="1">_xlfn.CONCAT(Tabela1[[#This Row],[Selecione o Usuário]]," - ",TEXT(Tabela1[[#This Row],[Informe a data]],"dd-mm-aa"))</f>
        <v>#NAME?</v>
      </c>
    </row>
    <row r="96" spans="1:29">
      <c r="A96" s="89">
        <v>46067.363564814812</v>
      </c>
      <c r="B96" s="90" t="s">
        <v>131</v>
      </c>
      <c r="C96" s="90" t="s">
        <v>132</v>
      </c>
      <c r="D96" s="90" t="s">
        <v>133</v>
      </c>
      <c r="E96" s="91">
        <v>46066</v>
      </c>
      <c r="F96" s="92">
        <v>188145</v>
      </c>
      <c r="G96" s="93" t="s">
        <v>519</v>
      </c>
      <c r="H96" s="92">
        <v>188157</v>
      </c>
      <c r="I96" s="93" t="s">
        <v>520</v>
      </c>
      <c r="J96" s="90" t="s">
        <v>515</v>
      </c>
      <c r="K96" s="94"/>
      <c r="L96" s="90" t="s">
        <v>60</v>
      </c>
      <c r="M96" s="94"/>
      <c r="N96" s="94"/>
      <c r="O96" s="94"/>
      <c r="P96" s="94"/>
      <c r="Q96" s="94"/>
      <c r="R96" s="94"/>
      <c r="S96" s="94"/>
      <c r="T96" s="94"/>
      <c r="U96" s="85">
        <f>(Tabela1[[#This Row],[Informe o KM final do dia]]-Tabela1[[#This Row],[Informe o KM inicial do dia]])-Tabela1[[#This Row],[Caso tenha rodado particular alguma parte do trajeto, informe o total de KM a ser deduzido.]]</f>
        <v>12</v>
      </c>
      <c r="V96" s="55">
        <f>IF(Tabela1[[#This Row],[Informe a data]]&lt;DATE(2026,3,16), Tabela1[[#This Row],[KM Rodado]]*1.1, Tabela1[[#This Row],[KM Rodado]]*1.23)</f>
        <v>13.200000000000001</v>
      </c>
      <c r="W96" s="86">
        <f>IFERROR(SUBSTITUTE(Tabela1[[#This Row],[Pedágio]],".",",",1)*1,0)</f>
        <v>0</v>
      </c>
      <c r="X96" s="86">
        <f>IFERROR(SUBSTITUTE(Tabela1[[#This Row],[Estacionamento]],".",",",1)*1,0)</f>
        <v>0</v>
      </c>
      <c r="Y96" s="86">
        <f>IFERROR(SUBSTITUTE(Tabela1[[#This Row],[Despesas Diversas 
(Jantar em viagem, Impressões, Etc)]],".",",",1)*1,0)</f>
        <v>0</v>
      </c>
      <c r="Z96" s="86">
        <f>IFERROR(SUBSTITUTE(Tabela1[[#This Row],[Hospedagem]],".",",",1)*1,0)</f>
        <v>0</v>
      </c>
      <c r="AA96" s="56" t="str">
        <f>IF(DAY(Tabela1[[#This Row],[Informe a data]])&lt;=15,"1ª Quinzena","2ª Quinzena")</f>
        <v>1ª Quinzena</v>
      </c>
      <c r="AB96" s="56" t="str">
        <f>UPPER(TEXT(Tabela1[[#This Row],[Informe a data]],"mmmm"))</f>
        <v>FEVEREIRO</v>
      </c>
      <c r="AC96" s="87" t="e">
        <f ca="1">_xlfn.CONCAT(Tabela1[[#This Row],[Selecione o Usuário]]," - ",TEXT(Tabela1[[#This Row],[Informe a data]],"dd-mm-aa"))</f>
        <v>#NAME?</v>
      </c>
    </row>
    <row r="97" spans="1:29">
      <c r="A97" s="89">
        <v>46069.636481481481</v>
      </c>
      <c r="B97" s="90" t="s">
        <v>504</v>
      </c>
      <c r="C97" s="90" t="s">
        <v>505</v>
      </c>
      <c r="D97" s="90" t="s">
        <v>506</v>
      </c>
      <c r="E97" s="91">
        <v>46066</v>
      </c>
      <c r="F97" s="92">
        <v>100008</v>
      </c>
      <c r="G97" s="93" t="s">
        <v>530</v>
      </c>
      <c r="H97" s="92">
        <v>100091</v>
      </c>
      <c r="I97" s="93" t="s">
        <v>531</v>
      </c>
      <c r="J97" s="90" t="s">
        <v>532</v>
      </c>
      <c r="K97" s="94"/>
      <c r="L97" s="90" t="s">
        <v>60</v>
      </c>
      <c r="M97" s="94"/>
      <c r="N97" s="94"/>
      <c r="O97" s="94"/>
      <c r="P97" s="94"/>
      <c r="Q97" s="94"/>
      <c r="R97" s="94"/>
      <c r="S97" s="94"/>
      <c r="T97" s="94"/>
      <c r="U97" s="85">
        <f>(Tabela1[[#This Row],[Informe o KM final do dia]]-Tabela1[[#This Row],[Informe o KM inicial do dia]])-Tabela1[[#This Row],[Caso tenha rodado particular alguma parte do trajeto, informe o total de KM a ser deduzido.]]</f>
        <v>83</v>
      </c>
      <c r="V97" s="55">
        <f>IF(Tabela1[[#This Row],[Informe a data]]&lt;DATE(2026,3,16), Tabela1[[#This Row],[KM Rodado]]*1.1, Tabela1[[#This Row],[KM Rodado]]*1.23)</f>
        <v>91.300000000000011</v>
      </c>
      <c r="W97" s="86">
        <f>IFERROR(SUBSTITUTE(Tabela1[[#This Row],[Pedágio]],".",",",1)*1,0)</f>
        <v>0</v>
      </c>
      <c r="X97" s="86">
        <f>IFERROR(SUBSTITUTE(Tabela1[[#This Row],[Estacionamento]],".",",",1)*1,0)</f>
        <v>0</v>
      </c>
      <c r="Y97" s="86">
        <f>IFERROR(SUBSTITUTE(Tabela1[[#This Row],[Despesas Diversas 
(Jantar em viagem, Impressões, Etc)]],".",",",1)*1,0)</f>
        <v>0</v>
      </c>
      <c r="Z97" s="86">
        <f>IFERROR(SUBSTITUTE(Tabela1[[#This Row],[Hospedagem]],".",",",1)*1,0)</f>
        <v>0</v>
      </c>
      <c r="AA97" s="56" t="str">
        <f>IF(DAY(Tabela1[[#This Row],[Informe a data]])&lt;=15,"1ª Quinzena","2ª Quinzena")</f>
        <v>1ª Quinzena</v>
      </c>
      <c r="AB97" s="56" t="str">
        <f>UPPER(TEXT(Tabela1[[#This Row],[Informe a data]],"mmmm"))</f>
        <v>FEVEREIRO</v>
      </c>
      <c r="AC97" s="87" t="e">
        <f ca="1">_xlfn.CONCAT(Tabela1[[#This Row],[Selecione o Usuário]]," - ",TEXT(Tabela1[[#This Row],[Informe a data]],"dd-mm-aa"))</f>
        <v>#NAME?</v>
      </c>
    </row>
    <row r="98" spans="1:29">
      <c r="A98" s="49">
        <v>46067.358032407406</v>
      </c>
      <c r="B98" s="50" t="s">
        <v>300</v>
      </c>
      <c r="C98" s="50" t="s">
        <v>250</v>
      </c>
      <c r="D98" s="50" t="s">
        <v>228</v>
      </c>
      <c r="E98" s="51">
        <v>46066</v>
      </c>
      <c r="F98" s="52">
        <v>121039</v>
      </c>
      <c r="G98" s="58" t="s">
        <v>516</v>
      </c>
      <c r="H98" s="52">
        <v>121136</v>
      </c>
      <c r="I98" s="58" t="s">
        <v>517</v>
      </c>
      <c r="J98" s="50" t="s">
        <v>518</v>
      </c>
      <c r="K98" s="53"/>
      <c r="L98" s="50" t="s">
        <v>60</v>
      </c>
      <c r="M98" s="53"/>
      <c r="N98" s="53"/>
      <c r="O98" s="53"/>
      <c r="P98" s="53"/>
      <c r="Q98" s="53"/>
      <c r="R98" s="53"/>
      <c r="S98" s="53"/>
      <c r="T98" s="53"/>
      <c r="U98" s="85">
        <f>(Tabela1[[#This Row],[Informe o KM final do dia]]-Tabela1[[#This Row],[Informe o KM inicial do dia]])-Tabela1[[#This Row],[Caso tenha rodado particular alguma parte do trajeto, informe o total de KM a ser deduzido.]]</f>
        <v>97</v>
      </c>
      <c r="V98" s="55">
        <f>IF(Tabela1[[#This Row],[Informe a data]]&lt;DATE(2026,3,16), Tabela1[[#This Row],[KM Rodado]]*1.1, Tabela1[[#This Row],[KM Rodado]]*1.23)</f>
        <v>106.7</v>
      </c>
      <c r="W98" s="86">
        <f>IFERROR(SUBSTITUTE(Tabela1[[#This Row],[Pedágio]],".",",",1)*1,0)</f>
        <v>0</v>
      </c>
      <c r="X98" s="86">
        <f>IFERROR(SUBSTITUTE(Tabela1[[#This Row],[Estacionamento]],".",",",1)*1,0)</f>
        <v>0</v>
      </c>
      <c r="Y98" s="86">
        <f>IFERROR(SUBSTITUTE(Tabela1[[#This Row],[Despesas Diversas 
(Jantar em viagem, Impressões, Etc)]],".",",",1)*1,0)</f>
        <v>0</v>
      </c>
      <c r="Z98" s="86">
        <f>IFERROR(SUBSTITUTE(Tabela1[[#This Row],[Hospedagem]],".",",",1)*1,0)</f>
        <v>0</v>
      </c>
      <c r="AA98" s="56" t="str">
        <f>IF(DAY(Tabela1[[#This Row],[Informe a data]])&lt;=15,"1ª Quinzena","2ª Quinzena")</f>
        <v>1ª Quinzena</v>
      </c>
      <c r="AB98" s="56" t="str">
        <f>UPPER(TEXT(Tabela1[[#This Row],[Informe a data]],"mmmm"))</f>
        <v>FEVEREIRO</v>
      </c>
      <c r="AC98" s="87" t="e">
        <f ca="1">_xlfn.CONCAT(Tabela1[[#This Row],[Selecione o Usuário]]," - ",TEXT(Tabela1[[#This Row],[Informe a data]],"dd-mm-aa"))</f>
        <v>#NAME?</v>
      </c>
    </row>
    <row r="99" spans="1:29">
      <c r="A99" s="89">
        <v>46067.457812499997</v>
      </c>
      <c r="B99" s="90" t="s">
        <v>140</v>
      </c>
      <c r="C99" s="90" t="s">
        <v>141</v>
      </c>
      <c r="D99" s="90" t="s">
        <v>169</v>
      </c>
      <c r="E99" s="91">
        <v>46066</v>
      </c>
      <c r="F99" s="92">
        <v>174413</v>
      </c>
      <c r="G99" s="93" t="s">
        <v>524</v>
      </c>
      <c r="H99" s="92">
        <v>174463</v>
      </c>
      <c r="I99" s="93" t="s">
        <v>525</v>
      </c>
      <c r="J99" s="90" t="s">
        <v>526</v>
      </c>
      <c r="K99" s="94"/>
      <c r="L99" s="90" t="s">
        <v>60</v>
      </c>
      <c r="M99" s="94"/>
      <c r="N99" s="94"/>
      <c r="O99" s="94"/>
      <c r="P99" s="94"/>
      <c r="Q99" s="94"/>
      <c r="R99" s="94"/>
      <c r="S99" s="94"/>
      <c r="T99" s="94"/>
      <c r="U99" s="85">
        <f>(Tabela1[[#This Row],[Informe o KM final do dia]]-Tabela1[[#This Row],[Informe o KM inicial do dia]])-Tabela1[[#This Row],[Caso tenha rodado particular alguma parte do trajeto, informe o total de KM a ser deduzido.]]</f>
        <v>50</v>
      </c>
      <c r="V99" s="55">
        <f>IF(Tabela1[[#This Row],[Informe a data]]&lt;DATE(2026,3,16), Tabela1[[#This Row],[KM Rodado]]*1.1, Tabela1[[#This Row],[KM Rodado]]*1.23)</f>
        <v>55.000000000000007</v>
      </c>
      <c r="W99" s="86">
        <f>IFERROR(SUBSTITUTE(Tabela1[[#This Row],[Pedágio]],".",",",1)*1,0)</f>
        <v>0</v>
      </c>
      <c r="X99" s="86">
        <f>IFERROR(SUBSTITUTE(Tabela1[[#This Row],[Estacionamento]],".",",",1)*1,0)</f>
        <v>0</v>
      </c>
      <c r="Y99" s="86">
        <f>IFERROR(SUBSTITUTE(Tabela1[[#This Row],[Despesas Diversas 
(Jantar em viagem, Impressões, Etc)]],".",",",1)*1,0)</f>
        <v>0</v>
      </c>
      <c r="Z99" s="86">
        <f>IFERROR(SUBSTITUTE(Tabela1[[#This Row],[Hospedagem]],".",",",1)*1,0)</f>
        <v>0</v>
      </c>
      <c r="AA99" s="56" t="str">
        <f>IF(DAY(Tabela1[[#This Row],[Informe a data]])&lt;=15,"1ª Quinzena","2ª Quinzena")</f>
        <v>1ª Quinzena</v>
      </c>
      <c r="AB99" s="56" t="str">
        <f>UPPER(TEXT(Tabela1[[#This Row],[Informe a data]],"mmmm"))</f>
        <v>FEVEREIRO</v>
      </c>
      <c r="AC99" s="87" t="e">
        <f ca="1">_xlfn.CONCAT(Tabela1[[#This Row],[Selecione o Usuário]]," - ",TEXT(Tabela1[[#This Row],[Informe a data]],"dd-mm-aa"))</f>
        <v>#NAME?</v>
      </c>
    </row>
    <row r="100" spans="1:29">
      <c r="A100" s="89">
        <v>46069.734189814815</v>
      </c>
      <c r="B100" s="90" t="s">
        <v>131</v>
      </c>
      <c r="C100" s="90" t="s">
        <v>132</v>
      </c>
      <c r="D100" s="90" t="s">
        <v>133</v>
      </c>
      <c r="E100" s="91">
        <v>46067</v>
      </c>
      <c r="F100" s="92">
        <v>188178</v>
      </c>
      <c r="G100" s="93" t="s">
        <v>538</v>
      </c>
      <c r="H100" s="92">
        <v>188220</v>
      </c>
      <c r="I100" s="93" t="s">
        <v>539</v>
      </c>
      <c r="J100" s="90" t="s">
        <v>540</v>
      </c>
      <c r="K100" s="94"/>
      <c r="L100" s="90" t="s">
        <v>60</v>
      </c>
      <c r="M100" s="94"/>
      <c r="N100" s="94"/>
      <c r="O100" s="94"/>
      <c r="P100" s="94"/>
      <c r="Q100" s="94"/>
      <c r="R100" s="94"/>
      <c r="S100" s="94"/>
      <c r="T100" s="94"/>
      <c r="U100" s="85">
        <f>(Tabela1[[#This Row],[Informe o KM final do dia]]-Tabela1[[#This Row],[Informe o KM inicial do dia]])-Tabela1[[#This Row],[Caso tenha rodado particular alguma parte do trajeto, informe o total de KM a ser deduzido.]]</f>
        <v>42</v>
      </c>
      <c r="V100" s="55">
        <f>IF(Tabela1[[#This Row],[Informe a data]]&lt;DATE(2026,3,16), Tabela1[[#This Row],[KM Rodado]]*1.1, Tabela1[[#This Row],[KM Rodado]]*1.23)</f>
        <v>46.2</v>
      </c>
      <c r="W100" s="86">
        <f>IFERROR(SUBSTITUTE(Tabela1[[#This Row],[Pedágio]],".",",",1)*1,0)</f>
        <v>0</v>
      </c>
      <c r="X100" s="86">
        <f>IFERROR(SUBSTITUTE(Tabela1[[#This Row],[Estacionamento]],".",",",1)*1,0)</f>
        <v>0</v>
      </c>
      <c r="Y100" s="86">
        <f>IFERROR(SUBSTITUTE(Tabela1[[#This Row],[Despesas Diversas 
(Jantar em viagem, Impressões, Etc)]],".",",",1)*1,0)</f>
        <v>0</v>
      </c>
      <c r="Z100" s="86">
        <f>IFERROR(SUBSTITUTE(Tabela1[[#This Row],[Hospedagem]],".",",",1)*1,0)</f>
        <v>0</v>
      </c>
      <c r="AA100" s="56" t="str">
        <f>IF(DAY(Tabela1[[#This Row],[Informe a data]])&lt;=15,"1ª Quinzena","2ª Quinzena")</f>
        <v>1ª Quinzena</v>
      </c>
      <c r="AB100" s="56" t="str">
        <f>UPPER(TEXT(Tabela1[[#This Row],[Informe a data]],"mmmm"))</f>
        <v>FEVEREIRO</v>
      </c>
      <c r="AC100" s="87" t="e">
        <f ca="1">_xlfn.CONCAT(Tabela1[[#This Row],[Selecione o Usuário]]," - ",TEXT(Tabela1[[#This Row],[Informe a data]],"dd-mm-aa"))</f>
        <v>#NAME?</v>
      </c>
    </row>
    <row r="101" spans="1:29">
      <c r="A101" s="110">
        <v>46069.701435185183</v>
      </c>
      <c r="B101" s="106" t="s">
        <v>208</v>
      </c>
      <c r="C101" s="106" t="s">
        <v>134</v>
      </c>
      <c r="D101" s="106" t="s">
        <v>209</v>
      </c>
      <c r="E101" s="107">
        <v>46067</v>
      </c>
      <c r="F101" s="108">
        <v>162415</v>
      </c>
      <c r="G101" s="109"/>
      <c r="H101" s="108">
        <v>162741</v>
      </c>
      <c r="I101" s="109"/>
      <c r="J101" s="106" t="s">
        <v>537</v>
      </c>
      <c r="K101" s="109"/>
      <c r="L101" s="106" t="s">
        <v>60</v>
      </c>
      <c r="M101" s="109"/>
      <c r="N101" s="109"/>
      <c r="O101" s="109"/>
      <c r="P101" s="109"/>
      <c r="Q101" s="109"/>
      <c r="R101" s="109"/>
      <c r="S101" s="109"/>
      <c r="T101" s="109"/>
      <c r="U101" s="95">
        <f>(Tabela1[[#This Row],[Informe o KM final do dia]]-Tabela1[[#This Row],[Informe o KM inicial do dia]])-Tabela1[[#This Row],[Caso tenha rodado particular alguma parte do trajeto, informe o total de KM a ser deduzido.]]</f>
        <v>326</v>
      </c>
      <c r="V101" s="96">
        <f>IF(Tabela1[[#This Row],[Informe a data]]&lt;DATE(2026,3,16), Tabela1[[#This Row],[KM Rodado]]*1.1, Tabela1[[#This Row],[KM Rodado]]*1.23)</f>
        <v>358.6</v>
      </c>
      <c r="W101" s="97">
        <f>IFERROR(SUBSTITUTE(Tabela1[[#This Row],[Pedágio]],".",",",1)*1,0)</f>
        <v>0</v>
      </c>
      <c r="X101" s="97">
        <f>IFERROR(SUBSTITUTE(Tabela1[[#This Row],[Estacionamento]],".",",",1)*1,0)</f>
        <v>0</v>
      </c>
      <c r="Y101" s="97">
        <f>IFERROR(SUBSTITUTE(Tabela1[[#This Row],[Despesas Diversas 
(Jantar em viagem, Impressões, Etc)]],".",",",1)*1,0)</f>
        <v>0</v>
      </c>
      <c r="Z101" s="97">
        <f>IFERROR(SUBSTITUTE(Tabela1[[#This Row],[Hospedagem]],".",",",1)*1,0)</f>
        <v>0</v>
      </c>
      <c r="AA101" s="56" t="str">
        <f>IF(DAY(Tabela1[[#This Row],[Informe a data]])&lt;=15,"1ª Quinzena","2ª Quinzena")</f>
        <v>1ª Quinzena</v>
      </c>
      <c r="AB101" s="98" t="str">
        <f>UPPER(TEXT(Tabela1[[#This Row],[Informe a data]],"mmmm"))</f>
        <v>FEVEREIRO</v>
      </c>
      <c r="AC101" s="99" t="e">
        <f ca="1">_xlfn.CONCAT(Tabela1[[#This Row],[Selecione o Usuário]]," - ",TEXT(Tabela1[[#This Row],[Informe a data]],"dd-mm-aa"))</f>
        <v>#NAME?</v>
      </c>
    </row>
    <row r="102" spans="1:29">
      <c r="A102" s="49">
        <v>46069.639907407407</v>
      </c>
      <c r="B102" s="50" t="s">
        <v>504</v>
      </c>
      <c r="C102" s="50" t="s">
        <v>505</v>
      </c>
      <c r="D102" s="50" t="s">
        <v>506</v>
      </c>
      <c r="E102" s="51">
        <v>46067</v>
      </c>
      <c r="F102" s="52">
        <v>100156</v>
      </c>
      <c r="G102" s="58" t="s">
        <v>533</v>
      </c>
      <c r="H102" s="52">
        <v>100196</v>
      </c>
      <c r="I102" s="58" t="s">
        <v>534</v>
      </c>
      <c r="J102" s="50" t="s">
        <v>535</v>
      </c>
      <c r="K102" s="53"/>
      <c r="L102" s="50" t="s">
        <v>60</v>
      </c>
      <c r="M102" s="53"/>
      <c r="N102" s="53"/>
      <c r="O102" s="53"/>
      <c r="P102" s="53"/>
      <c r="Q102" s="53"/>
      <c r="R102" s="53"/>
      <c r="S102" s="53"/>
      <c r="T102" s="53"/>
      <c r="U102" s="85">
        <f>(Tabela1[[#This Row],[Informe o KM final do dia]]-Tabela1[[#This Row],[Informe o KM inicial do dia]])-Tabela1[[#This Row],[Caso tenha rodado particular alguma parte do trajeto, informe o total de KM a ser deduzido.]]</f>
        <v>40</v>
      </c>
      <c r="V102" s="55">
        <f>IF(Tabela1[[#This Row],[Informe a data]]&lt;DATE(2026,3,16), Tabela1[[#This Row],[KM Rodado]]*1.1, Tabela1[[#This Row],[KM Rodado]]*1.23)</f>
        <v>44</v>
      </c>
      <c r="W102" s="86">
        <f>IFERROR(SUBSTITUTE(Tabela1[[#This Row],[Pedágio]],".",",",1)*1,0)</f>
        <v>0</v>
      </c>
      <c r="X102" s="86">
        <f>IFERROR(SUBSTITUTE(Tabela1[[#This Row],[Estacionamento]],".",",",1)*1,0)</f>
        <v>0</v>
      </c>
      <c r="Y102" s="86">
        <f>IFERROR(SUBSTITUTE(Tabela1[[#This Row],[Despesas Diversas 
(Jantar em viagem, Impressões, Etc)]],".",",",1)*1,0)</f>
        <v>0</v>
      </c>
      <c r="Z102" s="86">
        <f>IFERROR(SUBSTITUTE(Tabela1[[#This Row],[Hospedagem]],".",",",1)*1,0)</f>
        <v>0</v>
      </c>
      <c r="AA102" s="56" t="str">
        <f>IF(DAY(Tabela1[[#This Row],[Informe a data]])&lt;=15,"1ª Quinzena","2ª Quinzena")</f>
        <v>1ª Quinzena</v>
      </c>
      <c r="AB102" s="56" t="str">
        <f>UPPER(TEXT(Tabela1[[#This Row],[Informe a data]],"mmmm"))</f>
        <v>FEVEREIRO</v>
      </c>
      <c r="AC102" s="87" t="e">
        <f ca="1">_xlfn.CONCAT(Tabela1[[#This Row],[Selecione o Usuário]]," - ",TEXT(Tabela1[[#This Row],[Informe a data]],"dd-mm-aa"))</f>
        <v>#NAME?</v>
      </c>
    </row>
    <row r="103" spans="1:29">
      <c r="A103" s="49">
        <v>46069.558067129627</v>
      </c>
      <c r="B103" s="50" t="s">
        <v>300</v>
      </c>
      <c r="C103" s="50" t="s">
        <v>250</v>
      </c>
      <c r="D103" s="50" t="s">
        <v>228</v>
      </c>
      <c r="E103" s="51">
        <v>46067</v>
      </c>
      <c r="F103" s="52">
        <v>121152</v>
      </c>
      <c r="G103" s="58" t="s">
        <v>527</v>
      </c>
      <c r="H103" s="52">
        <v>121255</v>
      </c>
      <c r="I103" s="58" t="s">
        <v>528</v>
      </c>
      <c r="J103" s="50" t="s">
        <v>529</v>
      </c>
      <c r="K103" s="52">
        <v>14</v>
      </c>
      <c r="L103" s="50" t="s">
        <v>60</v>
      </c>
      <c r="M103" s="53"/>
      <c r="N103" s="53"/>
      <c r="O103" s="53"/>
      <c r="P103" s="53"/>
      <c r="Q103" s="53"/>
      <c r="R103" s="53"/>
      <c r="S103" s="53"/>
      <c r="T103" s="53"/>
      <c r="U103" s="85">
        <f>(Tabela1[[#This Row],[Informe o KM final do dia]]-Tabela1[[#This Row],[Informe o KM inicial do dia]])-Tabela1[[#This Row],[Caso tenha rodado particular alguma parte do trajeto, informe o total de KM a ser deduzido.]]</f>
        <v>89</v>
      </c>
      <c r="V103" s="55">
        <f>IF(Tabela1[[#This Row],[Informe a data]]&lt;DATE(2026,3,16), Tabela1[[#This Row],[KM Rodado]]*1.1, Tabela1[[#This Row],[KM Rodado]]*1.23)</f>
        <v>97.9</v>
      </c>
      <c r="W103" s="86">
        <f>IFERROR(SUBSTITUTE(Tabela1[[#This Row],[Pedágio]],".",",",1)*1,0)</f>
        <v>0</v>
      </c>
      <c r="X103" s="86">
        <f>IFERROR(SUBSTITUTE(Tabela1[[#This Row],[Estacionamento]],".",",",1)*1,0)</f>
        <v>0</v>
      </c>
      <c r="Y103" s="86">
        <f>IFERROR(SUBSTITUTE(Tabela1[[#This Row],[Despesas Diversas 
(Jantar em viagem, Impressões, Etc)]],".",",",1)*1,0)</f>
        <v>0</v>
      </c>
      <c r="Z103" s="86">
        <f>IFERROR(SUBSTITUTE(Tabela1[[#This Row],[Hospedagem]],".",",",1)*1,0)</f>
        <v>0</v>
      </c>
      <c r="AA103" s="56" t="str">
        <f>IF(DAY(Tabela1[[#This Row],[Informe a data]])&lt;=15,"1ª Quinzena","2ª Quinzena")</f>
        <v>1ª Quinzena</v>
      </c>
      <c r="AB103" s="56" t="str">
        <f>UPPER(TEXT(Tabela1[[#This Row],[Informe a data]],"mmmm"))</f>
        <v>FEVEREIRO</v>
      </c>
      <c r="AC103" s="87" t="e">
        <f ca="1">_xlfn.CONCAT(Tabela1[[#This Row],[Selecione o Usuário]]," - ",TEXT(Tabela1[[#This Row],[Informe a data]],"dd-mm-aa"))</f>
        <v>#NAME?</v>
      </c>
    </row>
    <row r="104" spans="1:29">
      <c r="A104" s="110">
        <v>46071.36146990741</v>
      </c>
      <c r="B104" s="106" t="s">
        <v>176</v>
      </c>
      <c r="C104" s="106" t="s">
        <v>136</v>
      </c>
      <c r="D104" s="106" t="s">
        <v>177</v>
      </c>
      <c r="E104" s="107">
        <v>46067</v>
      </c>
      <c r="F104" s="108">
        <v>169305</v>
      </c>
      <c r="G104" s="109"/>
      <c r="H104" s="108">
        <v>169407</v>
      </c>
      <c r="I104" s="109"/>
      <c r="J104" s="106" t="s">
        <v>546</v>
      </c>
      <c r="K104" s="109"/>
      <c r="L104" s="106" t="s">
        <v>60</v>
      </c>
      <c r="M104" s="109"/>
      <c r="N104" s="109"/>
      <c r="O104" s="109"/>
      <c r="P104" s="109"/>
      <c r="Q104" s="109"/>
      <c r="R104" s="109"/>
      <c r="S104" s="109"/>
      <c r="T104" s="109"/>
      <c r="U104" s="95">
        <f>(Tabela1[[#This Row],[Informe o KM final do dia]]-Tabela1[[#This Row],[Informe o KM inicial do dia]])-Tabela1[[#This Row],[Caso tenha rodado particular alguma parte do trajeto, informe o total de KM a ser deduzido.]]</f>
        <v>102</v>
      </c>
      <c r="V104" s="96">
        <f>IF(Tabela1[[#This Row],[Informe a data]]&lt;DATE(2026,3,16), Tabela1[[#This Row],[KM Rodado]]*1.1, Tabela1[[#This Row],[KM Rodado]]*1.23)</f>
        <v>112.2</v>
      </c>
      <c r="W104" s="97">
        <f>IFERROR(SUBSTITUTE(Tabela1[[#This Row],[Pedágio]],".",",",1)*1,0)</f>
        <v>0</v>
      </c>
      <c r="X104" s="97">
        <f>IFERROR(SUBSTITUTE(Tabela1[[#This Row],[Estacionamento]],".",",",1)*1,0)</f>
        <v>0</v>
      </c>
      <c r="Y104" s="97">
        <f>IFERROR(SUBSTITUTE(Tabela1[[#This Row],[Despesas Diversas 
(Jantar em viagem, Impressões, Etc)]],".",",",1)*1,0)</f>
        <v>0</v>
      </c>
      <c r="Z104" s="97">
        <f>IFERROR(SUBSTITUTE(Tabela1[[#This Row],[Hospedagem]],".",",",1)*1,0)</f>
        <v>0</v>
      </c>
      <c r="AA104" s="56" t="str">
        <f>IF(DAY(Tabela1[[#This Row],[Informe a data]])&lt;=15,"1ª Quinzena","2ª Quinzena")</f>
        <v>1ª Quinzena</v>
      </c>
      <c r="AB104" s="98" t="str">
        <f>UPPER(TEXT(Tabela1[[#This Row],[Informe a data]],"mmmm"))</f>
        <v>FEVEREIRO</v>
      </c>
      <c r="AC104" s="99" t="e">
        <f ca="1">_xlfn.CONCAT(Tabela1[[#This Row],[Selecione o Usuário]]," - ",TEXT(Tabela1[[#This Row],[Informe a data]],"dd-mm-aa"))</f>
        <v>#NAME?</v>
      </c>
    </row>
    <row r="105" spans="1:29">
      <c r="A105" s="89">
        <v>46082.469525462962</v>
      </c>
      <c r="B105" s="90" t="s">
        <v>469</v>
      </c>
      <c r="C105" s="90" t="s">
        <v>559</v>
      </c>
      <c r="D105" s="90" t="s">
        <v>560</v>
      </c>
      <c r="E105" s="91">
        <v>46071</v>
      </c>
      <c r="F105" s="92">
        <v>75257</v>
      </c>
      <c r="G105" s="94"/>
      <c r="H105" s="92">
        <v>75270</v>
      </c>
      <c r="I105" s="94"/>
      <c r="J105" s="90" t="s">
        <v>561</v>
      </c>
      <c r="K105" s="94"/>
      <c r="L105" s="90" t="s">
        <v>60</v>
      </c>
      <c r="M105" s="94"/>
      <c r="N105" s="94"/>
      <c r="O105" s="94"/>
      <c r="P105" s="94"/>
      <c r="Q105" s="94"/>
      <c r="R105" s="94"/>
      <c r="S105" s="94"/>
      <c r="T105" s="94"/>
      <c r="U105" s="85">
        <f>(Tabela1[[#This Row],[Informe o KM final do dia]]-Tabela1[[#This Row],[Informe o KM inicial do dia]])-Tabela1[[#This Row],[Caso tenha rodado particular alguma parte do trajeto, informe o total de KM a ser deduzido.]]</f>
        <v>13</v>
      </c>
      <c r="V105" s="55">
        <f>IF(Tabela1[[#This Row],[Informe a data]]&lt;DATE(2026,3,16), Tabela1[[#This Row],[KM Rodado]]*1.1, Tabela1[[#This Row],[KM Rodado]]*1.23)</f>
        <v>14.3</v>
      </c>
      <c r="W105" s="86">
        <f>IFERROR(SUBSTITUTE(Tabela1[[#This Row],[Pedágio]],".",",",1)*1,0)</f>
        <v>0</v>
      </c>
      <c r="X105" s="86">
        <f>IFERROR(SUBSTITUTE(Tabela1[[#This Row],[Estacionamento]],".",",",1)*1,0)</f>
        <v>0</v>
      </c>
      <c r="Y105" s="86">
        <f>IFERROR(SUBSTITUTE(Tabela1[[#This Row],[Despesas Diversas 
(Jantar em viagem, Impressões, Etc)]],".",",",1)*1,0)</f>
        <v>0</v>
      </c>
      <c r="Z105" s="86">
        <f>IFERROR(SUBSTITUTE(Tabela1[[#This Row],[Hospedagem]],".",",",1)*1,0)</f>
        <v>0</v>
      </c>
      <c r="AA105" s="56" t="str">
        <f>IF(DAY(Tabela1[[#This Row],[Informe a data]])&lt;=15,"1ª Quinzena","2ª Quinzena")</f>
        <v>2ª Quinzena</v>
      </c>
      <c r="AB105" s="56" t="str">
        <f>UPPER(TEXT(Tabela1[[#This Row],[Informe a data]],"mmmm"))</f>
        <v>FEVEREIRO</v>
      </c>
      <c r="AC105" s="87" t="e">
        <f ca="1">_xlfn.CONCAT(Tabela1[[#This Row],[Selecione o Usuário]]," - ",TEXT(Tabela1[[#This Row],[Informe a data]],"dd-mm-aa"))</f>
        <v>#NAME?</v>
      </c>
    </row>
    <row r="106" spans="1:29">
      <c r="A106" s="89">
        <v>46082.469525462962</v>
      </c>
      <c r="B106" s="90" t="s">
        <v>469</v>
      </c>
      <c r="C106" s="90" t="s">
        <v>559</v>
      </c>
      <c r="D106" s="90" t="s">
        <v>560</v>
      </c>
      <c r="E106" s="91">
        <v>46071</v>
      </c>
      <c r="F106" s="92">
        <v>75257</v>
      </c>
      <c r="G106" s="94"/>
      <c r="H106" s="92">
        <v>75270</v>
      </c>
      <c r="I106" s="94"/>
      <c r="J106" s="90" t="s">
        <v>561</v>
      </c>
      <c r="K106" s="94"/>
      <c r="L106" s="90" t="s">
        <v>60</v>
      </c>
      <c r="M106" s="94"/>
      <c r="N106" s="94"/>
      <c r="O106" s="94"/>
      <c r="P106" s="94"/>
      <c r="Q106" s="94"/>
      <c r="R106" s="94"/>
      <c r="S106" s="94"/>
      <c r="T106" s="94"/>
      <c r="U106" s="85">
        <f>(Tabela1[[#This Row],[Informe o KM final do dia]]-Tabela1[[#This Row],[Informe o KM inicial do dia]])-Tabela1[[#This Row],[Caso tenha rodado particular alguma parte do trajeto, informe o total de KM a ser deduzido.]]</f>
        <v>13</v>
      </c>
      <c r="V106" s="55">
        <f>IF(Tabela1[[#This Row],[Informe a data]]&lt;DATE(2026,3,16), Tabela1[[#This Row],[KM Rodado]]*1.1, Tabela1[[#This Row],[KM Rodado]]*1.23)</f>
        <v>14.3</v>
      </c>
      <c r="W106" s="86">
        <f>IFERROR(SUBSTITUTE(Tabela1[[#This Row],[Pedágio]],".",",",1)*1,0)</f>
        <v>0</v>
      </c>
      <c r="X106" s="86">
        <f>IFERROR(SUBSTITUTE(Tabela1[[#This Row],[Estacionamento]],".",",",1)*1,0)</f>
        <v>0</v>
      </c>
      <c r="Y106" s="86">
        <f>IFERROR(SUBSTITUTE(Tabela1[[#This Row],[Despesas Diversas 
(Jantar em viagem, Impressões, Etc)]],".",",",1)*1,0)</f>
        <v>0</v>
      </c>
      <c r="Z106" s="86">
        <f>IFERROR(SUBSTITUTE(Tabela1[[#This Row],[Hospedagem]],".",",",1)*1,0)</f>
        <v>0</v>
      </c>
      <c r="AA106" s="56" t="str">
        <f>IF(DAY(Tabela1[[#This Row],[Informe a data]])&lt;=15,"1ª Quinzena","2ª Quinzena")</f>
        <v>2ª Quinzena</v>
      </c>
      <c r="AB106" s="56" t="str">
        <f>UPPER(TEXT(Tabela1[[#This Row],[Informe a data]],"mmmm"))</f>
        <v>FEVEREIRO</v>
      </c>
      <c r="AC106" s="87" t="e">
        <f ca="1">_xlfn.CONCAT(Tabela1[[#This Row],[Selecione o Usuário]]," - ",TEXT(Tabela1[[#This Row],[Informe a data]],"dd-mm-aa"))</f>
        <v>#NAME?</v>
      </c>
    </row>
    <row r="107" spans="1:29">
      <c r="A107" s="89">
        <v>46071.715277777781</v>
      </c>
      <c r="B107" s="90" t="s">
        <v>208</v>
      </c>
      <c r="C107" s="90" t="s">
        <v>134</v>
      </c>
      <c r="D107" s="90" t="s">
        <v>209</v>
      </c>
      <c r="E107" s="91">
        <v>46071</v>
      </c>
      <c r="F107" s="92">
        <v>162767</v>
      </c>
      <c r="G107" s="94"/>
      <c r="H107" s="92">
        <v>163107</v>
      </c>
      <c r="I107" s="94"/>
      <c r="J107" s="90" t="s">
        <v>547</v>
      </c>
      <c r="K107" s="94"/>
      <c r="L107" s="90" t="s">
        <v>60</v>
      </c>
      <c r="M107" s="94"/>
      <c r="N107" s="94"/>
      <c r="O107" s="94"/>
      <c r="P107" s="94"/>
      <c r="Q107" s="94"/>
      <c r="R107" s="94"/>
      <c r="S107" s="94"/>
      <c r="T107" s="94"/>
      <c r="U107" s="85">
        <f>(Tabela1[[#This Row],[Informe o KM final do dia]]-Tabela1[[#This Row],[Informe o KM inicial do dia]])-Tabela1[[#This Row],[Caso tenha rodado particular alguma parte do trajeto, informe o total de KM a ser deduzido.]]</f>
        <v>340</v>
      </c>
      <c r="V107" s="55">
        <f>IF(Tabela1[[#This Row],[Informe a data]]&lt;DATE(2026,3,16), Tabela1[[#This Row],[KM Rodado]]*1.1, Tabela1[[#This Row],[KM Rodado]]*1.23)</f>
        <v>374.00000000000006</v>
      </c>
      <c r="W107" s="86">
        <f>IFERROR(SUBSTITUTE(Tabela1[[#This Row],[Pedágio]],".",",",1)*1,0)</f>
        <v>0</v>
      </c>
      <c r="X107" s="86">
        <f>IFERROR(SUBSTITUTE(Tabela1[[#This Row],[Estacionamento]],".",",",1)*1,0)</f>
        <v>0</v>
      </c>
      <c r="Y107" s="86">
        <f>IFERROR(SUBSTITUTE(Tabela1[[#This Row],[Despesas Diversas 
(Jantar em viagem, Impressões, Etc)]],".",",",1)*1,0)</f>
        <v>0</v>
      </c>
      <c r="Z107" s="86">
        <f>IFERROR(SUBSTITUTE(Tabela1[[#This Row],[Hospedagem]],".",",",1)*1,0)</f>
        <v>0</v>
      </c>
      <c r="AA107" s="56" t="str">
        <f>IF(DAY(Tabela1[[#This Row],[Informe a data]])&lt;=15,"1ª Quinzena","2ª Quinzena")</f>
        <v>2ª Quinzena</v>
      </c>
      <c r="AB107" s="56" t="str">
        <f>UPPER(TEXT(Tabela1[[#This Row],[Informe a data]],"mmmm"))</f>
        <v>FEVEREIRO</v>
      </c>
      <c r="AC107" s="87" t="e">
        <f ca="1">_xlfn.CONCAT(Tabela1[[#This Row],[Selecione o Usuário]]," - ",TEXT(Tabela1[[#This Row],[Informe a data]],"dd-mm-aa"))</f>
        <v>#NAME?</v>
      </c>
    </row>
    <row r="108" spans="1:29">
      <c r="A108" s="89">
        <v>46073.674953703703</v>
      </c>
      <c r="B108" s="90" t="s">
        <v>504</v>
      </c>
      <c r="C108" s="90" t="s">
        <v>505</v>
      </c>
      <c r="D108" s="90" t="s">
        <v>551</v>
      </c>
      <c r="E108" s="91">
        <v>46071</v>
      </c>
      <c r="F108" s="92">
        <v>100212</v>
      </c>
      <c r="G108" s="93" t="s">
        <v>552</v>
      </c>
      <c r="H108" s="92">
        <v>100221</v>
      </c>
      <c r="I108" s="93" t="s">
        <v>553</v>
      </c>
      <c r="J108" s="90" t="s">
        <v>554</v>
      </c>
      <c r="K108" s="94"/>
      <c r="L108" s="90" t="s">
        <v>60</v>
      </c>
      <c r="M108" s="94"/>
      <c r="N108" s="94"/>
      <c r="O108" s="94"/>
      <c r="P108" s="94"/>
      <c r="Q108" s="94"/>
      <c r="R108" s="94"/>
      <c r="S108" s="94"/>
      <c r="T108" s="94"/>
      <c r="U108" s="85">
        <f>(Tabela1[[#This Row],[Informe o KM final do dia]]-Tabela1[[#This Row],[Informe o KM inicial do dia]])-Tabela1[[#This Row],[Caso tenha rodado particular alguma parte do trajeto, informe o total de KM a ser deduzido.]]</f>
        <v>9</v>
      </c>
      <c r="V108" s="55">
        <f>IF(Tabela1[[#This Row],[Informe a data]]&lt;DATE(2026,3,16), Tabela1[[#This Row],[KM Rodado]]*1.1, Tabela1[[#This Row],[KM Rodado]]*1.23)</f>
        <v>9.9</v>
      </c>
      <c r="W108" s="86">
        <f>IFERROR(SUBSTITUTE(Tabela1[[#This Row],[Pedágio]],".",",",1)*1,0)</f>
        <v>0</v>
      </c>
      <c r="X108" s="86">
        <f>IFERROR(SUBSTITUTE(Tabela1[[#This Row],[Estacionamento]],".",",",1)*1,0)</f>
        <v>0</v>
      </c>
      <c r="Y108" s="86">
        <f>IFERROR(SUBSTITUTE(Tabela1[[#This Row],[Despesas Diversas 
(Jantar em viagem, Impressões, Etc)]],".",",",1)*1,0)</f>
        <v>0</v>
      </c>
      <c r="Z108" s="86">
        <f>IFERROR(SUBSTITUTE(Tabela1[[#This Row],[Hospedagem]],".",",",1)*1,0)</f>
        <v>0</v>
      </c>
      <c r="AA108" s="56" t="str">
        <f>IF(DAY(Tabela1[[#This Row],[Informe a data]])&lt;=15,"1ª Quinzena","2ª Quinzena")</f>
        <v>2ª Quinzena</v>
      </c>
      <c r="AB108" s="56" t="str">
        <f>UPPER(TEXT(Tabela1[[#This Row],[Informe a data]],"mmmm"))</f>
        <v>FEVEREIRO</v>
      </c>
      <c r="AC108" s="87" t="e">
        <f ca="1">_xlfn.CONCAT(Tabela1[[#This Row],[Selecione o Usuário]]," - ",TEXT(Tabela1[[#This Row],[Informe a data]],"dd-mm-aa"))</f>
        <v>#NAME?</v>
      </c>
    </row>
    <row r="109" spans="1:29">
      <c r="A109" s="49">
        <v>46072.724826388891</v>
      </c>
      <c r="B109" s="50" t="s">
        <v>176</v>
      </c>
      <c r="C109" s="50" t="s">
        <v>136</v>
      </c>
      <c r="D109" s="50" t="s">
        <v>177</v>
      </c>
      <c r="E109" s="51">
        <v>46071</v>
      </c>
      <c r="F109" s="52">
        <v>169407</v>
      </c>
      <c r="G109" s="58" t="s">
        <v>548</v>
      </c>
      <c r="H109" s="52">
        <v>169567</v>
      </c>
      <c r="I109" s="58" t="s">
        <v>549</v>
      </c>
      <c r="J109" s="50" t="s">
        <v>550</v>
      </c>
      <c r="K109" s="53"/>
      <c r="L109" s="50" t="s">
        <v>60</v>
      </c>
      <c r="M109" s="53"/>
      <c r="N109" s="53"/>
      <c r="O109" s="53"/>
      <c r="P109" s="53"/>
      <c r="Q109" s="53"/>
      <c r="R109" s="53"/>
      <c r="S109" s="53"/>
      <c r="T109" s="53"/>
      <c r="U109" s="85">
        <f>(Tabela1[[#This Row],[Informe o KM final do dia]]-Tabela1[[#This Row],[Informe o KM inicial do dia]])-Tabela1[[#This Row],[Caso tenha rodado particular alguma parte do trajeto, informe o total de KM a ser deduzido.]]</f>
        <v>160</v>
      </c>
      <c r="V109" s="55">
        <f>IF(Tabela1[[#This Row],[Informe a data]]&lt;DATE(2026,3,16), Tabela1[[#This Row],[KM Rodado]]*1.1, Tabela1[[#This Row],[KM Rodado]]*1.23)</f>
        <v>176</v>
      </c>
      <c r="W109" s="86">
        <f>IFERROR(SUBSTITUTE(Tabela1[[#This Row],[Pedágio]],".",",",1)*1,0)</f>
        <v>0</v>
      </c>
      <c r="X109" s="86">
        <f>IFERROR(SUBSTITUTE(Tabela1[[#This Row],[Estacionamento]],".",",",1)*1,0)</f>
        <v>0</v>
      </c>
      <c r="Y109" s="86">
        <f>IFERROR(SUBSTITUTE(Tabela1[[#This Row],[Despesas Diversas 
(Jantar em viagem, Impressões, Etc)]],".",",",1)*1,0)</f>
        <v>0</v>
      </c>
      <c r="Z109" s="86">
        <f>IFERROR(SUBSTITUTE(Tabela1[[#This Row],[Hospedagem]],".",",",1)*1,0)</f>
        <v>0</v>
      </c>
      <c r="AA109" s="56" t="str">
        <f>IF(DAY(Tabela1[[#This Row],[Informe a data]])&lt;=15,"1ª Quinzena","2ª Quinzena")</f>
        <v>2ª Quinzena</v>
      </c>
      <c r="AB109" s="56" t="str">
        <f>UPPER(TEXT(Tabela1[[#This Row],[Informe a data]],"mmmm"))</f>
        <v>FEVEREIRO</v>
      </c>
      <c r="AC109" s="87" t="e">
        <f ca="1">_xlfn.CONCAT(Tabela1[[#This Row],[Selecione o Usuário]]," - ",TEXT(Tabela1[[#This Row],[Informe a data]],"dd-mm-aa"))</f>
        <v>#NAME?</v>
      </c>
    </row>
    <row r="110" spans="1:29">
      <c r="A110" s="49">
        <v>46073.898969907408</v>
      </c>
      <c r="B110" s="50" t="s">
        <v>555</v>
      </c>
      <c r="C110" s="50" t="s">
        <v>141</v>
      </c>
      <c r="D110" s="50" t="s">
        <v>169</v>
      </c>
      <c r="E110" s="51">
        <v>46071</v>
      </c>
      <c r="F110" s="52">
        <v>174463</v>
      </c>
      <c r="G110" s="58" t="s">
        <v>556</v>
      </c>
      <c r="H110" s="52">
        <v>174563</v>
      </c>
      <c r="I110" s="58" t="s">
        <v>557</v>
      </c>
      <c r="J110" s="50" t="s">
        <v>558</v>
      </c>
      <c r="K110" s="53"/>
      <c r="L110" s="50" t="s">
        <v>60</v>
      </c>
      <c r="M110" s="53"/>
      <c r="N110" s="53"/>
      <c r="O110" s="53"/>
      <c r="P110" s="53"/>
      <c r="Q110" s="53"/>
      <c r="R110" s="53"/>
      <c r="S110" s="53"/>
      <c r="T110" s="53"/>
      <c r="U110" s="85">
        <f>(Tabela1[[#This Row],[Informe o KM final do dia]]-Tabela1[[#This Row],[Informe o KM inicial do dia]])-Tabela1[[#This Row],[Caso tenha rodado particular alguma parte do trajeto, informe o total de KM a ser deduzido.]]</f>
        <v>100</v>
      </c>
      <c r="V110" s="55">
        <f>IF(Tabela1[[#This Row],[Informe a data]]&lt;DATE(2026,3,16), Tabela1[[#This Row],[KM Rodado]]*1.1, Tabela1[[#This Row],[KM Rodado]]*1.23)</f>
        <v>110.00000000000001</v>
      </c>
      <c r="W110" s="86">
        <f>IFERROR(SUBSTITUTE(Tabela1[[#This Row],[Pedágio]],".",",",1)*1,0)</f>
        <v>0</v>
      </c>
      <c r="X110" s="86">
        <f>IFERROR(SUBSTITUTE(Tabela1[[#This Row],[Estacionamento]],".",",",1)*1,0)</f>
        <v>0</v>
      </c>
      <c r="Y110" s="86">
        <f>IFERROR(SUBSTITUTE(Tabela1[[#This Row],[Despesas Diversas 
(Jantar em viagem, Impressões, Etc)]],".",",",1)*1,0)</f>
        <v>0</v>
      </c>
      <c r="Z110" s="86">
        <f>IFERROR(SUBSTITUTE(Tabela1[[#This Row],[Hospedagem]],".",",",1)*1,0)</f>
        <v>0</v>
      </c>
      <c r="AA110" s="56" t="str">
        <f>IF(DAY(Tabela1[[#This Row],[Informe a data]])&lt;=15,"1ª Quinzena","2ª Quinzena")</f>
        <v>2ª Quinzena</v>
      </c>
      <c r="AB110" s="56" t="str">
        <f>UPPER(TEXT(Tabela1[[#This Row],[Informe a data]],"mmmm"))</f>
        <v>FEVEREIRO</v>
      </c>
      <c r="AC110" s="87" t="e">
        <f ca="1">_xlfn.CONCAT(Tabela1[[#This Row],[Selecione o Usuário]]," - ",TEXT(Tabela1[[#This Row],[Informe a data]],"dd-mm-aa"))</f>
        <v>#NAME?</v>
      </c>
    </row>
    <row r="111" spans="1:29">
      <c r="A111" s="89">
        <v>46072.806122685186</v>
      </c>
      <c r="B111" s="90" t="s">
        <v>131</v>
      </c>
      <c r="C111" s="90" t="s">
        <v>132</v>
      </c>
      <c r="D111" s="90" t="s">
        <v>133</v>
      </c>
      <c r="E111" s="91">
        <v>46072</v>
      </c>
      <c r="F111" s="92">
        <v>188220</v>
      </c>
      <c r="G111" s="93" t="s">
        <v>565</v>
      </c>
      <c r="H111" s="92">
        <v>188265</v>
      </c>
      <c r="I111" s="93" t="s">
        <v>566</v>
      </c>
      <c r="J111" s="90" t="s">
        <v>567</v>
      </c>
      <c r="K111" s="94"/>
      <c r="L111" s="90" t="s">
        <v>60</v>
      </c>
      <c r="M111" s="94"/>
      <c r="N111" s="94"/>
      <c r="O111" s="94"/>
      <c r="P111" s="94"/>
      <c r="Q111" s="94"/>
      <c r="R111" s="94"/>
      <c r="S111" s="94"/>
      <c r="T111" s="94"/>
      <c r="U111" s="85">
        <f>(Tabela1[[#This Row],[Informe o KM final do dia]]-Tabela1[[#This Row],[Informe o KM inicial do dia]])-Tabela1[[#This Row],[Caso tenha rodado particular alguma parte do trajeto, informe o total de KM a ser deduzido.]]</f>
        <v>45</v>
      </c>
      <c r="V111" s="55">
        <f>IF(Tabela1[[#This Row],[Informe a data]]&lt;DATE(2026,3,16), Tabela1[[#This Row],[KM Rodado]]*1.1, Tabela1[[#This Row],[KM Rodado]]*1.23)</f>
        <v>49.500000000000007</v>
      </c>
      <c r="W111" s="86">
        <f>IFERROR(SUBSTITUTE(Tabela1[[#This Row],[Pedágio]],".",",",1)*1,0)</f>
        <v>0</v>
      </c>
      <c r="X111" s="86">
        <f>IFERROR(SUBSTITUTE(Tabela1[[#This Row],[Estacionamento]],".",",",1)*1,0)</f>
        <v>0</v>
      </c>
      <c r="Y111" s="86">
        <f>IFERROR(SUBSTITUTE(Tabela1[[#This Row],[Despesas Diversas 
(Jantar em viagem, Impressões, Etc)]],".",",",1)*1,0)</f>
        <v>0</v>
      </c>
      <c r="Z111" s="86">
        <f>IFERROR(SUBSTITUTE(Tabela1[[#This Row],[Hospedagem]],".",",",1)*1,0)</f>
        <v>0</v>
      </c>
      <c r="AA111" s="56" t="str">
        <f>IF(DAY(Tabela1[[#This Row],[Informe a data]])&lt;=15,"1ª Quinzena","2ª Quinzena")</f>
        <v>2ª Quinzena</v>
      </c>
      <c r="AB111" s="56" t="str">
        <f>UPPER(TEXT(Tabela1[[#This Row],[Informe a data]],"mmmm"))</f>
        <v>FEVEREIRO</v>
      </c>
      <c r="AC111" s="87" t="e">
        <f ca="1">_xlfn.CONCAT(Tabela1[[#This Row],[Selecione o Usuário]]," - ",TEXT(Tabela1[[#This Row],[Informe a data]],"dd-mm-aa"))</f>
        <v>#NAME?</v>
      </c>
    </row>
    <row r="112" spans="1:29">
      <c r="A112" s="49">
        <v>46073.677997685183</v>
      </c>
      <c r="B112" s="50" t="s">
        <v>504</v>
      </c>
      <c r="C112" s="50" t="s">
        <v>505</v>
      </c>
      <c r="D112" s="50" t="s">
        <v>551</v>
      </c>
      <c r="E112" s="51">
        <v>46072</v>
      </c>
      <c r="F112" s="52">
        <v>100356</v>
      </c>
      <c r="G112" s="58" t="s">
        <v>568</v>
      </c>
      <c r="H112" s="52">
        <v>100397</v>
      </c>
      <c r="I112" s="58" t="s">
        <v>569</v>
      </c>
      <c r="J112" s="50" t="s">
        <v>570</v>
      </c>
      <c r="K112" s="53"/>
      <c r="L112" s="50" t="s">
        <v>60</v>
      </c>
      <c r="M112" s="53"/>
      <c r="N112" s="53"/>
      <c r="O112" s="53"/>
      <c r="P112" s="53"/>
      <c r="Q112" s="53"/>
      <c r="R112" s="53"/>
      <c r="S112" s="53"/>
      <c r="T112" s="53"/>
      <c r="U112" s="85">
        <f>(Tabela1[[#This Row],[Informe o KM final do dia]]-Tabela1[[#This Row],[Informe o KM inicial do dia]])-Tabela1[[#This Row],[Caso tenha rodado particular alguma parte do trajeto, informe o total de KM a ser deduzido.]]</f>
        <v>41</v>
      </c>
      <c r="V112" s="55">
        <f>IF(Tabela1[[#This Row],[Informe a data]]&lt;DATE(2026,3,16), Tabela1[[#This Row],[KM Rodado]]*1.1, Tabela1[[#This Row],[KM Rodado]]*1.23)</f>
        <v>45.1</v>
      </c>
      <c r="W112" s="86">
        <f>IFERROR(SUBSTITUTE(Tabela1[[#This Row],[Pedágio]],".",",",1)*1,0)</f>
        <v>0</v>
      </c>
      <c r="X112" s="86">
        <f>IFERROR(SUBSTITUTE(Tabela1[[#This Row],[Estacionamento]],".",",",1)*1,0)</f>
        <v>0</v>
      </c>
      <c r="Y112" s="86">
        <f>IFERROR(SUBSTITUTE(Tabela1[[#This Row],[Despesas Diversas 
(Jantar em viagem, Impressões, Etc)]],".",",",1)*1,0)</f>
        <v>0</v>
      </c>
      <c r="Z112" s="86">
        <f>IFERROR(SUBSTITUTE(Tabela1[[#This Row],[Hospedagem]],".",",",1)*1,0)</f>
        <v>0</v>
      </c>
      <c r="AA112" s="56" t="str">
        <f>IF(DAY(Tabela1[[#This Row],[Informe a data]])&lt;=15,"1ª Quinzena","2ª Quinzena")</f>
        <v>2ª Quinzena</v>
      </c>
      <c r="AB112" s="56" t="str">
        <f>UPPER(TEXT(Tabela1[[#This Row],[Informe a data]],"mmmm"))</f>
        <v>FEVEREIRO</v>
      </c>
      <c r="AC112" s="87" t="e">
        <f ca="1">_xlfn.CONCAT(Tabela1[[#This Row],[Selecione o Usuário]]," - ",TEXT(Tabela1[[#This Row],[Informe a data]],"dd-mm-aa"))</f>
        <v>#NAME?</v>
      </c>
    </row>
    <row r="113" spans="1:29">
      <c r="A113" s="89">
        <v>46074.398425925923</v>
      </c>
      <c r="B113" s="90" t="s">
        <v>300</v>
      </c>
      <c r="C113" s="90" t="s">
        <v>250</v>
      </c>
      <c r="D113" s="90" t="s">
        <v>228</v>
      </c>
      <c r="E113" s="91">
        <v>46072</v>
      </c>
      <c r="F113" s="92">
        <v>121553</v>
      </c>
      <c r="G113" s="93" t="s">
        <v>571</v>
      </c>
      <c r="H113" s="92">
        <v>121683</v>
      </c>
      <c r="I113" s="93" t="s">
        <v>572</v>
      </c>
      <c r="J113" s="90" t="s">
        <v>573</v>
      </c>
      <c r="K113" s="94"/>
      <c r="L113" s="90" t="s">
        <v>60</v>
      </c>
      <c r="M113" s="94"/>
      <c r="N113" s="94"/>
      <c r="O113" s="94"/>
      <c r="P113" s="94"/>
      <c r="Q113" s="94"/>
      <c r="R113" s="94"/>
      <c r="S113" s="94"/>
      <c r="T113" s="94"/>
      <c r="U113" s="85">
        <f>(Tabela1[[#This Row],[Informe o KM final do dia]]-Tabela1[[#This Row],[Informe o KM inicial do dia]])-Tabela1[[#This Row],[Caso tenha rodado particular alguma parte do trajeto, informe o total de KM a ser deduzido.]]</f>
        <v>130</v>
      </c>
      <c r="V113" s="55">
        <f>IF(Tabela1[[#This Row],[Informe a data]]&lt;DATE(2026,3,16), Tabela1[[#This Row],[KM Rodado]]*1.1, Tabela1[[#This Row],[KM Rodado]]*1.23)</f>
        <v>143</v>
      </c>
      <c r="W113" s="86">
        <f>IFERROR(SUBSTITUTE(Tabela1[[#This Row],[Pedágio]],".",",",1)*1,0)</f>
        <v>0</v>
      </c>
      <c r="X113" s="86">
        <f>IFERROR(SUBSTITUTE(Tabela1[[#This Row],[Estacionamento]],".",",",1)*1,0)</f>
        <v>0</v>
      </c>
      <c r="Y113" s="86">
        <f>IFERROR(SUBSTITUTE(Tabela1[[#This Row],[Despesas Diversas 
(Jantar em viagem, Impressões, Etc)]],".",",",1)*1,0)</f>
        <v>0</v>
      </c>
      <c r="Z113" s="86">
        <f>IFERROR(SUBSTITUTE(Tabela1[[#This Row],[Hospedagem]],".",",",1)*1,0)</f>
        <v>0</v>
      </c>
      <c r="AA113" s="56" t="str">
        <f>IF(DAY(Tabela1[[#This Row],[Informe a data]])&lt;=15,"1ª Quinzena","2ª Quinzena")</f>
        <v>2ª Quinzena</v>
      </c>
      <c r="AB113" s="56" t="str">
        <f>UPPER(TEXT(Tabela1[[#This Row],[Informe a data]],"mmmm"))</f>
        <v>FEVEREIRO</v>
      </c>
      <c r="AC113" s="87" t="e">
        <f ca="1">_xlfn.CONCAT(Tabela1[[#This Row],[Selecione o Usuário]]," - ",TEXT(Tabela1[[#This Row],[Informe a data]],"dd-mm-aa"))</f>
        <v>#NAME?</v>
      </c>
    </row>
    <row r="114" spans="1:29">
      <c r="A114" s="49">
        <v>46072.727187500001</v>
      </c>
      <c r="B114" s="50" t="s">
        <v>176</v>
      </c>
      <c r="C114" s="50" t="s">
        <v>136</v>
      </c>
      <c r="D114" s="50" t="s">
        <v>177</v>
      </c>
      <c r="E114" s="51">
        <v>46072</v>
      </c>
      <c r="F114" s="52">
        <v>169567</v>
      </c>
      <c r="G114" s="58" t="s">
        <v>562</v>
      </c>
      <c r="H114" s="52">
        <v>169717</v>
      </c>
      <c r="I114" s="58" t="s">
        <v>563</v>
      </c>
      <c r="J114" s="50" t="s">
        <v>564</v>
      </c>
      <c r="K114" s="53"/>
      <c r="L114" s="50" t="s">
        <v>60</v>
      </c>
      <c r="M114" s="53"/>
      <c r="N114" s="53"/>
      <c r="O114" s="53"/>
      <c r="P114" s="53"/>
      <c r="Q114" s="53"/>
      <c r="R114" s="53"/>
      <c r="S114" s="53"/>
      <c r="T114" s="53"/>
      <c r="U114" s="85">
        <f>(Tabela1[[#This Row],[Informe o KM final do dia]]-Tabela1[[#This Row],[Informe o KM inicial do dia]])-Tabela1[[#This Row],[Caso tenha rodado particular alguma parte do trajeto, informe o total de KM a ser deduzido.]]</f>
        <v>150</v>
      </c>
      <c r="V114" s="55">
        <f>IF(Tabela1[[#This Row],[Informe a data]]&lt;DATE(2026,3,16), Tabela1[[#This Row],[KM Rodado]]*1.1, Tabela1[[#This Row],[KM Rodado]]*1.23)</f>
        <v>165</v>
      </c>
      <c r="W114" s="86">
        <f>IFERROR(SUBSTITUTE(Tabela1[[#This Row],[Pedágio]],".",",",1)*1,0)</f>
        <v>0</v>
      </c>
      <c r="X114" s="86">
        <f>IFERROR(SUBSTITUTE(Tabela1[[#This Row],[Estacionamento]],".",",",1)*1,0)</f>
        <v>0</v>
      </c>
      <c r="Y114" s="86">
        <f>IFERROR(SUBSTITUTE(Tabela1[[#This Row],[Despesas Diversas 
(Jantar em viagem, Impressões, Etc)]],".",",",1)*1,0)</f>
        <v>0</v>
      </c>
      <c r="Z114" s="86">
        <f>IFERROR(SUBSTITUTE(Tabela1[[#This Row],[Hospedagem]],".",",",1)*1,0)</f>
        <v>0</v>
      </c>
      <c r="AA114" s="56" t="str">
        <f>IF(DAY(Tabela1[[#This Row],[Informe a data]])&lt;=15,"1ª Quinzena","2ª Quinzena")</f>
        <v>2ª Quinzena</v>
      </c>
      <c r="AB114" s="56" t="str">
        <f>UPPER(TEXT(Tabela1[[#This Row],[Informe a data]],"mmmm"))</f>
        <v>FEVEREIRO</v>
      </c>
      <c r="AC114" s="87" t="e">
        <f ca="1">_xlfn.CONCAT(Tabela1[[#This Row],[Selecione o Usuário]]," - ",TEXT(Tabela1[[#This Row],[Informe a data]],"dd-mm-aa"))</f>
        <v>#NAME?</v>
      </c>
    </row>
    <row r="115" spans="1:29">
      <c r="A115" s="89">
        <v>46082.471331018518</v>
      </c>
      <c r="B115" s="90" t="s">
        <v>469</v>
      </c>
      <c r="C115" s="90" t="s">
        <v>559</v>
      </c>
      <c r="D115" s="90" t="s">
        <v>560</v>
      </c>
      <c r="E115" s="91">
        <v>46073</v>
      </c>
      <c r="F115" s="92">
        <v>75328</v>
      </c>
      <c r="G115" s="94"/>
      <c r="H115" s="92">
        <v>75471</v>
      </c>
      <c r="I115" s="94"/>
      <c r="J115" s="90" t="s">
        <v>596</v>
      </c>
      <c r="K115" s="94"/>
      <c r="L115" s="90" t="s">
        <v>60</v>
      </c>
      <c r="M115" s="94"/>
      <c r="N115" s="94"/>
      <c r="O115" s="94"/>
      <c r="P115" s="94"/>
      <c r="Q115" s="94"/>
      <c r="R115" s="94"/>
      <c r="S115" s="94"/>
      <c r="T115" s="94"/>
      <c r="U115" s="85">
        <f>(Tabela1[[#This Row],[Informe o KM final do dia]]-Tabela1[[#This Row],[Informe o KM inicial do dia]])-Tabela1[[#This Row],[Caso tenha rodado particular alguma parte do trajeto, informe o total de KM a ser deduzido.]]</f>
        <v>143</v>
      </c>
      <c r="V115" s="55">
        <f>IF(Tabela1[[#This Row],[Informe a data]]&lt;DATE(2026,3,16), Tabela1[[#This Row],[KM Rodado]]*1.1, Tabela1[[#This Row],[KM Rodado]]*1.23)</f>
        <v>157.30000000000001</v>
      </c>
      <c r="W115" s="86">
        <f>IFERROR(SUBSTITUTE(Tabela1[[#This Row],[Pedágio]],".",",",1)*1,0)</f>
        <v>0</v>
      </c>
      <c r="X115" s="86">
        <f>IFERROR(SUBSTITUTE(Tabela1[[#This Row],[Estacionamento]],".",",",1)*1,0)</f>
        <v>0</v>
      </c>
      <c r="Y115" s="86">
        <f>IFERROR(SUBSTITUTE(Tabela1[[#This Row],[Despesas Diversas 
(Jantar em viagem, Impressões, Etc)]],".",",",1)*1,0)</f>
        <v>0</v>
      </c>
      <c r="Z115" s="86">
        <f>IFERROR(SUBSTITUTE(Tabela1[[#This Row],[Hospedagem]],".",",",1)*1,0)</f>
        <v>0</v>
      </c>
      <c r="AA115" s="56" t="str">
        <f>IF(DAY(Tabela1[[#This Row],[Informe a data]])&lt;=15,"1ª Quinzena","2ª Quinzena")</f>
        <v>2ª Quinzena</v>
      </c>
      <c r="AB115" s="56" t="str">
        <f>UPPER(TEXT(Tabela1[[#This Row],[Informe a data]],"mmmm"))</f>
        <v>FEVEREIRO</v>
      </c>
      <c r="AC115" s="87" t="e">
        <f ca="1">_xlfn.CONCAT(Tabela1[[#This Row],[Selecione o Usuário]]," - ",TEXT(Tabela1[[#This Row],[Informe a data]],"dd-mm-aa"))</f>
        <v>#NAME?</v>
      </c>
    </row>
    <row r="116" spans="1:29">
      <c r="A116" s="49">
        <v>46082.471331018518</v>
      </c>
      <c r="B116" s="50" t="s">
        <v>469</v>
      </c>
      <c r="C116" s="50" t="s">
        <v>559</v>
      </c>
      <c r="D116" s="50" t="s">
        <v>560</v>
      </c>
      <c r="E116" s="51">
        <v>46073</v>
      </c>
      <c r="F116" s="52">
        <v>75328</v>
      </c>
      <c r="G116" s="53"/>
      <c r="H116" s="52">
        <v>75471</v>
      </c>
      <c r="I116" s="53"/>
      <c r="J116" s="50" t="s">
        <v>596</v>
      </c>
      <c r="K116" s="53"/>
      <c r="L116" s="50" t="s">
        <v>60</v>
      </c>
      <c r="M116" s="53"/>
      <c r="N116" s="53"/>
      <c r="O116" s="53"/>
      <c r="P116" s="53"/>
      <c r="Q116" s="53"/>
      <c r="R116" s="53"/>
      <c r="S116" s="53"/>
      <c r="T116" s="53"/>
      <c r="U116" s="85">
        <f>(Tabela1[[#This Row],[Informe o KM final do dia]]-Tabela1[[#This Row],[Informe o KM inicial do dia]])-Tabela1[[#This Row],[Caso tenha rodado particular alguma parte do trajeto, informe o total de KM a ser deduzido.]]</f>
        <v>143</v>
      </c>
      <c r="V116" s="55">
        <f>IF(Tabela1[[#This Row],[Informe a data]]&lt;DATE(2026,3,16), Tabela1[[#This Row],[KM Rodado]]*1.1, Tabela1[[#This Row],[KM Rodado]]*1.23)</f>
        <v>157.30000000000001</v>
      </c>
      <c r="W116" s="86">
        <f>IFERROR(SUBSTITUTE(Tabela1[[#This Row],[Pedágio]],".",",",1)*1,0)</f>
        <v>0</v>
      </c>
      <c r="X116" s="86">
        <f>IFERROR(SUBSTITUTE(Tabela1[[#This Row],[Estacionamento]],".",",",1)*1,0)</f>
        <v>0</v>
      </c>
      <c r="Y116" s="86">
        <f>IFERROR(SUBSTITUTE(Tabela1[[#This Row],[Despesas Diversas 
(Jantar em viagem, Impressões, Etc)]],".",",",1)*1,0)</f>
        <v>0</v>
      </c>
      <c r="Z116" s="86">
        <f>IFERROR(SUBSTITUTE(Tabela1[[#This Row],[Hospedagem]],".",",",1)*1,0)</f>
        <v>0</v>
      </c>
      <c r="AA116" s="56" t="str">
        <f>IF(DAY(Tabela1[[#This Row],[Informe a data]])&lt;=15,"1ª Quinzena","2ª Quinzena")</f>
        <v>2ª Quinzena</v>
      </c>
      <c r="AB116" s="56" t="str">
        <f>UPPER(TEXT(Tabela1[[#This Row],[Informe a data]],"mmmm"))</f>
        <v>FEVEREIRO</v>
      </c>
      <c r="AC116" s="87" t="e">
        <f ca="1">_xlfn.CONCAT(Tabela1[[#This Row],[Selecione o Usuário]]," - ",TEXT(Tabela1[[#This Row],[Informe a data]],"dd-mm-aa"))</f>
        <v>#NAME?</v>
      </c>
    </row>
    <row r="117" spans="1:29">
      <c r="A117" s="49">
        <v>46076.581736111111</v>
      </c>
      <c r="B117" s="50" t="s">
        <v>131</v>
      </c>
      <c r="C117" s="50" t="s">
        <v>132</v>
      </c>
      <c r="D117" s="50" t="s">
        <v>133</v>
      </c>
      <c r="E117" s="51">
        <v>46073</v>
      </c>
      <c r="F117" s="52">
        <v>188266</v>
      </c>
      <c r="G117" s="58" t="s">
        <v>584</v>
      </c>
      <c r="H117" s="52">
        <v>188680</v>
      </c>
      <c r="I117" s="58" t="s">
        <v>585</v>
      </c>
      <c r="J117" s="50" t="s">
        <v>586</v>
      </c>
      <c r="K117" s="53"/>
      <c r="L117" s="50" t="s">
        <v>61</v>
      </c>
      <c r="M117" s="50" t="s">
        <v>587</v>
      </c>
      <c r="N117" s="58" t="s">
        <v>588</v>
      </c>
      <c r="O117" s="53"/>
      <c r="P117" s="53"/>
      <c r="Q117" s="53"/>
      <c r="R117" s="53"/>
      <c r="S117" s="53"/>
      <c r="T117" s="53"/>
      <c r="U117" s="85">
        <f>(Tabela1[[#This Row],[Informe o KM final do dia]]-Tabela1[[#This Row],[Informe o KM inicial do dia]])-Tabela1[[#This Row],[Caso tenha rodado particular alguma parte do trajeto, informe o total de KM a ser deduzido.]]</f>
        <v>414</v>
      </c>
      <c r="V117" s="55">
        <f>IF(Tabela1[[#This Row],[Informe a data]]&lt;DATE(2026,3,16), Tabela1[[#This Row],[KM Rodado]]*1.1, Tabela1[[#This Row],[KM Rodado]]*1.23)</f>
        <v>455.40000000000003</v>
      </c>
      <c r="W117" s="86">
        <f>IFERROR(SUBSTITUTE(Tabela1[[#This Row],[Pedágio]],".",",",1)*1,0)</f>
        <v>21</v>
      </c>
      <c r="X117" s="86">
        <f>IFERROR(SUBSTITUTE(Tabela1[[#This Row],[Estacionamento]],".",",",1)*1,0)</f>
        <v>0</v>
      </c>
      <c r="Y117" s="86">
        <f>IFERROR(SUBSTITUTE(Tabela1[[#This Row],[Despesas Diversas 
(Jantar em viagem, Impressões, Etc)]],".",",",1)*1,0)</f>
        <v>0</v>
      </c>
      <c r="Z117" s="86">
        <f>IFERROR(SUBSTITUTE(Tabela1[[#This Row],[Hospedagem]],".",",",1)*1,0)</f>
        <v>0</v>
      </c>
      <c r="AA117" s="56" t="str">
        <f>IF(DAY(Tabela1[[#This Row],[Informe a data]])&lt;=15,"1ª Quinzena","2ª Quinzena")</f>
        <v>2ª Quinzena</v>
      </c>
      <c r="AB117" s="56" t="str">
        <f>UPPER(TEXT(Tabela1[[#This Row],[Informe a data]],"mmmm"))</f>
        <v>FEVEREIRO</v>
      </c>
      <c r="AC117" s="87" t="e">
        <f ca="1">_xlfn.CONCAT(Tabela1[[#This Row],[Selecione o Usuário]]," - ",TEXT(Tabela1[[#This Row],[Informe a data]],"dd-mm-aa"))</f>
        <v>#NAME?</v>
      </c>
    </row>
    <row r="118" spans="1:29">
      <c r="A118" s="49">
        <v>46073.806504629632</v>
      </c>
      <c r="B118" s="50" t="s">
        <v>208</v>
      </c>
      <c r="C118" s="50" t="s">
        <v>134</v>
      </c>
      <c r="D118" s="50" t="s">
        <v>209</v>
      </c>
      <c r="E118" s="51">
        <v>46073</v>
      </c>
      <c r="F118" s="52">
        <v>163254</v>
      </c>
      <c r="G118" s="53"/>
      <c r="H118" s="52">
        <v>163461</v>
      </c>
      <c r="I118" s="53"/>
      <c r="J118" s="50" t="s">
        <v>580</v>
      </c>
      <c r="K118" s="53"/>
      <c r="L118" s="50" t="s">
        <v>60</v>
      </c>
      <c r="M118" s="53"/>
      <c r="N118" s="53"/>
      <c r="O118" s="53"/>
      <c r="P118" s="53"/>
      <c r="Q118" s="53"/>
      <c r="R118" s="53"/>
      <c r="S118" s="53"/>
      <c r="T118" s="53"/>
      <c r="U118" s="85">
        <f>(Tabela1[[#This Row],[Informe o KM final do dia]]-Tabela1[[#This Row],[Informe o KM inicial do dia]])-Tabela1[[#This Row],[Caso tenha rodado particular alguma parte do trajeto, informe o total de KM a ser deduzido.]]</f>
        <v>207</v>
      </c>
      <c r="V118" s="55">
        <f>IF(Tabela1[[#This Row],[Informe a data]]&lt;DATE(2026,3,16), Tabela1[[#This Row],[KM Rodado]]*1.1, Tabela1[[#This Row],[KM Rodado]]*1.23)</f>
        <v>227.70000000000002</v>
      </c>
      <c r="W118" s="86">
        <f>IFERROR(SUBSTITUTE(Tabela1[[#This Row],[Pedágio]],".",",",1)*1,0)</f>
        <v>0</v>
      </c>
      <c r="X118" s="86">
        <f>IFERROR(SUBSTITUTE(Tabela1[[#This Row],[Estacionamento]],".",",",1)*1,0)</f>
        <v>0</v>
      </c>
      <c r="Y118" s="86">
        <f>IFERROR(SUBSTITUTE(Tabela1[[#This Row],[Despesas Diversas 
(Jantar em viagem, Impressões, Etc)]],".",",",1)*1,0)</f>
        <v>0</v>
      </c>
      <c r="Z118" s="86">
        <f>IFERROR(SUBSTITUTE(Tabela1[[#This Row],[Hospedagem]],".",",",1)*1,0)</f>
        <v>0</v>
      </c>
      <c r="AA118" s="56" t="str">
        <f>IF(DAY(Tabela1[[#This Row],[Informe a data]])&lt;=15,"1ª Quinzena","2ª Quinzena")</f>
        <v>2ª Quinzena</v>
      </c>
      <c r="AB118" s="56" t="str">
        <f>UPPER(TEXT(Tabela1[[#This Row],[Informe a data]],"mmmm"))</f>
        <v>FEVEREIRO</v>
      </c>
      <c r="AC118" s="87" t="e">
        <f ca="1">_xlfn.CONCAT(Tabela1[[#This Row],[Selecione o Usuário]]," - ",TEXT(Tabela1[[#This Row],[Informe a data]],"dd-mm-aa"))</f>
        <v>#NAME?</v>
      </c>
    </row>
    <row r="119" spans="1:29">
      <c r="A119" s="89">
        <v>46073.679722222223</v>
      </c>
      <c r="B119" s="90" t="s">
        <v>504</v>
      </c>
      <c r="C119" s="90" t="s">
        <v>505</v>
      </c>
      <c r="D119" s="90" t="s">
        <v>551</v>
      </c>
      <c r="E119" s="91">
        <v>46073</v>
      </c>
      <c r="F119" s="92">
        <v>100404</v>
      </c>
      <c r="G119" s="93" t="s">
        <v>577</v>
      </c>
      <c r="H119" s="92">
        <v>100436</v>
      </c>
      <c r="I119" s="93" t="s">
        <v>578</v>
      </c>
      <c r="J119" s="90" t="s">
        <v>579</v>
      </c>
      <c r="K119" s="94"/>
      <c r="L119" s="90" t="s">
        <v>60</v>
      </c>
      <c r="M119" s="94"/>
      <c r="N119" s="94"/>
      <c r="O119" s="94"/>
      <c r="P119" s="94"/>
      <c r="Q119" s="94"/>
      <c r="R119" s="94"/>
      <c r="S119" s="94"/>
      <c r="T119" s="94"/>
      <c r="U119" s="85">
        <f>(Tabela1[[#This Row],[Informe o KM final do dia]]-Tabela1[[#This Row],[Informe o KM inicial do dia]])-Tabela1[[#This Row],[Caso tenha rodado particular alguma parte do trajeto, informe o total de KM a ser deduzido.]]</f>
        <v>32</v>
      </c>
      <c r="V119" s="55">
        <f>IF(Tabela1[[#This Row],[Informe a data]]&lt;DATE(2026,3,16), Tabela1[[#This Row],[KM Rodado]]*1.1, Tabela1[[#This Row],[KM Rodado]]*1.23)</f>
        <v>35.200000000000003</v>
      </c>
      <c r="W119" s="86">
        <f>IFERROR(SUBSTITUTE(Tabela1[[#This Row],[Pedágio]],".",",",1)*1,0)</f>
        <v>0</v>
      </c>
      <c r="X119" s="86">
        <f>IFERROR(SUBSTITUTE(Tabela1[[#This Row],[Estacionamento]],".",",",1)*1,0)</f>
        <v>0</v>
      </c>
      <c r="Y119" s="86">
        <f>IFERROR(SUBSTITUTE(Tabela1[[#This Row],[Despesas Diversas 
(Jantar em viagem, Impressões, Etc)]],".",",",1)*1,0)</f>
        <v>0</v>
      </c>
      <c r="Z119" s="86">
        <f>IFERROR(SUBSTITUTE(Tabela1[[#This Row],[Hospedagem]],".",",",1)*1,0)</f>
        <v>0</v>
      </c>
      <c r="AA119" s="56" t="str">
        <f>IF(DAY(Tabela1[[#This Row],[Informe a data]])&lt;=15,"1ª Quinzena","2ª Quinzena")</f>
        <v>2ª Quinzena</v>
      </c>
      <c r="AB119" s="56" t="str">
        <f>UPPER(TEXT(Tabela1[[#This Row],[Informe a data]],"mmmm"))</f>
        <v>FEVEREIRO</v>
      </c>
      <c r="AC119" s="87" t="e">
        <f ca="1">_xlfn.CONCAT(Tabela1[[#This Row],[Selecione o Usuário]]," - ",TEXT(Tabela1[[#This Row],[Informe a data]],"dd-mm-aa"))</f>
        <v>#NAME?</v>
      </c>
    </row>
    <row r="120" spans="1:29">
      <c r="A120" s="49">
        <v>46081.657870370371</v>
      </c>
      <c r="B120" s="50" t="s">
        <v>504</v>
      </c>
      <c r="C120" s="50" t="s">
        <v>505</v>
      </c>
      <c r="D120" s="50" t="s">
        <v>592</v>
      </c>
      <c r="E120" s="51">
        <v>46073</v>
      </c>
      <c r="F120" s="52">
        <v>100404</v>
      </c>
      <c r="G120" s="58" t="s">
        <v>593</v>
      </c>
      <c r="H120" s="52">
        <v>100436</v>
      </c>
      <c r="I120" s="58" t="s">
        <v>594</v>
      </c>
      <c r="J120" s="50" t="s">
        <v>595</v>
      </c>
      <c r="K120" s="53"/>
      <c r="L120" s="50" t="s">
        <v>60</v>
      </c>
      <c r="M120" s="53"/>
      <c r="N120" s="53"/>
      <c r="O120" s="53"/>
      <c r="P120" s="53"/>
      <c r="Q120" s="53"/>
      <c r="R120" s="53"/>
      <c r="S120" s="53"/>
      <c r="T120" s="53"/>
      <c r="U120" s="85">
        <f>(Tabela1[[#This Row],[Informe o KM final do dia]]-Tabela1[[#This Row],[Informe o KM inicial do dia]])-Tabela1[[#This Row],[Caso tenha rodado particular alguma parte do trajeto, informe o total de KM a ser deduzido.]]</f>
        <v>32</v>
      </c>
      <c r="V120" s="55">
        <f>IF(Tabela1[[#This Row],[Informe a data]]&lt;DATE(2026,3,16), Tabela1[[#This Row],[KM Rodado]]*1.1, Tabela1[[#This Row],[KM Rodado]]*1.23)</f>
        <v>35.200000000000003</v>
      </c>
      <c r="W120" s="86">
        <f>IFERROR(SUBSTITUTE(Tabela1[[#This Row],[Pedágio]],".",",",1)*1,0)</f>
        <v>0</v>
      </c>
      <c r="X120" s="86">
        <f>IFERROR(SUBSTITUTE(Tabela1[[#This Row],[Estacionamento]],".",",",1)*1,0)</f>
        <v>0</v>
      </c>
      <c r="Y120" s="86">
        <f>IFERROR(SUBSTITUTE(Tabela1[[#This Row],[Despesas Diversas 
(Jantar em viagem, Impressões, Etc)]],".",",",1)*1,0)</f>
        <v>0</v>
      </c>
      <c r="Z120" s="86">
        <f>IFERROR(SUBSTITUTE(Tabela1[[#This Row],[Hospedagem]],".",",",1)*1,0)</f>
        <v>0</v>
      </c>
      <c r="AA120" s="56" t="str">
        <f>IF(DAY(Tabela1[[#This Row],[Informe a data]])&lt;=15,"1ª Quinzena","2ª Quinzena")</f>
        <v>2ª Quinzena</v>
      </c>
      <c r="AB120" s="56" t="str">
        <f>UPPER(TEXT(Tabela1[[#This Row],[Informe a data]],"mmmm"))</f>
        <v>FEVEREIRO</v>
      </c>
      <c r="AC120" s="87" t="e">
        <f ca="1">_xlfn.CONCAT(Tabela1[[#This Row],[Selecione o Usuário]]," - ",TEXT(Tabela1[[#This Row],[Informe a data]],"dd-mm-aa"))</f>
        <v>#NAME?</v>
      </c>
    </row>
    <row r="121" spans="1:29">
      <c r="A121" s="89">
        <v>46074.401307870372</v>
      </c>
      <c r="B121" s="90" t="s">
        <v>300</v>
      </c>
      <c r="C121" s="90" t="s">
        <v>250</v>
      </c>
      <c r="D121" s="90" t="s">
        <v>228</v>
      </c>
      <c r="E121" s="91">
        <v>46073</v>
      </c>
      <c r="F121" s="92">
        <v>121727</v>
      </c>
      <c r="G121" s="93" t="s">
        <v>581</v>
      </c>
      <c r="H121" s="92">
        <v>121836</v>
      </c>
      <c r="I121" s="93" t="s">
        <v>582</v>
      </c>
      <c r="J121" s="90" t="s">
        <v>583</v>
      </c>
      <c r="K121" s="92">
        <v>49</v>
      </c>
      <c r="L121" s="90" t="s">
        <v>60</v>
      </c>
      <c r="M121" s="94"/>
      <c r="N121" s="94"/>
      <c r="O121" s="94"/>
      <c r="P121" s="94"/>
      <c r="Q121" s="94"/>
      <c r="R121" s="94"/>
      <c r="S121" s="94"/>
      <c r="T121" s="94"/>
      <c r="U121" s="85">
        <f>(Tabela1[[#This Row],[Informe o KM final do dia]]-Tabela1[[#This Row],[Informe o KM inicial do dia]])-Tabela1[[#This Row],[Caso tenha rodado particular alguma parte do trajeto, informe o total de KM a ser deduzido.]]</f>
        <v>60</v>
      </c>
      <c r="V121" s="55">
        <f>IF(Tabela1[[#This Row],[Informe a data]]&lt;DATE(2026,3,16), Tabela1[[#This Row],[KM Rodado]]*1.1, Tabela1[[#This Row],[KM Rodado]]*1.23)</f>
        <v>66</v>
      </c>
      <c r="W121" s="86">
        <f>IFERROR(SUBSTITUTE(Tabela1[[#This Row],[Pedágio]],".",",",1)*1,0)</f>
        <v>0</v>
      </c>
      <c r="X121" s="86">
        <f>IFERROR(SUBSTITUTE(Tabela1[[#This Row],[Estacionamento]],".",",",1)*1,0)</f>
        <v>0</v>
      </c>
      <c r="Y121" s="86">
        <f>IFERROR(SUBSTITUTE(Tabela1[[#This Row],[Despesas Diversas 
(Jantar em viagem, Impressões, Etc)]],".",",",1)*1,0)</f>
        <v>0</v>
      </c>
      <c r="Z121" s="86">
        <f>IFERROR(SUBSTITUTE(Tabela1[[#This Row],[Hospedagem]],".",",",1)*1,0)</f>
        <v>0</v>
      </c>
      <c r="AA121" s="56" t="str">
        <f>IF(DAY(Tabela1[[#This Row],[Informe a data]])&lt;=15,"1ª Quinzena","2ª Quinzena")</f>
        <v>2ª Quinzena</v>
      </c>
      <c r="AB121" s="56" t="str">
        <f>UPPER(TEXT(Tabela1[[#This Row],[Informe a data]],"mmmm"))</f>
        <v>FEVEREIRO</v>
      </c>
      <c r="AC121" s="87" t="e">
        <f ca="1">_xlfn.CONCAT(Tabela1[[#This Row],[Selecione o Usuário]]," - ",TEXT(Tabela1[[#This Row],[Informe a data]],"dd-mm-aa"))</f>
        <v>#NAME?</v>
      </c>
    </row>
    <row r="122" spans="1:29">
      <c r="A122" s="49">
        <v>46073.570868055554</v>
      </c>
      <c r="B122" s="50" t="s">
        <v>176</v>
      </c>
      <c r="C122" s="50" t="s">
        <v>136</v>
      </c>
      <c r="D122" s="50" t="s">
        <v>177</v>
      </c>
      <c r="E122" s="51">
        <v>46073</v>
      </c>
      <c r="F122" s="52">
        <v>169717</v>
      </c>
      <c r="G122" s="58" t="s">
        <v>574</v>
      </c>
      <c r="H122" s="52">
        <v>169818</v>
      </c>
      <c r="I122" s="58" t="s">
        <v>575</v>
      </c>
      <c r="J122" s="50" t="s">
        <v>576</v>
      </c>
      <c r="K122" s="53"/>
      <c r="L122" s="50" t="s">
        <v>60</v>
      </c>
      <c r="M122" s="53"/>
      <c r="N122" s="53"/>
      <c r="O122" s="53"/>
      <c r="P122" s="53"/>
      <c r="Q122" s="53"/>
      <c r="R122" s="53"/>
      <c r="S122" s="53"/>
      <c r="T122" s="53"/>
      <c r="U122" s="85">
        <f>(Tabela1[[#This Row],[Informe o KM final do dia]]-Tabela1[[#This Row],[Informe o KM inicial do dia]])-Tabela1[[#This Row],[Caso tenha rodado particular alguma parte do trajeto, informe o total de KM a ser deduzido.]]</f>
        <v>101</v>
      </c>
      <c r="V122" s="55">
        <f>IF(Tabela1[[#This Row],[Informe a data]]&lt;DATE(2026,3,16), Tabela1[[#This Row],[KM Rodado]]*1.1, Tabela1[[#This Row],[KM Rodado]]*1.23)</f>
        <v>111.10000000000001</v>
      </c>
      <c r="W122" s="86">
        <f>IFERROR(SUBSTITUTE(Tabela1[[#This Row],[Pedágio]],".",",",1)*1,0)</f>
        <v>0</v>
      </c>
      <c r="X122" s="86">
        <f>IFERROR(SUBSTITUTE(Tabela1[[#This Row],[Estacionamento]],".",",",1)*1,0)</f>
        <v>0</v>
      </c>
      <c r="Y122" s="86">
        <f>IFERROR(SUBSTITUTE(Tabela1[[#This Row],[Despesas Diversas 
(Jantar em viagem, Impressões, Etc)]],".",",",1)*1,0)</f>
        <v>0</v>
      </c>
      <c r="Z122" s="86">
        <f>IFERROR(SUBSTITUTE(Tabela1[[#This Row],[Hospedagem]],".",",",1)*1,0)</f>
        <v>0</v>
      </c>
      <c r="AA122" s="56" t="str">
        <f>IF(DAY(Tabela1[[#This Row],[Informe a data]])&lt;=15,"1ª Quinzena","2ª Quinzena")</f>
        <v>2ª Quinzena</v>
      </c>
      <c r="AB122" s="56" t="str">
        <f>UPPER(TEXT(Tabela1[[#This Row],[Informe a data]],"mmmm"))</f>
        <v>FEVEREIRO</v>
      </c>
      <c r="AC122" s="87" t="e">
        <f ca="1">_xlfn.CONCAT(Tabela1[[#This Row],[Selecione o Usuário]]," - ",TEXT(Tabela1[[#This Row],[Informe a data]],"dd-mm-aa"))</f>
        <v>#NAME?</v>
      </c>
    </row>
    <row r="123" spans="1:29">
      <c r="A123" s="89">
        <v>46076.607986111114</v>
      </c>
      <c r="B123" s="90" t="s">
        <v>140</v>
      </c>
      <c r="C123" s="90" t="s">
        <v>141</v>
      </c>
      <c r="D123" s="90" t="s">
        <v>169</v>
      </c>
      <c r="E123" s="91">
        <v>46073</v>
      </c>
      <c r="F123" s="92">
        <v>239660</v>
      </c>
      <c r="G123" s="93" t="s">
        <v>589</v>
      </c>
      <c r="H123" s="92">
        <v>239822</v>
      </c>
      <c r="I123" s="93" t="s">
        <v>590</v>
      </c>
      <c r="J123" s="90" t="s">
        <v>591</v>
      </c>
      <c r="K123" s="94"/>
      <c r="L123" s="90" t="s">
        <v>60</v>
      </c>
      <c r="M123" s="94"/>
      <c r="N123" s="94"/>
      <c r="O123" s="94"/>
      <c r="P123" s="94"/>
      <c r="Q123" s="94"/>
      <c r="R123" s="94"/>
      <c r="S123" s="94"/>
      <c r="T123" s="94"/>
      <c r="U123" s="85">
        <f>(Tabela1[[#This Row],[Informe o KM final do dia]]-Tabela1[[#This Row],[Informe o KM inicial do dia]])-Tabela1[[#This Row],[Caso tenha rodado particular alguma parte do trajeto, informe o total de KM a ser deduzido.]]</f>
        <v>162</v>
      </c>
      <c r="V123" s="55">
        <f>IF(Tabela1[[#This Row],[Informe a data]]&lt;DATE(2026,3,16), Tabela1[[#This Row],[KM Rodado]]*1.1, Tabela1[[#This Row],[KM Rodado]]*1.23)</f>
        <v>178.20000000000002</v>
      </c>
      <c r="W123" s="86">
        <f>IFERROR(SUBSTITUTE(Tabela1[[#This Row],[Pedágio]],".",",",1)*1,0)</f>
        <v>0</v>
      </c>
      <c r="X123" s="86">
        <f>IFERROR(SUBSTITUTE(Tabela1[[#This Row],[Estacionamento]],".",",",1)*1,0)</f>
        <v>0</v>
      </c>
      <c r="Y123" s="86">
        <f>IFERROR(SUBSTITUTE(Tabela1[[#This Row],[Despesas Diversas 
(Jantar em viagem, Impressões, Etc)]],".",",",1)*1,0)</f>
        <v>0</v>
      </c>
      <c r="Z123" s="86">
        <f>IFERROR(SUBSTITUTE(Tabela1[[#This Row],[Hospedagem]],".",",",1)*1,0)</f>
        <v>0</v>
      </c>
      <c r="AA123" s="56" t="str">
        <f>IF(DAY(Tabela1[[#This Row],[Informe a data]])&lt;=15,"1ª Quinzena","2ª Quinzena")</f>
        <v>2ª Quinzena</v>
      </c>
      <c r="AB123" s="56" t="str">
        <f>UPPER(TEXT(Tabela1[[#This Row],[Informe a data]],"mmmm"))</f>
        <v>FEVEREIRO</v>
      </c>
      <c r="AC123" s="87" t="e">
        <f ca="1">_xlfn.CONCAT(Tabela1[[#This Row],[Selecione o Usuário]]," - ",TEXT(Tabela1[[#This Row],[Informe a data]],"dd-mm-aa"))</f>
        <v>#NAME?</v>
      </c>
    </row>
    <row r="124" spans="1:29">
      <c r="A124" s="49">
        <v>46076.697777777779</v>
      </c>
      <c r="B124" s="50" t="s">
        <v>497</v>
      </c>
      <c r="C124" s="50" t="s">
        <v>498</v>
      </c>
      <c r="D124" s="50" t="s">
        <v>499</v>
      </c>
      <c r="E124" s="51">
        <v>46076</v>
      </c>
      <c r="F124" s="52">
        <v>303284</v>
      </c>
      <c r="G124" s="58" t="s">
        <v>597</v>
      </c>
      <c r="H124" s="52">
        <v>303321</v>
      </c>
      <c r="I124" s="58" t="s">
        <v>598</v>
      </c>
      <c r="J124" s="50" t="s">
        <v>599</v>
      </c>
      <c r="K124" s="53"/>
      <c r="L124" s="50" t="s">
        <v>60</v>
      </c>
      <c r="M124" s="53"/>
      <c r="N124" s="53"/>
      <c r="O124" s="53"/>
      <c r="P124" s="53"/>
      <c r="Q124" s="53"/>
      <c r="R124" s="53"/>
      <c r="S124" s="53"/>
      <c r="T124" s="53"/>
      <c r="U124" s="85">
        <f>(Tabela1[[#This Row],[Informe o KM final do dia]]-Tabela1[[#This Row],[Informe o KM inicial do dia]])-Tabela1[[#This Row],[Caso tenha rodado particular alguma parte do trajeto, informe o total de KM a ser deduzido.]]</f>
        <v>37</v>
      </c>
      <c r="V124" s="55">
        <f>IF(Tabela1[[#This Row],[Informe a data]]&lt;DATE(2026,3,16), Tabela1[[#This Row],[KM Rodado]]*1.1, Tabela1[[#This Row],[KM Rodado]]*1.23)</f>
        <v>40.700000000000003</v>
      </c>
      <c r="W124" s="86">
        <f>IFERROR(SUBSTITUTE(Tabela1[[#This Row],[Pedágio]],".",",",1)*1,0)</f>
        <v>0</v>
      </c>
      <c r="X124" s="86">
        <f>IFERROR(SUBSTITUTE(Tabela1[[#This Row],[Estacionamento]],".",",",1)*1,0)</f>
        <v>0</v>
      </c>
      <c r="Y124" s="86">
        <f>IFERROR(SUBSTITUTE(Tabela1[[#This Row],[Despesas Diversas 
(Jantar em viagem, Impressões, Etc)]],".",",",1)*1,0)</f>
        <v>0</v>
      </c>
      <c r="Z124" s="86">
        <f>IFERROR(SUBSTITUTE(Tabela1[[#This Row],[Hospedagem]],".",",",1)*1,0)</f>
        <v>0</v>
      </c>
      <c r="AA124" s="56" t="str">
        <f>IF(DAY(Tabela1[[#This Row],[Informe a data]])&lt;=15,"1ª Quinzena","2ª Quinzena")</f>
        <v>2ª Quinzena</v>
      </c>
      <c r="AB124" s="56" t="str">
        <f>UPPER(TEXT(Tabela1[[#This Row],[Informe a data]],"mmmm"))</f>
        <v>FEVEREIRO</v>
      </c>
      <c r="AC124" s="87" t="e">
        <f ca="1">_xlfn.CONCAT(Tabela1[[#This Row],[Selecione o Usuário]]," - ",TEXT(Tabela1[[#This Row],[Informe a data]],"dd-mm-aa"))</f>
        <v>#NAME?</v>
      </c>
    </row>
    <row r="125" spans="1:29">
      <c r="A125" s="49">
        <v>46077.982222222221</v>
      </c>
      <c r="B125" s="50" t="s">
        <v>131</v>
      </c>
      <c r="C125" s="50" t="s">
        <v>132</v>
      </c>
      <c r="D125" s="50" t="s">
        <v>133</v>
      </c>
      <c r="E125" s="51">
        <v>46077</v>
      </c>
      <c r="F125" s="52">
        <v>188695</v>
      </c>
      <c r="G125" s="58" t="s">
        <v>601</v>
      </c>
      <c r="H125" s="52">
        <v>188754</v>
      </c>
      <c r="I125" s="58" t="s">
        <v>602</v>
      </c>
      <c r="J125" s="50" t="s">
        <v>603</v>
      </c>
      <c r="K125" s="53"/>
      <c r="L125" s="50" t="s">
        <v>60</v>
      </c>
      <c r="M125" s="53"/>
      <c r="N125" s="53"/>
      <c r="O125" s="53"/>
      <c r="P125" s="53"/>
      <c r="Q125" s="53"/>
      <c r="R125" s="53"/>
      <c r="S125" s="53"/>
      <c r="T125" s="53"/>
      <c r="U125" s="85">
        <f>(Tabela1[[#This Row],[Informe o KM final do dia]]-Tabela1[[#This Row],[Informe o KM inicial do dia]])-Tabela1[[#This Row],[Caso tenha rodado particular alguma parte do trajeto, informe o total de KM a ser deduzido.]]</f>
        <v>59</v>
      </c>
      <c r="V125" s="55">
        <f>IF(Tabela1[[#This Row],[Informe a data]]&lt;DATE(2026,3,16), Tabela1[[#This Row],[KM Rodado]]*1.1, Tabela1[[#This Row],[KM Rodado]]*1.23)</f>
        <v>64.900000000000006</v>
      </c>
      <c r="W125" s="86">
        <f>IFERROR(SUBSTITUTE(Tabela1[[#This Row],[Pedágio]],".",",",1)*1,0)</f>
        <v>0</v>
      </c>
      <c r="X125" s="86">
        <f>IFERROR(SUBSTITUTE(Tabela1[[#This Row],[Estacionamento]],".",",",1)*1,0)</f>
        <v>0</v>
      </c>
      <c r="Y125" s="86">
        <f>IFERROR(SUBSTITUTE(Tabela1[[#This Row],[Despesas Diversas 
(Jantar em viagem, Impressões, Etc)]],".",",",1)*1,0)</f>
        <v>0</v>
      </c>
      <c r="Z125" s="86">
        <f>IFERROR(SUBSTITUTE(Tabela1[[#This Row],[Hospedagem]],".",",",1)*1,0)</f>
        <v>0</v>
      </c>
      <c r="AA125" s="56" t="str">
        <f>IF(DAY(Tabela1[[#This Row],[Informe a data]])&lt;=15,"1ª Quinzena","2ª Quinzena")</f>
        <v>2ª Quinzena</v>
      </c>
      <c r="AB125" s="56" t="str">
        <f>UPPER(TEXT(Tabela1[[#This Row],[Informe a data]],"mmmm"))</f>
        <v>FEVEREIRO</v>
      </c>
      <c r="AC125" s="87" t="e">
        <f ca="1">_xlfn.CONCAT(Tabela1[[#This Row],[Selecione o Usuário]]," - ",TEXT(Tabela1[[#This Row],[Informe a data]],"dd-mm-aa"))</f>
        <v>#NAME?</v>
      </c>
    </row>
    <row r="126" spans="1:29">
      <c r="A126" s="89">
        <v>46077.80127314815</v>
      </c>
      <c r="B126" s="90" t="s">
        <v>208</v>
      </c>
      <c r="C126" s="90" t="s">
        <v>134</v>
      </c>
      <c r="D126" s="90" t="s">
        <v>209</v>
      </c>
      <c r="E126" s="91">
        <v>46077</v>
      </c>
      <c r="F126" s="92">
        <v>163559</v>
      </c>
      <c r="G126" s="94"/>
      <c r="H126" s="92">
        <v>163817</v>
      </c>
      <c r="I126" s="94"/>
      <c r="J126" s="90" t="s">
        <v>600</v>
      </c>
      <c r="K126" s="94"/>
      <c r="L126" s="90" t="s">
        <v>60</v>
      </c>
      <c r="M126" s="94"/>
      <c r="N126" s="94"/>
      <c r="O126" s="94"/>
      <c r="P126" s="94"/>
      <c r="Q126" s="94"/>
      <c r="R126" s="94"/>
      <c r="S126" s="94"/>
      <c r="T126" s="94"/>
      <c r="U126" s="85">
        <f>(Tabela1[[#This Row],[Informe o KM final do dia]]-Tabela1[[#This Row],[Informe o KM inicial do dia]])-Tabela1[[#This Row],[Caso tenha rodado particular alguma parte do trajeto, informe o total de KM a ser deduzido.]]</f>
        <v>258</v>
      </c>
      <c r="V126" s="55">
        <f>IF(Tabela1[[#This Row],[Informe a data]]&lt;DATE(2026,3,16), Tabela1[[#This Row],[KM Rodado]]*1.1, Tabela1[[#This Row],[KM Rodado]]*1.23)</f>
        <v>283.8</v>
      </c>
      <c r="W126" s="86">
        <f>IFERROR(SUBSTITUTE(Tabela1[[#This Row],[Pedágio]],".",",",1)*1,0)</f>
        <v>0</v>
      </c>
      <c r="X126" s="86">
        <f>IFERROR(SUBSTITUTE(Tabela1[[#This Row],[Estacionamento]],".",",",1)*1,0)</f>
        <v>0</v>
      </c>
      <c r="Y126" s="86">
        <f>IFERROR(SUBSTITUTE(Tabela1[[#This Row],[Despesas Diversas 
(Jantar em viagem, Impressões, Etc)]],".",",",1)*1,0)</f>
        <v>0</v>
      </c>
      <c r="Z126" s="86">
        <f>IFERROR(SUBSTITUTE(Tabela1[[#This Row],[Hospedagem]],".",",",1)*1,0)</f>
        <v>0</v>
      </c>
      <c r="AA126" s="56" t="str">
        <f>IF(DAY(Tabela1[[#This Row],[Informe a data]])&lt;=15,"1ª Quinzena","2ª Quinzena")</f>
        <v>2ª Quinzena</v>
      </c>
      <c r="AB126" s="56" t="str">
        <f>UPPER(TEXT(Tabela1[[#This Row],[Informe a data]],"mmmm"))</f>
        <v>FEVEREIRO</v>
      </c>
      <c r="AC126" s="87" t="e">
        <f ca="1">_xlfn.CONCAT(Tabela1[[#This Row],[Selecione o Usuário]]," - ",TEXT(Tabela1[[#This Row],[Informe a data]],"dd-mm-aa"))</f>
        <v>#NAME?</v>
      </c>
    </row>
    <row r="127" spans="1:29">
      <c r="A127" s="89">
        <v>46081.664814814816</v>
      </c>
      <c r="B127" s="90" t="s">
        <v>504</v>
      </c>
      <c r="C127" s="90" t="s">
        <v>505</v>
      </c>
      <c r="D127" s="90" t="s">
        <v>506</v>
      </c>
      <c r="E127" s="91">
        <v>46077</v>
      </c>
      <c r="F127" s="92">
        <v>100502</v>
      </c>
      <c r="G127" s="93" t="s">
        <v>611</v>
      </c>
      <c r="H127" s="92">
        <v>100559</v>
      </c>
      <c r="I127" s="93" t="s">
        <v>612</v>
      </c>
      <c r="J127" s="90" t="s">
        <v>613</v>
      </c>
      <c r="K127" s="94"/>
      <c r="L127" s="90" t="s">
        <v>60</v>
      </c>
      <c r="M127" s="94"/>
      <c r="N127" s="94"/>
      <c r="O127" s="94"/>
      <c r="P127" s="94"/>
      <c r="Q127" s="94"/>
      <c r="R127" s="94"/>
      <c r="S127" s="94"/>
      <c r="T127" s="94"/>
      <c r="U127" s="85">
        <f>(Tabela1[[#This Row],[Informe o KM final do dia]]-Tabela1[[#This Row],[Informe o KM inicial do dia]])-Tabela1[[#This Row],[Caso tenha rodado particular alguma parte do trajeto, informe o total de KM a ser deduzido.]]</f>
        <v>57</v>
      </c>
      <c r="V127" s="55">
        <f>IF(Tabela1[[#This Row],[Informe a data]]&lt;DATE(2026,3,16), Tabela1[[#This Row],[KM Rodado]]*1.1, Tabela1[[#This Row],[KM Rodado]]*1.23)</f>
        <v>62.7</v>
      </c>
      <c r="W127" s="86">
        <f>IFERROR(SUBSTITUTE(Tabela1[[#This Row],[Pedágio]],".",",",1)*1,0)</f>
        <v>0</v>
      </c>
      <c r="X127" s="86">
        <f>IFERROR(SUBSTITUTE(Tabela1[[#This Row],[Estacionamento]],".",",",1)*1,0)</f>
        <v>0</v>
      </c>
      <c r="Y127" s="86">
        <f>IFERROR(SUBSTITUTE(Tabela1[[#This Row],[Despesas Diversas 
(Jantar em viagem, Impressões, Etc)]],".",",",1)*1,0)</f>
        <v>0</v>
      </c>
      <c r="Z127" s="86">
        <f>IFERROR(SUBSTITUTE(Tabela1[[#This Row],[Hospedagem]],".",",",1)*1,0)</f>
        <v>0</v>
      </c>
      <c r="AA127" s="56" t="str">
        <f>IF(DAY(Tabela1[[#This Row],[Informe a data]])&lt;=15,"1ª Quinzena","2ª Quinzena")</f>
        <v>2ª Quinzena</v>
      </c>
      <c r="AB127" s="56" t="str">
        <f>UPPER(TEXT(Tabela1[[#This Row],[Informe a data]],"mmmm"))</f>
        <v>FEVEREIRO</v>
      </c>
      <c r="AC127" s="87" t="e">
        <f ca="1">_xlfn.CONCAT(Tabela1[[#This Row],[Selecione o Usuário]]," - ",TEXT(Tabela1[[#This Row],[Informe a data]],"dd-mm-aa"))</f>
        <v>#NAME?</v>
      </c>
    </row>
    <row r="128" spans="1:29">
      <c r="A128" s="49">
        <v>46079.608043981483</v>
      </c>
      <c r="B128" s="50" t="s">
        <v>607</v>
      </c>
      <c r="C128" s="50" t="s">
        <v>136</v>
      </c>
      <c r="D128" s="50" t="s">
        <v>177</v>
      </c>
      <c r="E128" s="51">
        <v>46077</v>
      </c>
      <c r="F128" s="52">
        <v>169830</v>
      </c>
      <c r="G128" s="58" t="s">
        <v>608</v>
      </c>
      <c r="H128" s="52">
        <v>169936</v>
      </c>
      <c r="I128" s="58" t="s">
        <v>609</v>
      </c>
      <c r="J128" s="50" t="s">
        <v>610</v>
      </c>
      <c r="K128" s="53"/>
      <c r="L128" s="50" t="s">
        <v>60</v>
      </c>
      <c r="M128" s="53"/>
      <c r="N128" s="53"/>
      <c r="O128" s="53"/>
      <c r="P128" s="53"/>
      <c r="Q128" s="53"/>
      <c r="R128" s="53"/>
      <c r="S128" s="53"/>
      <c r="T128" s="53"/>
      <c r="U128" s="85">
        <f>(Tabela1[[#This Row],[Informe o KM final do dia]]-Tabela1[[#This Row],[Informe o KM inicial do dia]])-Tabela1[[#This Row],[Caso tenha rodado particular alguma parte do trajeto, informe o total de KM a ser deduzido.]]</f>
        <v>106</v>
      </c>
      <c r="V128" s="55">
        <f>IF(Tabela1[[#This Row],[Informe a data]]&lt;DATE(2026,3,16), Tabela1[[#This Row],[KM Rodado]]*1.1, Tabela1[[#This Row],[KM Rodado]]*1.23)</f>
        <v>116.60000000000001</v>
      </c>
      <c r="W128" s="86">
        <f>IFERROR(SUBSTITUTE(Tabela1[[#This Row],[Pedágio]],".",",",1)*1,0)</f>
        <v>0</v>
      </c>
      <c r="X128" s="86">
        <f>IFERROR(SUBSTITUTE(Tabela1[[#This Row],[Estacionamento]],".",",",1)*1,0)</f>
        <v>0</v>
      </c>
      <c r="Y128" s="86">
        <f>IFERROR(SUBSTITUTE(Tabela1[[#This Row],[Despesas Diversas 
(Jantar em viagem, Impressões, Etc)]],".",",",1)*1,0)</f>
        <v>0</v>
      </c>
      <c r="Z128" s="86">
        <f>IFERROR(SUBSTITUTE(Tabela1[[#This Row],[Hospedagem]],".",",",1)*1,0)</f>
        <v>0</v>
      </c>
      <c r="AA128" s="56" t="str">
        <f>IF(DAY(Tabela1[[#This Row],[Informe a data]])&lt;=15,"1ª Quinzena","2ª Quinzena")</f>
        <v>2ª Quinzena</v>
      </c>
      <c r="AB128" s="56" t="str">
        <f>UPPER(TEXT(Tabela1[[#This Row],[Informe a data]],"mmmm"))</f>
        <v>FEVEREIRO</v>
      </c>
      <c r="AC128" s="87" t="e">
        <f ca="1">_xlfn.CONCAT(Tabela1[[#This Row],[Selecione o Usuário]]," - ",TEXT(Tabela1[[#This Row],[Informe a data]],"dd-mm-aa"))</f>
        <v>#NAME?</v>
      </c>
    </row>
    <row r="129" spans="1:29">
      <c r="A129" s="89">
        <v>46079.377187500002</v>
      </c>
      <c r="B129" s="90" t="s">
        <v>140</v>
      </c>
      <c r="C129" s="90" t="s">
        <v>141</v>
      </c>
      <c r="D129" s="90" t="s">
        <v>332</v>
      </c>
      <c r="E129" s="91">
        <v>46077</v>
      </c>
      <c r="F129" s="92">
        <v>1924</v>
      </c>
      <c r="G129" s="93" t="s">
        <v>604</v>
      </c>
      <c r="H129" s="92">
        <v>2104</v>
      </c>
      <c r="I129" s="93" t="s">
        <v>605</v>
      </c>
      <c r="J129" s="90" t="s">
        <v>606</v>
      </c>
      <c r="K129" s="94"/>
      <c r="L129" s="90" t="s">
        <v>60</v>
      </c>
      <c r="M129" s="94"/>
      <c r="N129" s="94"/>
      <c r="O129" s="94"/>
      <c r="P129" s="94"/>
      <c r="Q129" s="94"/>
      <c r="R129" s="94"/>
      <c r="S129" s="94"/>
      <c r="T129" s="94"/>
      <c r="U129" s="85">
        <f>(Tabela1[[#This Row],[Informe o KM final do dia]]-Tabela1[[#This Row],[Informe o KM inicial do dia]])-Tabela1[[#This Row],[Caso tenha rodado particular alguma parte do trajeto, informe o total de KM a ser deduzido.]]</f>
        <v>180</v>
      </c>
      <c r="V129" s="55">
        <f>IF(Tabela1[[#This Row],[Informe a data]]&lt;DATE(2026,3,16), Tabela1[[#This Row],[KM Rodado]]*1.1, Tabela1[[#This Row],[KM Rodado]]*1.23)</f>
        <v>198.00000000000003</v>
      </c>
      <c r="W129" s="86">
        <f>IFERROR(SUBSTITUTE(Tabela1[[#This Row],[Pedágio]],".",",",1)*1,0)</f>
        <v>0</v>
      </c>
      <c r="X129" s="86">
        <f>IFERROR(SUBSTITUTE(Tabela1[[#This Row],[Estacionamento]],".",",",1)*1,0)</f>
        <v>0</v>
      </c>
      <c r="Y129" s="86">
        <f>IFERROR(SUBSTITUTE(Tabela1[[#This Row],[Despesas Diversas 
(Jantar em viagem, Impressões, Etc)]],".",",",1)*1,0)</f>
        <v>0</v>
      </c>
      <c r="Z129" s="86">
        <f>IFERROR(SUBSTITUTE(Tabela1[[#This Row],[Hospedagem]],".",",",1)*1,0)</f>
        <v>0</v>
      </c>
      <c r="AA129" s="56" t="str">
        <f>IF(DAY(Tabela1[[#This Row],[Informe a data]])&lt;=15,"1ª Quinzena","2ª Quinzena")</f>
        <v>2ª Quinzena</v>
      </c>
      <c r="AB129" s="56" t="str">
        <f>UPPER(TEXT(Tabela1[[#This Row],[Informe a data]],"mmmm"))</f>
        <v>FEVEREIRO</v>
      </c>
      <c r="AC129" s="87" t="e">
        <f ca="1">_xlfn.CONCAT(Tabela1[[#This Row],[Selecione o Usuário]]," - ",TEXT(Tabela1[[#This Row],[Informe a data]],"dd-mm-aa"))</f>
        <v>#NAME?</v>
      </c>
    </row>
    <row r="130" spans="1:29">
      <c r="A130" s="49">
        <v>46082.473530092589</v>
      </c>
      <c r="B130" s="50" t="s">
        <v>469</v>
      </c>
      <c r="C130" s="50" t="s">
        <v>559</v>
      </c>
      <c r="D130" s="50" t="s">
        <v>560</v>
      </c>
      <c r="E130" s="51">
        <v>46078</v>
      </c>
      <c r="F130" s="52">
        <v>75961</v>
      </c>
      <c r="G130" s="53"/>
      <c r="H130" s="52">
        <v>76002</v>
      </c>
      <c r="I130" s="53"/>
      <c r="J130" s="50" t="s">
        <v>634</v>
      </c>
      <c r="K130" s="53"/>
      <c r="L130" s="50" t="s">
        <v>60</v>
      </c>
      <c r="M130" s="53"/>
      <c r="N130" s="53"/>
      <c r="O130" s="53"/>
      <c r="P130" s="53"/>
      <c r="Q130" s="53"/>
      <c r="R130" s="53"/>
      <c r="S130" s="53"/>
      <c r="T130" s="53"/>
      <c r="U130" s="85">
        <f>(Tabela1[[#This Row],[Informe o KM final do dia]]-Tabela1[[#This Row],[Informe o KM inicial do dia]])-Tabela1[[#This Row],[Caso tenha rodado particular alguma parte do trajeto, informe o total de KM a ser deduzido.]]</f>
        <v>41</v>
      </c>
      <c r="V130" s="55">
        <f>IF(Tabela1[[#This Row],[Informe a data]]&lt;DATE(2026,3,16), Tabela1[[#This Row],[KM Rodado]]*1.1, Tabela1[[#This Row],[KM Rodado]]*1.23)</f>
        <v>45.1</v>
      </c>
      <c r="W130" s="86">
        <f>IFERROR(SUBSTITUTE(Tabela1[[#This Row],[Pedágio]],".",",",1)*1,0)</f>
        <v>0</v>
      </c>
      <c r="X130" s="86">
        <f>IFERROR(SUBSTITUTE(Tabela1[[#This Row],[Estacionamento]],".",",",1)*1,0)</f>
        <v>0</v>
      </c>
      <c r="Y130" s="86">
        <f>IFERROR(SUBSTITUTE(Tabela1[[#This Row],[Despesas Diversas 
(Jantar em viagem, Impressões, Etc)]],".",",",1)*1,0)</f>
        <v>0</v>
      </c>
      <c r="Z130" s="86">
        <f>IFERROR(SUBSTITUTE(Tabela1[[#This Row],[Hospedagem]],".",",",1)*1,0)</f>
        <v>0</v>
      </c>
      <c r="AA130" s="56" t="str">
        <f>IF(DAY(Tabela1[[#This Row],[Informe a data]])&lt;=15,"1ª Quinzena","2ª Quinzena")</f>
        <v>2ª Quinzena</v>
      </c>
      <c r="AB130" s="56" t="str">
        <f>UPPER(TEXT(Tabela1[[#This Row],[Informe a data]],"mmmm"))</f>
        <v>FEVEREIRO</v>
      </c>
      <c r="AC130" s="87" t="e">
        <f ca="1">_xlfn.CONCAT(Tabela1[[#This Row],[Selecione o Usuário]]," - ",TEXT(Tabela1[[#This Row],[Informe a data]],"dd-mm-aa"))</f>
        <v>#NAME?</v>
      </c>
    </row>
    <row r="131" spans="1:29">
      <c r="A131" s="89">
        <v>46082.473530092589</v>
      </c>
      <c r="B131" s="90" t="s">
        <v>469</v>
      </c>
      <c r="C131" s="90" t="s">
        <v>559</v>
      </c>
      <c r="D131" s="90" t="s">
        <v>560</v>
      </c>
      <c r="E131" s="91">
        <v>46078</v>
      </c>
      <c r="F131" s="92">
        <v>75961</v>
      </c>
      <c r="G131" s="94"/>
      <c r="H131" s="92">
        <v>76002</v>
      </c>
      <c r="I131" s="94"/>
      <c r="J131" s="90" t="s">
        <v>634</v>
      </c>
      <c r="K131" s="94"/>
      <c r="L131" s="90" t="s">
        <v>60</v>
      </c>
      <c r="M131" s="94"/>
      <c r="N131" s="94"/>
      <c r="O131" s="94"/>
      <c r="P131" s="94"/>
      <c r="Q131" s="94"/>
      <c r="R131" s="94"/>
      <c r="S131" s="94"/>
      <c r="T131" s="94"/>
      <c r="U131" s="85">
        <f>(Tabela1[[#This Row],[Informe o KM final do dia]]-Tabela1[[#This Row],[Informe o KM inicial do dia]])-Tabela1[[#This Row],[Caso tenha rodado particular alguma parte do trajeto, informe o total de KM a ser deduzido.]]</f>
        <v>41</v>
      </c>
      <c r="V131" s="55">
        <f>IF(Tabela1[[#This Row],[Informe a data]]&lt;DATE(2026,3,16), Tabela1[[#This Row],[KM Rodado]]*1.1, Tabela1[[#This Row],[KM Rodado]]*1.23)</f>
        <v>45.1</v>
      </c>
      <c r="W131" s="86">
        <f>IFERROR(SUBSTITUTE(Tabela1[[#This Row],[Pedágio]],".",",",1)*1,0)</f>
        <v>0</v>
      </c>
      <c r="X131" s="86">
        <f>IFERROR(SUBSTITUTE(Tabela1[[#This Row],[Estacionamento]],".",",",1)*1,0)</f>
        <v>0</v>
      </c>
      <c r="Y131" s="86">
        <f>IFERROR(SUBSTITUTE(Tabela1[[#This Row],[Despesas Diversas 
(Jantar em viagem, Impressões, Etc)]],".",",",1)*1,0)</f>
        <v>0</v>
      </c>
      <c r="Z131" s="86">
        <f>IFERROR(SUBSTITUTE(Tabela1[[#This Row],[Hospedagem]],".",",",1)*1,0)</f>
        <v>0</v>
      </c>
      <c r="AA131" s="56" t="str">
        <f>IF(DAY(Tabela1[[#This Row],[Informe a data]])&lt;=15,"1ª Quinzena","2ª Quinzena")</f>
        <v>2ª Quinzena</v>
      </c>
      <c r="AB131" s="56" t="str">
        <f>UPPER(TEXT(Tabela1[[#This Row],[Informe a data]],"mmmm"))</f>
        <v>FEVEREIRO</v>
      </c>
      <c r="AC131" s="87" t="e">
        <f ca="1">_xlfn.CONCAT(Tabela1[[#This Row],[Selecione o Usuário]]," - ",TEXT(Tabela1[[#This Row],[Informe a data]],"dd-mm-aa"))</f>
        <v>#NAME?</v>
      </c>
    </row>
    <row r="132" spans="1:29">
      <c r="A132" s="49">
        <v>46079.621481481481</v>
      </c>
      <c r="B132" s="50" t="s">
        <v>625</v>
      </c>
      <c r="C132" s="50" t="s">
        <v>626</v>
      </c>
      <c r="D132" s="50" t="s">
        <v>627</v>
      </c>
      <c r="E132" s="51">
        <v>46078</v>
      </c>
      <c r="F132" s="52">
        <v>164058</v>
      </c>
      <c r="G132" s="58" t="s">
        <v>628</v>
      </c>
      <c r="H132" s="52">
        <v>164298</v>
      </c>
      <c r="I132" s="58" t="s">
        <v>629</v>
      </c>
      <c r="J132" s="50" t="s">
        <v>630</v>
      </c>
      <c r="K132" s="53"/>
      <c r="L132" s="50" t="s">
        <v>60</v>
      </c>
      <c r="M132" s="53"/>
      <c r="N132" s="53"/>
      <c r="O132" s="53"/>
      <c r="P132" s="53"/>
      <c r="Q132" s="53"/>
      <c r="R132" s="53"/>
      <c r="S132" s="53"/>
      <c r="T132" s="53"/>
      <c r="U132" s="85">
        <f>(Tabela1[[#This Row],[Informe o KM final do dia]]-Tabela1[[#This Row],[Informe o KM inicial do dia]])-Tabela1[[#This Row],[Caso tenha rodado particular alguma parte do trajeto, informe o total de KM a ser deduzido.]]</f>
        <v>240</v>
      </c>
      <c r="V132" s="55">
        <f>IF(Tabela1[[#This Row],[Informe a data]]&lt;DATE(2026,3,16), Tabela1[[#This Row],[KM Rodado]]*1.1, Tabela1[[#This Row],[KM Rodado]]*1.23)</f>
        <v>264</v>
      </c>
      <c r="W132" s="86">
        <f>IFERROR(SUBSTITUTE(Tabela1[[#This Row],[Pedágio]],".",",",1)*1,0)</f>
        <v>0</v>
      </c>
      <c r="X132" s="86">
        <f>IFERROR(SUBSTITUTE(Tabela1[[#This Row],[Estacionamento]],".",",",1)*1,0)</f>
        <v>0</v>
      </c>
      <c r="Y132" s="86">
        <f>IFERROR(SUBSTITUTE(Tabela1[[#This Row],[Despesas Diversas 
(Jantar em viagem, Impressões, Etc)]],".",",",1)*1,0)</f>
        <v>0</v>
      </c>
      <c r="Z132" s="86">
        <f>IFERROR(SUBSTITUTE(Tabela1[[#This Row],[Hospedagem]],".",",",1)*1,0)</f>
        <v>0</v>
      </c>
      <c r="AA132" s="56" t="str">
        <f>IF(DAY(Tabela1[[#This Row],[Informe a data]])&lt;=15,"1ª Quinzena","2ª Quinzena")</f>
        <v>2ª Quinzena</v>
      </c>
      <c r="AB132" s="56" t="str">
        <f>UPPER(TEXT(Tabela1[[#This Row],[Informe a data]],"mmmm"))</f>
        <v>FEVEREIRO</v>
      </c>
      <c r="AC132" s="87" t="e">
        <f ca="1">_xlfn.CONCAT(Tabela1[[#This Row],[Selecione o Usuário]]," - ",TEXT(Tabela1[[#This Row],[Informe a data]],"dd-mm-aa"))</f>
        <v>#NAME?</v>
      </c>
    </row>
    <row r="133" spans="1:29">
      <c r="A133" s="89">
        <v>46079.410729166666</v>
      </c>
      <c r="B133" s="90" t="s">
        <v>131</v>
      </c>
      <c r="C133" s="90" t="s">
        <v>132</v>
      </c>
      <c r="D133" s="90" t="s">
        <v>133</v>
      </c>
      <c r="E133" s="91">
        <v>46078</v>
      </c>
      <c r="F133" s="92">
        <v>188758</v>
      </c>
      <c r="G133" s="93" t="s">
        <v>621</v>
      </c>
      <c r="H133" s="92">
        <v>188939</v>
      </c>
      <c r="I133" s="93" t="s">
        <v>622</v>
      </c>
      <c r="J133" s="90" t="s">
        <v>623</v>
      </c>
      <c r="K133" s="94"/>
      <c r="L133" s="90" t="s">
        <v>61</v>
      </c>
      <c r="M133" s="90" t="s">
        <v>128</v>
      </c>
      <c r="N133" s="93" t="s">
        <v>624</v>
      </c>
      <c r="O133" s="94"/>
      <c r="P133" s="94"/>
      <c r="Q133" s="94"/>
      <c r="R133" s="94"/>
      <c r="S133" s="94"/>
      <c r="T133" s="94"/>
      <c r="U133" s="85">
        <f>(Tabela1[[#This Row],[Informe o KM final do dia]]-Tabela1[[#This Row],[Informe o KM inicial do dia]])-Tabela1[[#This Row],[Caso tenha rodado particular alguma parte do trajeto, informe o total de KM a ser deduzido.]]</f>
        <v>181</v>
      </c>
      <c r="V133" s="55">
        <f>IF(Tabela1[[#This Row],[Informe a data]]&lt;DATE(2026,3,16), Tabela1[[#This Row],[KM Rodado]]*1.1, Tabela1[[#This Row],[KM Rodado]]*1.23)</f>
        <v>199.10000000000002</v>
      </c>
      <c r="W133" s="86">
        <f>IFERROR(SUBSTITUTE(Tabela1[[#This Row],[Pedágio]],".",",",1)*1,0)</f>
        <v>11.4</v>
      </c>
      <c r="X133" s="86">
        <f>IFERROR(SUBSTITUTE(Tabela1[[#This Row],[Estacionamento]],".",",",1)*1,0)</f>
        <v>0</v>
      </c>
      <c r="Y133" s="86">
        <f>IFERROR(SUBSTITUTE(Tabela1[[#This Row],[Despesas Diversas 
(Jantar em viagem, Impressões, Etc)]],".",",",1)*1,0)</f>
        <v>0</v>
      </c>
      <c r="Z133" s="86">
        <f>IFERROR(SUBSTITUTE(Tabela1[[#This Row],[Hospedagem]],".",",",1)*1,0)</f>
        <v>0</v>
      </c>
      <c r="AA133" s="56" t="str">
        <f>IF(DAY(Tabela1[[#This Row],[Informe a data]])&lt;=15,"1ª Quinzena","2ª Quinzena")</f>
        <v>2ª Quinzena</v>
      </c>
      <c r="AB133" s="56" t="str">
        <f>UPPER(TEXT(Tabela1[[#This Row],[Informe a data]],"mmmm"))</f>
        <v>FEVEREIRO</v>
      </c>
      <c r="AC133" s="87" t="e">
        <f ca="1">_xlfn.CONCAT(Tabela1[[#This Row],[Selecione o Usuário]]," - ",TEXT(Tabela1[[#This Row],[Informe a data]],"dd-mm-aa"))</f>
        <v>#NAME?</v>
      </c>
    </row>
    <row r="134" spans="1:29">
      <c r="A134" s="49">
        <v>46078.765648148146</v>
      </c>
      <c r="B134" s="50" t="s">
        <v>208</v>
      </c>
      <c r="C134" s="50" t="s">
        <v>134</v>
      </c>
      <c r="D134" s="50" t="s">
        <v>209</v>
      </c>
      <c r="E134" s="51">
        <v>46078</v>
      </c>
      <c r="F134" s="52">
        <v>163817</v>
      </c>
      <c r="G134" s="53"/>
      <c r="H134" s="52">
        <v>164071</v>
      </c>
      <c r="I134" s="53"/>
      <c r="J134" s="50" t="s">
        <v>614</v>
      </c>
      <c r="K134" s="53"/>
      <c r="L134" s="50" t="s">
        <v>60</v>
      </c>
      <c r="M134" s="53"/>
      <c r="N134" s="53"/>
      <c r="O134" s="53"/>
      <c r="P134" s="53"/>
      <c r="Q134" s="53"/>
      <c r="R134" s="53"/>
      <c r="S134" s="53"/>
      <c r="T134" s="53"/>
      <c r="U134" s="85">
        <f>(Tabela1[[#This Row],[Informe o KM final do dia]]-Tabela1[[#This Row],[Informe o KM inicial do dia]])-Tabela1[[#This Row],[Caso tenha rodado particular alguma parte do trajeto, informe o total de KM a ser deduzido.]]</f>
        <v>254</v>
      </c>
      <c r="V134" s="55">
        <f>IF(Tabela1[[#This Row],[Informe a data]]&lt;DATE(2026,3,16), Tabela1[[#This Row],[KM Rodado]]*1.1, Tabela1[[#This Row],[KM Rodado]]*1.23)</f>
        <v>279.40000000000003</v>
      </c>
      <c r="W134" s="86">
        <f>IFERROR(SUBSTITUTE(Tabela1[[#This Row],[Pedágio]],".",",",1)*1,0)</f>
        <v>0</v>
      </c>
      <c r="X134" s="86">
        <f>IFERROR(SUBSTITUTE(Tabela1[[#This Row],[Estacionamento]],".",",",1)*1,0)</f>
        <v>0</v>
      </c>
      <c r="Y134" s="86">
        <f>IFERROR(SUBSTITUTE(Tabela1[[#This Row],[Despesas Diversas 
(Jantar em viagem, Impressões, Etc)]],".",",",1)*1,0)</f>
        <v>0</v>
      </c>
      <c r="Z134" s="86">
        <f>IFERROR(SUBSTITUTE(Tabela1[[#This Row],[Hospedagem]],".",",",1)*1,0)</f>
        <v>0</v>
      </c>
      <c r="AA134" s="56" t="str">
        <f>IF(DAY(Tabela1[[#This Row],[Informe a data]])&lt;=15,"1ª Quinzena","2ª Quinzena")</f>
        <v>2ª Quinzena</v>
      </c>
      <c r="AB134" s="56" t="str">
        <f>UPPER(TEXT(Tabela1[[#This Row],[Informe a data]],"mmmm"))</f>
        <v>FEVEREIRO</v>
      </c>
      <c r="AC134" s="87" t="e">
        <f ca="1">_xlfn.CONCAT(Tabela1[[#This Row],[Selecione o Usuário]]," - ",TEXT(Tabela1[[#This Row],[Informe a data]],"dd-mm-aa"))</f>
        <v>#NAME?</v>
      </c>
    </row>
    <row r="135" spans="1:29">
      <c r="A135" s="89">
        <v>46081.686412037037</v>
      </c>
      <c r="B135" s="90" t="s">
        <v>504</v>
      </c>
      <c r="C135" s="90" t="s">
        <v>505</v>
      </c>
      <c r="D135" s="90" t="s">
        <v>506</v>
      </c>
      <c r="E135" s="91">
        <v>46078</v>
      </c>
      <c r="F135" s="92">
        <v>100559</v>
      </c>
      <c r="G135" s="93" t="s">
        <v>631</v>
      </c>
      <c r="H135" s="92">
        <v>100562</v>
      </c>
      <c r="I135" s="93" t="s">
        <v>632</v>
      </c>
      <c r="J135" s="90" t="s">
        <v>633</v>
      </c>
      <c r="K135" s="94"/>
      <c r="L135" s="90" t="s">
        <v>60</v>
      </c>
      <c r="M135" s="94"/>
      <c r="N135" s="94"/>
      <c r="O135" s="94"/>
      <c r="P135" s="94"/>
      <c r="Q135" s="94"/>
      <c r="R135" s="94"/>
      <c r="S135" s="94"/>
      <c r="T135" s="94"/>
      <c r="U135" s="85">
        <f>(Tabela1[[#This Row],[Informe o KM final do dia]]-Tabela1[[#This Row],[Informe o KM inicial do dia]])-Tabela1[[#This Row],[Caso tenha rodado particular alguma parte do trajeto, informe o total de KM a ser deduzido.]]</f>
        <v>3</v>
      </c>
      <c r="V135" s="55">
        <f>IF(Tabela1[[#This Row],[Informe a data]]&lt;DATE(2026,3,16), Tabela1[[#This Row],[KM Rodado]]*1.1, Tabela1[[#This Row],[KM Rodado]]*1.23)</f>
        <v>3.3000000000000003</v>
      </c>
      <c r="W135" s="86">
        <f>IFERROR(SUBSTITUTE(Tabela1[[#This Row],[Pedágio]],".",",",1)*1,0)</f>
        <v>0</v>
      </c>
      <c r="X135" s="86">
        <f>IFERROR(SUBSTITUTE(Tabela1[[#This Row],[Estacionamento]],".",",",1)*1,0)</f>
        <v>0</v>
      </c>
      <c r="Y135" s="86">
        <f>IFERROR(SUBSTITUTE(Tabela1[[#This Row],[Despesas Diversas 
(Jantar em viagem, Impressões, Etc)]],".",",",1)*1,0)</f>
        <v>0</v>
      </c>
      <c r="Z135" s="86">
        <f>IFERROR(SUBSTITUTE(Tabela1[[#This Row],[Hospedagem]],".",",",1)*1,0)</f>
        <v>0</v>
      </c>
      <c r="AA135" s="56" t="str">
        <f>IF(DAY(Tabela1[[#This Row],[Informe a data]])&lt;=15,"1ª Quinzena","2ª Quinzena")</f>
        <v>2ª Quinzena</v>
      </c>
      <c r="AB135" s="56" t="str">
        <f>UPPER(TEXT(Tabela1[[#This Row],[Informe a data]],"mmmm"))</f>
        <v>FEVEREIRO</v>
      </c>
      <c r="AC135" s="87" t="e">
        <f ca="1">_xlfn.CONCAT(Tabela1[[#This Row],[Selecione o Usuário]]," - ",TEXT(Tabela1[[#This Row],[Informe a data]],"dd-mm-aa"))</f>
        <v>#NAME?</v>
      </c>
    </row>
    <row r="136" spans="1:29">
      <c r="A136" s="89">
        <v>46079.353043981479</v>
      </c>
      <c r="B136" s="90" t="s">
        <v>300</v>
      </c>
      <c r="C136" s="90" t="s">
        <v>250</v>
      </c>
      <c r="D136" s="90" t="s">
        <v>228</v>
      </c>
      <c r="E136" s="91">
        <v>46078</v>
      </c>
      <c r="F136" s="92">
        <v>122041</v>
      </c>
      <c r="G136" s="93" t="s">
        <v>615</v>
      </c>
      <c r="H136" s="92">
        <v>122276</v>
      </c>
      <c r="I136" s="93" t="s">
        <v>616</v>
      </c>
      <c r="J136" s="90" t="s">
        <v>617</v>
      </c>
      <c r="K136" s="94"/>
      <c r="L136" s="90" t="s">
        <v>60</v>
      </c>
      <c r="M136" s="94"/>
      <c r="N136" s="94"/>
      <c r="O136" s="94"/>
      <c r="P136" s="94"/>
      <c r="Q136" s="94"/>
      <c r="R136" s="94"/>
      <c r="S136" s="94"/>
      <c r="T136" s="94"/>
      <c r="U136" s="85">
        <f>(Tabela1[[#This Row],[Informe o KM final do dia]]-Tabela1[[#This Row],[Informe o KM inicial do dia]])-Tabela1[[#This Row],[Caso tenha rodado particular alguma parte do trajeto, informe o total de KM a ser deduzido.]]</f>
        <v>235</v>
      </c>
      <c r="V136" s="55">
        <f>IF(Tabela1[[#This Row],[Informe a data]]&lt;DATE(2026,3,16), Tabela1[[#This Row],[KM Rodado]]*1.1, Tabela1[[#This Row],[KM Rodado]]*1.23)</f>
        <v>258.5</v>
      </c>
      <c r="W136" s="86">
        <f>IFERROR(SUBSTITUTE(Tabela1[[#This Row],[Pedágio]],".",",",1)*1,0)</f>
        <v>0</v>
      </c>
      <c r="X136" s="86">
        <f>IFERROR(SUBSTITUTE(Tabela1[[#This Row],[Estacionamento]],".",",",1)*1,0)</f>
        <v>0</v>
      </c>
      <c r="Y136" s="86">
        <f>IFERROR(SUBSTITUTE(Tabela1[[#This Row],[Despesas Diversas 
(Jantar em viagem, Impressões, Etc)]],".",",",1)*1,0)</f>
        <v>0</v>
      </c>
      <c r="Z136" s="86">
        <f>IFERROR(SUBSTITUTE(Tabela1[[#This Row],[Hospedagem]],".",",",1)*1,0)</f>
        <v>0</v>
      </c>
      <c r="AA136" s="56" t="str">
        <f>IF(DAY(Tabela1[[#This Row],[Informe a data]])&lt;=15,"1ª Quinzena","2ª Quinzena")</f>
        <v>2ª Quinzena</v>
      </c>
      <c r="AB136" s="56" t="str">
        <f>UPPER(TEXT(Tabela1[[#This Row],[Informe a data]],"mmmm"))</f>
        <v>FEVEREIRO</v>
      </c>
      <c r="AC136" s="87" t="e">
        <f ca="1">_xlfn.CONCAT(Tabela1[[#This Row],[Selecione o Usuário]]," - ",TEXT(Tabela1[[#This Row],[Informe a data]],"dd-mm-aa"))</f>
        <v>#NAME?</v>
      </c>
    </row>
    <row r="137" spans="1:29">
      <c r="A137" s="49">
        <v>46079.37903935185</v>
      </c>
      <c r="B137" s="50" t="s">
        <v>140</v>
      </c>
      <c r="C137" s="50" t="s">
        <v>141</v>
      </c>
      <c r="D137" s="50" t="s">
        <v>169</v>
      </c>
      <c r="E137" s="51">
        <v>46078</v>
      </c>
      <c r="F137" s="52">
        <v>2118</v>
      </c>
      <c r="G137" s="58" t="s">
        <v>618</v>
      </c>
      <c r="H137" s="52">
        <v>2168</v>
      </c>
      <c r="I137" s="58" t="s">
        <v>619</v>
      </c>
      <c r="J137" s="50" t="s">
        <v>620</v>
      </c>
      <c r="K137" s="53"/>
      <c r="L137" s="50" t="s">
        <v>60</v>
      </c>
      <c r="M137" s="53"/>
      <c r="N137" s="53"/>
      <c r="O137" s="53"/>
      <c r="P137" s="53"/>
      <c r="Q137" s="53"/>
      <c r="R137" s="53"/>
      <c r="S137" s="53"/>
      <c r="T137" s="53"/>
      <c r="U137" s="85">
        <f>(Tabela1[[#This Row],[Informe o KM final do dia]]-Tabela1[[#This Row],[Informe o KM inicial do dia]])-Tabela1[[#This Row],[Caso tenha rodado particular alguma parte do trajeto, informe o total de KM a ser deduzido.]]</f>
        <v>50</v>
      </c>
      <c r="V137" s="55">
        <f>IF(Tabela1[[#This Row],[Informe a data]]&lt;DATE(2026,3,16), Tabela1[[#This Row],[KM Rodado]]*1.1, Tabela1[[#This Row],[KM Rodado]]*1.23)</f>
        <v>55.000000000000007</v>
      </c>
      <c r="W137" s="86">
        <f>IFERROR(SUBSTITUTE(Tabela1[[#This Row],[Pedágio]],".",",",1)*1,0)</f>
        <v>0</v>
      </c>
      <c r="X137" s="86">
        <f>IFERROR(SUBSTITUTE(Tabela1[[#This Row],[Estacionamento]],".",",",1)*1,0)</f>
        <v>0</v>
      </c>
      <c r="Y137" s="86">
        <f>IFERROR(SUBSTITUTE(Tabela1[[#This Row],[Despesas Diversas 
(Jantar em viagem, Impressões, Etc)]],".",",",1)*1,0)</f>
        <v>0</v>
      </c>
      <c r="Z137" s="86">
        <f>IFERROR(SUBSTITUTE(Tabela1[[#This Row],[Hospedagem]],".",",",1)*1,0)</f>
        <v>0</v>
      </c>
      <c r="AA137" s="56" t="str">
        <f>IF(DAY(Tabela1[[#This Row],[Informe a data]])&lt;=15,"1ª Quinzena","2ª Quinzena")</f>
        <v>2ª Quinzena</v>
      </c>
      <c r="AB137" s="56" t="str">
        <f>UPPER(TEXT(Tabela1[[#This Row],[Informe a data]],"mmmm"))</f>
        <v>FEVEREIRO</v>
      </c>
      <c r="AC137" s="87" t="e">
        <f ca="1">_xlfn.CONCAT(Tabela1[[#This Row],[Selecione o Usuário]]," - ",TEXT(Tabela1[[#This Row],[Informe a data]],"dd-mm-aa"))</f>
        <v>#NAME?</v>
      </c>
    </row>
    <row r="138" spans="1:29">
      <c r="A138" s="89">
        <v>46080.431701388887</v>
      </c>
      <c r="B138" s="90" t="s">
        <v>131</v>
      </c>
      <c r="C138" s="90" t="s">
        <v>132</v>
      </c>
      <c r="D138" s="90" t="s">
        <v>133</v>
      </c>
      <c r="E138" s="91">
        <v>46079</v>
      </c>
      <c r="F138" s="92">
        <v>188939</v>
      </c>
      <c r="G138" s="93" t="s">
        <v>641</v>
      </c>
      <c r="H138" s="92">
        <v>189023</v>
      </c>
      <c r="I138" s="93" t="s">
        <v>642</v>
      </c>
      <c r="J138" s="90" t="s">
        <v>643</v>
      </c>
      <c r="K138" s="94"/>
      <c r="L138" s="90" t="s">
        <v>60</v>
      </c>
      <c r="M138" s="94"/>
      <c r="N138" s="94"/>
      <c r="O138" s="94"/>
      <c r="P138" s="94"/>
      <c r="Q138" s="94"/>
      <c r="R138" s="94"/>
      <c r="S138" s="94"/>
      <c r="T138" s="94"/>
      <c r="U138" s="85">
        <f>(Tabela1[[#This Row],[Informe o KM final do dia]]-Tabela1[[#This Row],[Informe o KM inicial do dia]])-Tabela1[[#This Row],[Caso tenha rodado particular alguma parte do trajeto, informe o total de KM a ser deduzido.]]</f>
        <v>84</v>
      </c>
      <c r="V138" s="55">
        <f>IF(Tabela1[[#This Row],[Informe a data]]&lt;DATE(2026,3,16), Tabela1[[#This Row],[KM Rodado]]*1.1, Tabela1[[#This Row],[KM Rodado]]*1.23)</f>
        <v>92.4</v>
      </c>
      <c r="W138" s="86">
        <f>IFERROR(SUBSTITUTE(Tabela1[[#This Row],[Pedágio]],".",",",1)*1,0)</f>
        <v>0</v>
      </c>
      <c r="X138" s="86">
        <f>IFERROR(SUBSTITUTE(Tabela1[[#This Row],[Estacionamento]],".",",",1)*1,0)</f>
        <v>0</v>
      </c>
      <c r="Y138" s="86">
        <f>IFERROR(SUBSTITUTE(Tabela1[[#This Row],[Despesas Diversas 
(Jantar em viagem, Impressões, Etc)]],".",",",1)*1,0)</f>
        <v>0</v>
      </c>
      <c r="Z138" s="86">
        <f>IFERROR(SUBSTITUTE(Tabela1[[#This Row],[Hospedagem]],".",",",1)*1,0)</f>
        <v>0</v>
      </c>
      <c r="AA138" s="56" t="str">
        <f>IF(DAY(Tabela1[[#This Row],[Informe a data]])&lt;=15,"1ª Quinzena","2ª Quinzena")</f>
        <v>2ª Quinzena</v>
      </c>
      <c r="AB138" s="56" t="str">
        <f>UPPER(TEXT(Tabela1[[#This Row],[Informe a data]],"mmmm"))</f>
        <v>FEVEREIRO</v>
      </c>
      <c r="AC138" s="87" t="e">
        <f ca="1">_xlfn.CONCAT(Tabela1[[#This Row],[Selecione o Usuário]]," - ",TEXT(Tabela1[[#This Row],[Informe a data]],"dd-mm-aa"))</f>
        <v>#NAME?</v>
      </c>
    </row>
    <row r="139" spans="1:29">
      <c r="A139" s="49">
        <v>46081.689050925925</v>
      </c>
      <c r="B139" s="50" t="s">
        <v>504</v>
      </c>
      <c r="C139" s="50" t="s">
        <v>505</v>
      </c>
      <c r="D139" s="50" t="s">
        <v>506</v>
      </c>
      <c r="E139" s="51">
        <v>46079</v>
      </c>
      <c r="F139" s="52">
        <v>100562</v>
      </c>
      <c r="G139" s="58" t="s">
        <v>644</v>
      </c>
      <c r="H139" s="52">
        <v>100652</v>
      </c>
      <c r="I139" s="58" t="s">
        <v>645</v>
      </c>
      <c r="J139" s="50" t="s">
        <v>646</v>
      </c>
      <c r="K139" s="53"/>
      <c r="L139" s="50" t="s">
        <v>60</v>
      </c>
      <c r="M139" s="53"/>
      <c r="N139" s="53"/>
      <c r="O139" s="53"/>
      <c r="P139" s="53"/>
      <c r="Q139" s="53"/>
      <c r="R139" s="53"/>
      <c r="S139" s="53"/>
      <c r="T139" s="53"/>
      <c r="U139" s="85">
        <f>(Tabela1[[#This Row],[Informe o KM final do dia]]-Tabela1[[#This Row],[Informe o KM inicial do dia]])-Tabela1[[#This Row],[Caso tenha rodado particular alguma parte do trajeto, informe o total de KM a ser deduzido.]]</f>
        <v>90</v>
      </c>
      <c r="V139" s="55">
        <f>IF(Tabela1[[#This Row],[Informe a data]]&lt;DATE(2026,3,16), Tabela1[[#This Row],[KM Rodado]]*1.1, Tabela1[[#This Row],[KM Rodado]]*1.23)</f>
        <v>99.000000000000014</v>
      </c>
      <c r="W139" s="86">
        <f>IFERROR(SUBSTITUTE(Tabela1[[#This Row],[Pedágio]],".",",",1)*1,0)</f>
        <v>0</v>
      </c>
      <c r="X139" s="86">
        <f>IFERROR(SUBSTITUTE(Tabela1[[#This Row],[Estacionamento]],".",",",1)*1,0)</f>
        <v>0</v>
      </c>
      <c r="Y139" s="86">
        <f>IFERROR(SUBSTITUTE(Tabela1[[#This Row],[Despesas Diversas 
(Jantar em viagem, Impressões, Etc)]],".",",",1)*1,0)</f>
        <v>0</v>
      </c>
      <c r="Z139" s="86">
        <f>IFERROR(SUBSTITUTE(Tabela1[[#This Row],[Hospedagem]],".",",",1)*1,0)</f>
        <v>0</v>
      </c>
      <c r="AA139" s="56" t="str">
        <f>IF(DAY(Tabela1[[#This Row],[Informe a data]])&lt;=15,"1ª Quinzena","2ª Quinzena")</f>
        <v>2ª Quinzena</v>
      </c>
      <c r="AB139" s="56" t="str">
        <f>UPPER(TEXT(Tabela1[[#This Row],[Informe a data]],"mmmm"))</f>
        <v>FEVEREIRO</v>
      </c>
      <c r="AC139" s="87" t="e">
        <f ca="1">_xlfn.CONCAT(Tabela1[[#This Row],[Selecione o Usuário]]," - ",TEXT(Tabela1[[#This Row],[Informe a data]],"dd-mm-aa"))</f>
        <v>#NAME?</v>
      </c>
    </row>
    <row r="140" spans="1:29">
      <c r="A140" s="89">
        <v>46079.610196759262</v>
      </c>
      <c r="B140" s="90" t="s">
        <v>607</v>
      </c>
      <c r="C140" s="90" t="s">
        <v>136</v>
      </c>
      <c r="D140" s="90" t="s">
        <v>177</v>
      </c>
      <c r="E140" s="91">
        <v>46079</v>
      </c>
      <c r="F140" s="92">
        <v>169936</v>
      </c>
      <c r="G140" s="93" t="s">
        <v>635</v>
      </c>
      <c r="H140" s="92">
        <v>170038</v>
      </c>
      <c r="I140" s="93" t="s">
        <v>636</v>
      </c>
      <c r="J140" s="90" t="s">
        <v>637</v>
      </c>
      <c r="K140" s="94"/>
      <c r="L140" s="90" t="s">
        <v>60</v>
      </c>
      <c r="M140" s="94"/>
      <c r="N140" s="94"/>
      <c r="O140" s="94"/>
      <c r="P140" s="94"/>
      <c r="Q140" s="94"/>
      <c r="R140" s="94"/>
      <c r="S140" s="94"/>
      <c r="T140" s="94"/>
      <c r="U140" s="85">
        <f>(Tabela1[[#This Row],[Informe o KM final do dia]]-Tabela1[[#This Row],[Informe o KM inicial do dia]])-Tabela1[[#This Row],[Caso tenha rodado particular alguma parte do trajeto, informe o total de KM a ser deduzido.]]</f>
        <v>102</v>
      </c>
      <c r="V140" s="55">
        <f>IF(Tabela1[[#This Row],[Informe a data]]&lt;DATE(2026,3,16), Tabela1[[#This Row],[KM Rodado]]*1.1, Tabela1[[#This Row],[KM Rodado]]*1.23)</f>
        <v>112.2</v>
      </c>
      <c r="W140" s="86">
        <f>IFERROR(SUBSTITUTE(Tabela1[[#This Row],[Pedágio]],".",",",1)*1,0)</f>
        <v>0</v>
      </c>
      <c r="X140" s="86">
        <f>IFERROR(SUBSTITUTE(Tabela1[[#This Row],[Estacionamento]],".",",",1)*1,0)</f>
        <v>0</v>
      </c>
      <c r="Y140" s="86">
        <f>IFERROR(SUBSTITUTE(Tabela1[[#This Row],[Despesas Diversas 
(Jantar em viagem, Impressões, Etc)]],".",",",1)*1,0)</f>
        <v>0</v>
      </c>
      <c r="Z140" s="86">
        <f>IFERROR(SUBSTITUTE(Tabela1[[#This Row],[Hospedagem]],".",",",1)*1,0)</f>
        <v>0</v>
      </c>
      <c r="AA140" s="56" t="str">
        <f>IF(DAY(Tabela1[[#This Row],[Informe a data]])&lt;=15,"1ª Quinzena","2ª Quinzena")</f>
        <v>2ª Quinzena</v>
      </c>
      <c r="AB140" s="56" t="str">
        <f>UPPER(TEXT(Tabela1[[#This Row],[Informe a data]],"mmmm"))</f>
        <v>FEVEREIRO</v>
      </c>
      <c r="AC140" s="87" t="e">
        <f ca="1">_xlfn.CONCAT(Tabela1[[#This Row],[Selecione o Usuário]]," - ",TEXT(Tabela1[[#This Row],[Informe a data]],"dd-mm-aa"))</f>
        <v>#NAME?</v>
      </c>
    </row>
    <row r="141" spans="1:29">
      <c r="A141" s="49">
        <v>46079.979444444441</v>
      </c>
      <c r="B141" s="50" t="s">
        <v>140</v>
      </c>
      <c r="C141" s="50" t="s">
        <v>141</v>
      </c>
      <c r="D141" s="50" t="s">
        <v>169</v>
      </c>
      <c r="E141" s="51">
        <v>46079</v>
      </c>
      <c r="F141" s="52">
        <v>2168</v>
      </c>
      <c r="G141" s="58" t="s">
        <v>638</v>
      </c>
      <c r="H141" s="52">
        <v>2263</v>
      </c>
      <c r="I141" s="58" t="s">
        <v>639</v>
      </c>
      <c r="J141" s="50" t="s">
        <v>640</v>
      </c>
      <c r="K141" s="53"/>
      <c r="L141" s="50" t="s">
        <v>60</v>
      </c>
      <c r="M141" s="53"/>
      <c r="N141" s="53"/>
      <c r="O141" s="53"/>
      <c r="P141" s="53"/>
      <c r="Q141" s="53"/>
      <c r="R141" s="53"/>
      <c r="S141" s="53"/>
      <c r="T141" s="53"/>
      <c r="U141" s="85">
        <f>(Tabela1[[#This Row],[Informe o KM final do dia]]-Tabela1[[#This Row],[Informe o KM inicial do dia]])-Tabela1[[#This Row],[Caso tenha rodado particular alguma parte do trajeto, informe o total de KM a ser deduzido.]]</f>
        <v>95</v>
      </c>
      <c r="V141" s="55">
        <f>IF(Tabela1[[#This Row],[Informe a data]]&lt;DATE(2026,3,16), Tabela1[[#This Row],[KM Rodado]]*1.1, Tabela1[[#This Row],[KM Rodado]]*1.23)</f>
        <v>104.50000000000001</v>
      </c>
      <c r="W141" s="86">
        <f>IFERROR(SUBSTITUTE(Tabela1[[#This Row],[Pedágio]],".",",",1)*1,0)</f>
        <v>0</v>
      </c>
      <c r="X141" s="86">
        <f>IFERROR(SUBSTITUTE(Tabela1[[#This Row],[Estacionamento]],".",",",1)*1,0)</f>
        <v>0</v>
      </c>
      <c r="Y141" s="86">
        <f>IFERROR(SUBSTITUTE(Tabela1[[#This Row],[Despesas Diversas 
(Jantar em viagem, Impressões, Etc)]],".",",",1)*1,0)</f>
        <v>0</v>
      </c>
      <c r="Z141" s="86">
        <f>IFERROR(SUBSTITUTE(Tabela1[[#This Row],[Hospedagem]],".",",",1)*1,0)</f>
        <v>0</v>
      </c>
      <c r="AA141" s="56" t="str">
        <f>IF(DAY(Tabela1[[#This Row],[Informe a data]])&lt;=15,"1ª Quinzena","2ª Quinzena")</f>
        <v>2ª Quinzena</v>
      </c>
      <c r="AB141" s="56" t="str">
        <f>UPPER(TEXT(Tabela1[[#This Row],[Informe a data]],"mmmm"))</f>
        <v>FEVEREIRO</v>
      </c>
      <c r="AC141" s="87" t="e">
        <f ca="1">_xlfn.CONCAT(Tabela1[[#This Row],[Selecione o Usuário]]," - ",TEXT(Tabela1[[#This Row],[Informe a data]],"dd-mm-aa"))</f>
        <v>#NAME?</v>
      </c>
    </row>
    <row r="142" spans="1:29">
      <c r="A142" s="49">
        <v>46082.474548611113</v>
      </c>
      <c r="B142" s="50" t="s">
        <v>469</v>
      </c>
      <c r="C142" s="50" t="s">
        <v>559</v>
      </c>
      <c r="D142" s="50" t="s">
        <v>560</v>
      </c>
      <c r="E142" s="51">
        <v>46080</v>
      </c>
      <c r="F142" s="52">
        <v>76045</v>
      </c>
      <c r="G142" s="53"/>
      <c r="H142" s="52">
        <v>76187</v>
      </c>
      <c r="I142" s="53"/>
      <c r="J142" s="50" t="s">
        <v>656</v>
      </c>
      <c r="K142" s="53"/>
      <c r="L142" s="50" t="s">
        <v>60</v>
      </c>
      <c r="M142" s="53"/>
      <c r="N142" s="53"/>
      <c r="O142" s="53"/>
      <c r="P142" s="53"/>
      <c r="Q142" s="53"/>
      <c r="R142" s="53"/>
      <c r="S142" s="53"/>
      <c r="T142" s="53"/>
      <c r="U142" s="85">
        <f>(Tabela1[[#This Row],[Informe o KM final do dia]]-Tabela1[[#This Row],[Informe o KM inicial do dia]])-Tabela1[[#This Row],[Caso tenha rodado particular alguma parte do trajeto, informe o total de KM a ser deduzido.]]</f>
        <v>142</v>
      </c>
      <c r="V142" s="55">
        <f>IF(Tabela1[[#This Row],[Informe a data]]&lt;DATE(2026,3,16), Tabela1[[#This Row],[KM Rodado]]*1.1, Tabela1[[#This Row],[KM Rodado]]*1.23)</f>
        <v>156.20000000000002</v>
      </c>
      <c r="W142" s="86">
        <f>IFERROR(SUBSTITUTE(Tabela1[[#This Row],[Pedágio]],".",",",1)*1,0)</f>
        <v>0</v>
      </c>
      <c r="X142" s="86">
        <f>IFERROR(SUBSTITUTE(Tabela1[[#This Row],[Estacionamento]],".",",",1)*1,0)</f>
        <v>0</v>
      </c>
      <c r="Y142" s="86">
        <f>IFERROR(SUBSTITUTE(Tabela1[[#This Row],[Despesas Diversas 
(Jantar em viagem, Impressões, Etc)]],".",",",1)*1,0)</f>
        <v>0</v>
      </c>
      <c r="Z142" s="86">
        <f>IFERROR(SUBSTITUTE(Tabela1[[#This Row],[Hospedagem]],".",",",1)*1,0)</f>
        <v>0</v>
      </c>
      <c r="AA142" s="56" t="str">
        <f>IF(DAY(Tabela1[[#This Row],[Informe a data]])&lt;=15,"1ª Quinzena","2ª Quinzena")</f>
        <v>2ª Quinzena</v>
      </c>
      <c r="AB142" s="56" t="str">
        <f>UPPER(TEXT(Tabela1[[#This Row],[Informe a data]],"mmmm"))</f>
        <v>FEVEREIRO</v>
      </c>
      <c r="AC142" s="87" t="e">
        <f ca="1">_xlfn.CONCAT(Tabela1[[#This Row],[Selecione o Usuário]]," - ",TEXT(Tabela1[[#This Row],[Informe a data]],"dd-mm-aa"))</f>
        <v>#NAME?</v>
      </c>
    </row>
    <row r="143" spans="1:29">
      <c r="A143" s="49">
        <v>46082.474548611113</v>
      </c>
      <c r="B143" s="50" t="s">
        <v>469</v>
      </c>
      <c r="C143" s="50" t="s">
        <v>559</v>
      </c>
      <c r="D143" s="50" t="s">
        <v>560</v>
      </c>
      <c r="E143" s="51">
        <v>46080</v>
      </c>
      <c r="F143" s="52">
        <v>76045</v>
      </c>
      <c r="G143" s="53"/>
      <c r="H143" s="52">
        <v>76187</v>
      </c>
      <c r="I143" s="53"/>
      <c r="J143" s="50" t="s">
        <v>656</v>
      </c>
      <c r="K143" s="53"/>
      <c r="L143" s="50" t="s">
        <v>60</v>
      </c>
      <c r="M143" s="53"/>
      <c r="N143" s="53"/>
      <c r="O143" s="53"/>
      <c r="P143" s="53"/>
      <c r="Q143" s="53"/>
      <c r="R143" s="53"/>
      <c r="S143" s="53"/>
      <c r="T143" s="53"/>
      <c r="U143" s="85">
        <f>(Tabela1[[#This Row],[Informe o KM final do dia]]-Tabela1[[#This Row],[Informe o KM inicial do dia]])-Tabela1[[#This Row],[Caso tenha rodado particular alguma parte do trajeto, informe o total de KM a ser deduzido.]]</f>
        <v>142</v>
      </c>
      <c r="V143" s="55">
        <f>IF(Tabela1[[#This Row],[Informe a data]]&lt;DATE(2026,3,16), Tabela1[[#This Row],[KM Rodado]]*1.1, Tabela1[[#This Row],[KM Rodado]]*1.23)</f>
        <v>156.20000000000002</v>
      </c>
      <c r="W143" s="86">
        <f>IFERROR(SUBSTITUTE(Tabela1[[#This Row],[Pedágio]],".",",",1)*1,0)</f>
        <v>0</v>
      </c>
      <c r="X143" s="86">
        <f>IFERROR(SUBSTITUTE(Tabela1[[#This Row],[Estacionamento]],".",",",1)*1,0)</f>
        <v>0</v>
      </c>
      <c r="Y143" s="86">
        <f>IFERROR(SUBSTITUTE(Tabela1[[#This Row],[Despesas Diversas 
(Jantar em viagem, Impressões, Etc)]],".",",",1)*1,0)</f>
        <v>0</v>
      </c>
      <c r="Z143" s="86">
        <f>IFERROR(SUBSTITUTE(Tabela1[[#This Row],[Hospedagem]],".",",",1)*1,0)</f>
        <v>0</v>
      </c>
      <c r="AA143" s="56" t="str">
        <f>IF(DAY(Tabela1[[#This Row],[Informe a data]])&lt;=15,"1ª Quinzena","2ª Quinzena")</f>
        <v>2ª Quinzena</v>
      </c>
      <c r="AB143" s="56" t="str">
        <f>UPPER(TEXT(Tabela1[[#This Row],[Informe a data]],"mmmm"))</f>
        <v>FEVEREIRO</v>
      </c>
      <c r="AC143" s="87" t="e">
        <f ca="1">_xlfn.CONCAT(Tabela1[[#This Row],[Selecione o Usuário]]," - ",TEXT(Tabela1[[#This Row],[Informe a data]],"dd-mm-aa"))</f>
        <v>#NAME?</v>
      </c>
    </row>
    <row r="144" spans="1:29">
      <c r="A144" s="110">
        <v>46081.3590625</v>
      </c>
      <c r="B144" s="106" t="s">
        <v>131</v>
      </c>
      <c r="C144" s="106" t="s">
        <v>132</v>
      </c>
      <c r="D144" s="106" t="s">
        <v>133</v>
      </c>
      <c r="E144" s="107">
        <v>46080</v>
      </c>
      <c r="F144" s="108">
        <v>189023</v>
      </c>
      <c r="G144" s="111" t="s">
        <v>650</v>
      </c>
      <c r="H144" s="108">
        <v>189089</v>
      </c>
      <c r="I144" s="111" t="s">
        <v>651</v>
      </c>
      <c r="J144" s="106" t="s">
        <v>652</v>
      </c>
      <c r="K144" s="109"/>
      <c r="L144" s="106" t="s">
        <v>60</v>
      </c>
      <c r="M144" s="109"/>
      <c r="N144" s="109"/>
      <c r="O144" s="109"/>
      <c r="P144" s="109"/>
      <c r="Q144" s="109"/>
      <c r="R144" s="109"/>
      <c r="S144" s="109"/>
      <c r="T144" s="109"/>
      <c r="U144" s="95">
        <f>(Tabela1[[#This Row],[Informe o KM final do dia]]-Tabela1[[#This Row],[Informe o KM inicial do dia]])-Tabela1[[#This Row],[Caso tenha rodado particular alguma parte do trajeto, informe o total de KM a ser deduzido.]]</f>
        <v>66</v>
      </c>
      <c r="V144" s="96">
        <f>IF(Tabela1[[#This Row],[Informe a data]]&lt;DATE(2026,3,16), Tabela1[[#This Row],[KM Rodado]]*1.1, Tabela1[[#This Row],[KM Rodado]]*1.23)</f>
        <v>72.600000000000009</v>
      </c>
      <c r="W144" s="97">
        <f>IFERROR(SUBSTITUTE(Tabela1[[#This Row],[Pedágio]],".",",",1)*1,0)</f>
        <v>0</v>
      </c>
      <c r="X144" s="97">
        <f>IFERROR(SUBSTITUTE(Tabela1[[#This Row],[Estacionamento]],".",",",1)*1,0)</f>
        <v>0</v>
      </c>
      <c r="Y144" s="97">
        <f>IFERROR(SUBSTITUTE(Tabela1[[#This Row],[Despesas Diversas 
(Jantar em viagem, Impressões, Etc)]],".",",",1)*1,0)</f>
        <v>0</v>
      </c>
      <c r="Z144" s="97">
        <f>IFERROR(SUBSTITUTE(Tabela1[[#This Row],[Hospedagem]],".",",",1)*1,0)</f>
        <v>0</v>
      </c>
      <c r="AA144" s="98" t="str">
        <f>IF(DAY(Tabela1[[#This Row],[Informe a data]])&lt;=15,"1ª Quinzena","2ª Quinzena")</f>
        <v>2ª Quinzena</v>
      </c>
      <c r="AB144" s="98" t="str">
        <f>UPPER(TEXT(Tabela1[[#This Row],[Informe a data]],"mmmm"))</f>
        <v>FEVEREIRO</v>
      </c>
      <c r="AC144" s="99" t="e">
        <f ca="1">_xlfn.CONCAT(Tabela1[[#This Row],[Selecione o Usuário]]," - ",TEXT(Tabela1[[#This Row],[Informe a data]],"dd-mm-aa"))</f>
        <v>#NAME?</v>
      </c>
    </row>
    <row r="145" spans="1:29">
      <c r="A145" s="89">
        <v>46081.692465277774</v>
      </c>
      <c r="B145" s="90" t="s">
        <v>504</v>
      </c>
      <c r="C145" s="90" t="s">
        <v>505</v>
      </c>
      <c r="D145" s="90" t="s">
        <v>506</v>
      </c>
      <c r="E145" s="91">
        <v>46080</v>
      </c>
      <c r="F145" s="92">
        <v>100652</v>
      </c>
      <c r="G145" s="93" t="s">
        <v>653</v>
      </c>
      <c r="H145" s="92">
        <v>100698</v>
      </c>
      <c r="I145" s="93" t="s">
        <v>654</v>
      </c>
      <c r="J145" s="90" t="s">
        <v>655</v>
      </c>
      <c r="K145" s="94"/>
      <c r="L145" s="90" t="s">
        <v>60</v>
      </c>
      <c r="M145" s="94"/>
      <c r="N145" s="94"/>
      <c r="O145" s="94"/>
      <c r="P145" s="94"/>
      <c r="Q145" s="94"/>
      <c r="R145" s="94"/>
      <c r="S145" s="94"/>
      <c r="T145" s="94"/>
      <c r="U145" s="85">
        <f>(Tabela1[[#This Row],[Informe o KM final do dia]]-Tabela1[[#This Row],[Informe o KM inicial do dia]])-Tabela1[[#This Row],[Caso tenha rodado particular alguma parte do trajeto, informe o total de KM a ser deduzido.]]</f>
        <v>46</v>
      </c>
      <c r="V145" s="55">
        <f>IF(Tabela1[[#This Row],[Informe a data]]&lt;DATE(2026,3,16), Tabela1[[#This Row],[KM Rodado]]*1.1, Tabela1[[#This Row],[KM Rodado]]*1.23)</f>
        <v>50.6</v>
      </c>
      <c r="W145" s="86">
        <f>IFERROR(SUBSTITUTE(Tabela1[[#This Row],[Pedágio]],".",",",1)*1,0)</f>
        <v>0</v>
      </c>
      <c r="X145" s="86">
        <f>IFERROR(SUBSTITUTE(Tabela1[[#This Row],[Estacionamento]],".",",",1)*1,0)</f>
        <v>0</v>
      </c>
      <c r="Y145" s="86">
        <f>IFERROR(SUBSTITUTE(Tabela1[[#This Row],[Despesas Diversas 
(Jantar em viagem, Impressões, Etc)]],".",",",1)*1,0)</f>
        <v>0</v>
      </c>
      <c r="Z145" s="86">
        <f>IFERROR(SUBSTITUTE(Tabela1[[#This Row],[Hospedagem]],".",",",1)*1,0)</f>
        <v>0</v>
      </c>
      <c r="AA145" s="56" t="str">
        <f>IF(DAY(Tabela1[[#This Row],[Informe a data]])&lt;=15,"1ª Quinzena","2ª Quinzena")</f>
        <v>2ª Quinzena</v>
      </c>
      <c r="AB145" s="56" t="str">
        <f>UPPER(TEXT(Tabela1[[#This Row],[Informe a data]],"mmmm"))</f>
        <v>FEVEREIRO</v>
      </c>
      <c r="AC145" s="87" t="e">
        <f ca="1">_xlfn.CONCAT(Tabela1[[#This Row],[Selecione o Usuário]]," - ",TEXT(Tabela1[[#This Row],[Informe a data]],"dd-mm-aa"))</f>
        <v>#NAME?</v>
      </c>
    </row>
    <row r="146" spans="1:29">
      <c r="A146" s="89">
        <v>46080.739884259259</v>
      </c>
      <c r="B146" s="90" t="s">
        <v>140</v>
      </c>
      <c r="C146" s="90" t="s">
        <v>141</v>
      </c>
      <c r="D146" s="90" t="s">
        <v>169</v>
      </c>
      <c r="E146" s="91">
        <v>46080</v>
      </c>
      <c r="F146" s="92">
        <v>240058</v>
      </c>
      <c r="G146" s="93" t="s">
        <v>647</v>
      </c>
      <c r="H146" s="92">
        <v>240226</v>
      </c>
      <c r="I146" s="93" t="s">
        <v>648</v>
      </c>
      <c r="J146" s="90" t="s">
        <v>649</v>
      </c>
      <c r="K146" s="94"/>
      <c r="L146" s="90" t="s">
        <v>60</v>
      </c>
      <c r="M146" s="94"/>
      <c r="N146" s="94"/>
      <c r="O146" s="94"/>
      <c r="P146" s="94"/>
      <c r="Q146" s="94"/>
      <c r="R146" s="94"/>
      <c r="S146" s="94"/>
      <c r="T146" s="94"/>
      <c r="U146" s="85">
        <f>(Tabela1[[#This Row],[Informe o KM final do dia]]-Tabela1[[#This Row],[Informe o KM inicial do dia]])-Tabela1[[#This Row],[Caso tenha rodado particular alguma parte do trajeto, informe o total de KM a ser deduzido.]]</f>
        <v>168</v>
      </c>
      <c r="V146" s="55">
        <f>IF(Tabela1[[#This Row],[Informe a data]]&lt;DATE(2026,3,16), Tabela1[[#This Row],[KM Rodado]]*1.1, Tabela1[[#This Row],[KM Rodado]]*1.23)</f>
        <v>184.8</v>
      </c>
      <c r="W146" s="86">
        <f>IFERROR(SUBSTITUTE(Tabela1[[#This Row],[Pedágio]],".",",",1)*1,0)</f>
        <v>0</v>
      </c>
      <c r="X146" s="86">
        <f>IFERROR(SUBSTITUTE(Tabela1[[#This Row],[Estacionamento]],".",",",1)*1,0)</f>
        <v>0</v>
      </c>
      <c r="Y146" s="86">
        <f>IFERROR(SUBSTITUTE(Tabela1[[#This Row],[Despesas Diversas 
(Jantar em viagem, Impressões, Etc)]],".",",",1)*1,0)</f>
        <v>0</v>
      </c>
      <c r="Z146" s="86">
        <f>IFERROR(SUBSTITUTE(Tabela1[[#This Row],[Hospedagem]],".",",",1)*1,0)</f>
        <v>0</v>
      </c>
      <c r="AA146" s="56" t="str">
        <f>IF(DAY(Tabela1[[#This Row],[Informe a data]])&lt;=15,"1ª Quinzena","2ª Quinzena")</f>
        <v>2ª Quinzena</v>
      </c>
      <c r="AB146" s="56" t="str">
        <f>UPPER(TEXT(Tabela1[[#This Row],[Informe a data]],"mmmm"))</f>
        <v>FEVEREIRO</v>
      </c>
      <c r="AC146" s="87" t="e">
        <f ca="1">_xlfn.CONCAT(Tabela1[[#This Row],[Selecione o Usuário]]," - ",TEXT(Tabela1[[#This Row],[Informe a data]],"dd-mm-aa"))</f>
        <v>#NAME?</v>
      </c>
    </row>
    <row r="147" spans="1:29">
      <c r="A147" s="49">
        <v>46081.694490740738</v>
      </c>
      <c r="B147" s="50" t="s">
        <v>504</v>
      </c>
      <c r="C147" s="50" t="s">
        <v>505</v>
      </c>
      <c r="D147" s="50" t="s">
        <v>506</v>
      </c>
      <c r="E147" s="51">
        <v>46081</v>
      </c>
      <c r="F147" s="52">
        <v>100703</v>
      </c>
      <c r="G147" s="58" t="s">
        <v>660</v>
      </c>
      <c r="H147" s="52">
        <v>100798</v>
      </c>
      <c r="I147" s="58" t="s">
        <v>661</v>
      </c>
      <c r="J147" s="50" t="s">
        <v>662</v>
      </c>
      <c r="K147" s="53"/>
      <c r="L147" s="50" t="s">
        <v>60</v>
      </c>
      <c r="M147" s="53"/>
      <c r="N147" s="53"/>
      <c r="O147" s="53"/>
      <c r="P147" s="53"/>
      <c r="Q147" s="53"/>
      <c r="R147" s="53"/>
      <c r="S147" s="53"/>
      <c r="T147" s="53"/>
      <c r="U147" s="85">
        <f>(Tabela1[[#This Row],[Informe o KM final do dia]]-Tabela1[[#This Row],[Informe o KM inicial do dia]])-Tabela1[[#This Row],[Caso tenha rodado particular alguma parte do trajeto, informe o total de KM a ser deduzido.]]</f>
        <v>95</v>
      </c>
      <c r="V147" s="55">
        <f>IF(Tabela1[[#This Row],[Informe a data]]&lt;DATE(2026,3,16), Tabela1[[#This Row],[KM Rodado]]*1.1, Tabela1[[#This Row],[KM Rodado]]*1.23)</f>
        <v>104.50000000000001</v>
      </c>
      <c r="W147" s="86">
        <f>IFERROR(SUBSTITUTE(Tabela1[[#This Row],[Pedágio]],".",",",1)*1,0)</f>
        <v>0</v>
      </c>
      <c r="X147" s="86">
        <f>IFERROR(SUBSTITUTE(Tabela1[[#This Row],[Estacionamento]],".",",",1)*1,0)</f>
        <v>0</v>
      </c>
      <c r="Y147" s="86">
        <f>IFERROR(SUBSTITUTE(Tabela1[[#This Row],[Despesas Diversas 
(Jantar em viagem, Impressões, Etc)]],".",",",1)*1,0)</f>
        <v>0</v>
      </c>
      <c r="Z147" s="86">
        <f>IFERROR(SUBSTITUTE(Tabela1[[#This Row],[Hospedagem]],".",",",1)*1,0)</f>
        <v>0</v>
      </c>
      <c r="AA147" s="56" t="str">
        <f>IF(DAY(Tabela1[[#This Row],[Informe a data]])&lt;=15,"1ª Quinzena","2ª Quinzena")</f>
        <v>2ª Quinzena</v>
      </c>
      <c r="AB147" s="56" t="str">
        <f>UPPER(TEXT(Tabela1[[#This Row],[Informe a data]],"mmmm"))</f>
        <v>FEVEREIRO</v>
      </c>
      <c r="AC147" s="87" t="e">
        <f ca="1">_xlfn.CONCAT(Tabela1[[#This Row],[Selecione o Usuário]]," - ",TEXT(Tabela1[[#This Row],[Informe a data]],"dd-mm-aa"))</f>
        <v>#NAME?</v>
      </c>
    </row>
    <row r="148" spans="1:29">
      <c r="A148" s="89">
        <v>46081.468819444446</v>
      </c>
      <c r="B148" s="90" t="s">
        <v>140</v>
      </c>
      <c r="C148" s="90" t="s">
        <v>141</v>
      </c>
      <c r="D148" s="90" t="s">
        <v>169</v>
      </c>
      <c r="E148" s="91">
        <v>46081</v>
      </c>
      <c r="F148" s="92">
        <v>2263</v>
      </c>
      <c r="G148" s="93" t="s">
        <v>657</v>
      </c>
      <c r="H148" s="92">
        <v>2337</v>
      </c>
      <c r="I148" s="93" t="s">
        <v>658</v>
      </c>
      <c r="J148" s="90" t="s">
        <v>659</v>
      </c>
      <c r="K148" s="94"/>
      <c r="L148" s="90" t="s">
        <v>60</v>
      </c>
      <c r="M148" s="94"/>
      <c r="N148" s="94"/>
      <c r="O148" s="94"/>
      <c r="P148" s="94"/>
      <c r="Q148" s="94"/>
      <c r="R148" s="94"/>
      <c r="S148" s="94"/>
      <c r="T148" s="94"/>
      <c r="U148" s="85">
        <f>(Tabela1[[#This Row],[Informe o KM final do dia]]-Tabela1[[#This Row],[Informe o KM inicial do dia]])-Tabela1[[#This Row],[Caso tenha rodado particular alguma parte do trajeto, informe o total de KM a ser deduzido.]]</f>
        <v>74</v>
      </c>
      <c r="V148" s="55">
        <f>IF(Tabela1[[#This Row],[Informe a data]]&lt;DATE(2026,3,16), Tabela1[[#This Row],[KM Rodado]]*1.1, Tabela1[[#This Row],[KM Rodado]]*1.23)</f>
        <v>81.400000000000006</v>
      </c>
      <c r="W148" s="86">
        <f>IFERROR(SUBSTITUTE(Tabela1[[#This Row],[Pedágio]],".",",",1)*1,0)</f>
        <v>0</v>
      </c>
      <c r="X148" s="86">
        <f>IFERROR(SUBSTITUTE(Tabela1[[#This Row],[Estacionamento]],".",",",1)*1,0)</f>
        <v>0</v>
      </c>
      <c r="Y148" s="86">
        <f>IFERROR(SUBSTITUTE(Tabela1[[#This Row],[Despesas Diversas 
(Jantar em viagem, Impressões, Etc)]],".",",",1)*1,0)</f>
        <v>0</v>
      </c>
      <c r="Z148" s="86">
        <f>IFERROR(SUBSTITUTE(Tabela1[[#This Row],[Hospedagem]],".",",",1)*1,0)</f>
        <v>0</v>
      </c>
      <c r="AA148" s="56" t="str">
        <f>IF(DAY(Tabela1[[#This Row],[Informe a data]])&lt;=15,"1ª Quinzena","2ª Quinzena")</f>
        <v>2ª Quinzena</v>
      </c>
      <c r="AB148" s="56" t="str">
        <f>UPPER(TEXT(Tabela1[[#This Row],[Informe a data]],"mmmm"))</f>
        <v>FEVEREIRO</v>
      </c>
      <c r="AC148" s="87" t="e">
        <f ca="1">_xlfn.CONCAT(Tabela1[[#This Row],[Selecione o Usuário]]," - ",TEXT(Tabela1[[#This Row],[Informe a data]],"dd-mm-aa"))</f>
        <v>#NAME?</v>
      </c>
    </row>
    <row r="149" spans="1:29">
      <c r="A149" s="49">
        <v>46085.672754629632</v>
      </c>
      <c r="B149" s="50" t="s">
        <v>497</v>
      </c>
      <c r="C149" s="50" t="s">
        <v>498</v>
      </c>
      <c r="D149" s="50" t="s">
        <v>499</v>
      </c>
      <c r="E149" s="51">
        <v>46083</v>
      </c>
      <c r="F149" s="52">
        <v>303416</v>
      </c>
      <c r="G149" s="58" t="s">
        <v>663</v>
      </c>
      <c r="H149" s="52">
        <v>303428</v>
      </c>
      <c r="I149" s="58" t="s">
        <v>664</v>
      </c>
      <c r="J149" s="50" t="s">
        <v>665</v>
      </c>
      <c r="K149" s="53"/>
      <c r="L149" s="50" t="s">
        <v>60</v>
      </c>
      <c r="M149" s="53"/>
      <c r="N149" s="53"/>
      <c r="O149" s="53"/>
      <c r="P149" s="53"/>
      <c r="Q149" s="53"/>
      <c r="R149" s="53"/>
      <c r="S149" s="53"/>
      <c r="T149" s="53"/>
      <c r="U149" s="85">
        <f>(Tabela1[[#This Row],[Informe o KM final do dia]]-Tabela1[[#This Row],[Informe o KM inicial do dia]])-Tabela1[[#This Row],[Caso tenha rodado particular alguma parte do trajeto, informe o total de KM a ser deduzido.]]</f>
        <v>12</v>
      </c>
      <c r="V149" s="55">
        <f>IF(Tabela1[[#This Row],[Informe a data]]&lt;DATE(2026,3,16), Tabela1[[#This Row],[KM Rodado]]*1.1, Tabela1[[#This Row],[KM Rodado]]*1.23)</f>
        <v>13.200000000000001</v>
      </c>
      <c r="W149" s="86">
        <f>IFERROR(SUBSTITUTE(Tabela1[[#This Row],[Pedágio]],".",",",1)*1,0)</f>
        <v>0</v>
      </c>
      <c r="X149" s="86">
        <f>IFERROR(SUBSTITUTE(Tabela1[[#This Row],[Estacionamento]],".",",",1)*1,0)</f>
        <v>0</v>
      </c>
      <c r="Y149" s="86">
        <f>IFERROR(SUBSTITUTE(Tabela1[[#This Row],[Despesas Diversas 
(Jantar em viagem, Impressões, Etc)]],".",",",1)*1,0)</f>
        <v>0</v>
      </c>
      <c r="Z149" s="86">
        <f>IFERROR(SUBSTITUTE(Tabela1[[#This Row],[Hospedagem]],".",",",1)*1,0)</f>
        <v>0</v>
      </c>
      <c r="AA149" s="56" t="str">
        <f>IF(DAY(Tabela1[[#This Row],[Informe a data]])&lt;=15,"1ª Quinzena","2ª Quinzena")</f>
        <v>1ª Quinzena</v>
      </c>
      <c r="AB149" s="56" t="str">
        <f>UPPER(TEXT(Tabela1[[#This Row],[Informe a data]],"mmmm"))</f>
        <v>MARÇO</v>
      </c>
      <c r="AC149" s="87" t="e">
        <f ca="1">_xlfn.CONCAT(Tabela1[[#This Row],[Selecione o Usuário]]," - ",TEXT(Tabela1[[#This Row],[Informe a data]],"dd-mm-aa"))</f>
        <v>#NAME?</v>
      </c>
    </row>
    <row r="150" spans="1:29">
      <c r="A150" s="89">
        <v>46088.472905092596</v>
      </c>
      <c r="B150" s="90" t="s">
        <v>504</v>
      </c>
      <c r="C150" s="90" t="s">
        <v>505</v>
      </c>
      <c r="D150" s="90" t="s">
        <v>506</v>
      </c>
      <c r="E150" s="91">
        <v>46083</v>
      </c>
      <c r="F150" s="92">
        <v>100802</v>
      </c>
      <c r="G150" s="93" t="s">
        <v>704</v>
      </c>
      <c r="H150" s="92">
        <v>100830</v>
      </c>
      <c r="I150" s="93" t="s">
        <v>705</v>
      </c>
      <c r="J150" s="90" t="s">
        <v>706</v>
      </c>
      <c r="K150" s="94"/>
      <c r="L150" s="90" t="s">
        <v>60</v>
      </c>
      <c r="M150" s="94"/>
      <c r="N150" s="94"/>
      <c r="O150" s="94"/>
      <c r="P150" s="94"/>
      <c r="Q150" s="94"/>
      <c r="R150" s="94"/>
      <c r="S150" s="94"/>
      <c r="T150" s="94"/>
      <c r="U150" s="85">
        <f>(Tabela1[[#This Row],[Informe o KM final do dia]]-Tabela1[[#This Row],[Informe o KM inicial do dia]])-Tabela1[[#This Row],[Caso tenha rodado particular alguma parte do trajeto, informe o total de KM a ser deduzido.]]</f>
        <v>28</v>
      </c>
      <c r="V150" s="55">
        <f>IF(Tabela1[[#This Row],[Informe a data]]&lt;DATE(2026,3,16), Tabela1[[#This Row],[KM Rodado]]*1.1, Tabela1[[#This Row],[KM Rodado]]*1.23)</f>
        <v>30.800000000000004</v>
      </c>
      <c r="W150" s="86">
        <f>IFERROR(SUBSTITUTE(Tabela1[[#This Row],[Pedágio]],".",",",1)*1,0)</f>
        <v>0</v>
      </c>
      <c r="X150" s="86">
        <f>IFERROR(SUBSTITUTE(Tabela1[[#This Row],[Estacionamento]],".",",",1)*1,0)</f>
        <v>0</v>
      </c>
      <c r="Y150" s="86">
        <f>IFERROR(SUBSTITUTE(Tabela1[[#This Row],[Despesas Diversas 
(Jantar em viagem, Impressões, Etc)]],".",",",1)*1,0)</f>
        <v>0</v>
      </c>
      <c r="Z150" s="86">
        <f>IFERROR(SUBSTITUTE(Tabela1[[#This Row],[Hospedagem]],".",",",1)*1,0)</f>
        <v>0</v>
      </c>
      <c r="AA150" s="56" t="str">
        <f>IF(DAY(Tabela1[[#This Row],[Informe a data]])&lt;=15,"1ª Quinzena","2ª Quinzena")</f>
        <v>1ª Quinzena</v>
      </c>
      <c r="AB150" s="56" t="str">
        <f>UPPER(TEXT(Tabela1[[#This Row],[Informe a data]],"mmmm"))</f>
        <v>MARÇO</v>
      </c>
      <c r="AC150" s="87" t="e">
        <f ca="1">_xlfn.CONCAT(Tabela1[[#This Row],[Selecione o Usuário]]," - ",TEXT(Tabela1[[#This Row],[Informe a data]],"dd-mm-aa"))</f>
        <v>#NAME?</v>
      </c>
    </row>
    <row r="151" spans="1:29">
      <c r="A151" s="49">
        <v>46087.412916666668</v>
      </c>
      <c r="B151" s="50" t="s">
        <v>300</v>
      </c>
      <c r="C151" s="50" t="s">
        <v>250</v>
      </c>
      <c r="D151" s="50" t="s">
        <v>228</v>
      </c>
      <c r="E151" s="51">
        <v>46083</v>
      </c>
      <c r="F151" s="52">
        <v>122310</v>
      </c>
      <c r="G151" s="58" t="s">
        <v>678</v>
      </c>
      <c r="H151" s="52">
        <v>122495</v>
      </c>
      <c r="I151" s="58" t="s">
        <v>679</v>
      </c>
      <c r="J151" s="50" t="s">
        <v>680</v>
      </c>
      <c r="K151" s="53"/>
      <c r="L151" s="50" t="s">
        <v>61</v>
      </c>
      <c r="M151" s="53"/>
      <c r="N151" s="53"/>
      <c r="O151" s="50" t="s">
        <v>681</v>
      </c>
      <c r="P151" s="58" t="s">
        <v>682</v>
      </c>
      <c r="Q151" s="50" t="s">
        <v>683</v>
      </c>
      <c r="R151" s="58" t="s">
        <v>684</v>
      </c>
      <c r="S151" s="53"/>
      <c r="T151" s="53"/>
      <c r="U151" s="85">
        <f>(Tabela1[[#This Row],[Informe o KM final do dia]]-Tabela1[[#This Row],[Informe o KM inicial do dia]])-Tabela1[[#This Row],[Caso tenha rodado particular alguma parte do trajeto, informe o total de KM a ser deduzido.]]</f>
        <v>185</v>
      </c>
      <c r="V151" s="55">
        <f>IF(Tabela1[[#This Row],[Informe a data]]&lt;DATE(2026,3,16), Tabela1[[#This Row],[KM Rodado]]*1.1, Tabela1[[#This Row],[KM Rodado]]*1.23)</f>
        <v>203.50000000000003</v>
      </c>
      <c r="W151" s="86">
        <f>IFERROR(SUBSTITUTE(Tabela1[[#This Row],[Pedágio]],".",",",1)*1,0)</f>
        <v>0</v>
      </c>
      <c r="X151" s="86">
        <f>IFERROR(SUBSTITUTE(Tabela1[[#This Row],[Estacionamento]],".",",",1)*1,0)</f>
        <v>8</v>
      </c>
      <c r="Y151" s="86">
        <f>IFERROR(SUBSTITUTE(Tabela1[[#This Row],[Despesas Diversas 
(Jantar em viagem, Impressões, Etc)]],".",",",1)*1,0)</f>
        <v>18.25</v>
      </c>
      <c r="Z151" s="86">
        <f>IFERROR(SUBSTITUTE(Tabela1[[#This Row],[Hospedagem]],".",",",1)*1,0)</f>
        <v>0</v>
      </c>
      <c r="AA151" s="56" t="str">
        <f>IF(DAY(Tabela1[[#This Row],[Informe a data]])&lt;=15,"1ª Quinzena","2ª Quinzena")</f>
        <v>1ª Quinzena</v>
      </c>
      <c r="AB151" s="56" t="str">
        <f>UPPER(TEXT(Tabela1[[#This Row],[Informe a data]],"mmmm"))</f>
        <v>MARÇO</v>
      </c>
      <c r="AC151" s="87" t="e">
        <f ca="1">_xlfn.CONCAT(Tabela1[[#This Row],[Selecione o Usuário]]," - ",TEXT(Tabela1[[#This Row],[Informe a data]],"dd-mm-aa"))</f>
        <v>#NAME?</v>
      </c>
    </row>
    <row r="152" spans="1:29">
      <c r="A152" s="89">
        <v>46085.676377314812</v>
      </c>
      <c r="B152" s="90" t="s">
        <v>497</v>
      </c>
      <c r="C152" s="90" t="s">
        <v>498</v>
      </c>
      <c r="D152" s="90" t="s">
        <v>499</v>
      </c>
      <c r="E152" s="91">
        <v>46084</v>
      </c>
      <c r="F152" s="92">
        <v>303467</v>
      </c>
      <c r="G152" s="93" t="s">
        <v>666</v>
      </c>
      <c r="H152" s="92">
        <v>303839</v>
      </c>
      <c r="I152" s="93" t="s">
        <v>667</v>
      </c>
      <c r="J152" s="90" t="s">
        <v>668</v>
      </c>
      <c r="K152" s="94"/>
      <c r="L152" s="90" t="s">
        <v>61</v>
      </c>
      <c r="M152" s="90" t="s">
        <v>669</v>
      </c>
      <c r="N152" s="90" t="s">
        <v>670</v>
      </c>
      <c r="O152" s="94"/>
      <c r="P152" s="94"/>
      <c r="Q152" s="94"/>
      <c r="R152" s="94"/>
      <c r="S152" s="94"/>
      <c r="T152" s="94" t="s">
        <v>671</v>
      </c>
      <c r="U152" s="85">
        <f>(Tabela1[[#This Row],[Informe o KM final do dia]]-Tabela1[[#This Row],[Informe o KM inicial do dia]])-Tabela1[[#This Row],[Caso tenha rodado particular alguma parte do trajeto, informe o total de KM a ser deduzido.]]</f>
        <v>372</v>
      </c>
      <c r="V152" s="55">
        <f>IF(Tabela1[[#This Row],[Informe a data]]&lt;DATE(2026,3,16), Tabela1[[#This Row],[KM Rodado]]*1.1, Tabela1[[#This Row],[KM Rodado]]*1.23)</f>
        <v>409.20000000000005</v>
      </c>
      <c r="W152" s="86">
        <f>IFERROR(SUBSTITUTE(Tabela1[[#This Row],[Pedágio]],".",",",1)*1,0)</f>
        <v>20.8</v>
      </c>
      <c r="X152" s="86">
        <f>IFERROR(SUBSTITUTE(Tabela1[[#This Row],[Estacionamento]],".",",",1)*1,0)</f>
        <v>0</v>
      </c>
      <c r="Y152" s="86">
        <f>IFERROR(SUBSTITUTE(Tabela1[[#This Row],[Despesas Diversas 
(Jantar em viagem, Impressões, Etc)]],".",",",1)*1,0)</f>
        <v>0</v>
      </c>
      <c r="Z152" s="86">
        <f>IFERROR(SUBSTITUTE(Tabela1[[#This Row],[Hospedagem]],".",",",1)*1,0)</f>
        <v>0</v>
      </c>
      <c r="AA152" s="56" t="str">
        <f>IF(DAY(Tabela1[[#This Row],[Informe a data]])&lt;=15,"1ª Quinzena","2ª Quinzena")</f>
        <v>1ª Quinzena</v>
      </c>
      <c r="AB152" s="56" t="str">
        <f>UPPER(TEXT(Tabela1[[#This Row],[Informe a data]],"mmmm"))</f>
        <v>MARÇO</v>
      </c>
      <c r="AC152" s="87" t="e">
        <f ca="1">_xlfn.CONCAT(Tabela1[[#This Row],[Selecione o Usuário]]," - ",TEXT(Tabela1[[#This Row],[Informe a data]],"dd-mm-aa"))</f>
        <v>#NAME?</v>
      </c>
    </row>
    <row r="153" spans="1:29">
      <c r="A153" s="89">
        <v>46087.41778935185</v>
      </c>
      <c r="B153" s="90" t="s">
        <v>300</v>
      </c>
      <c r="C153" s="90" t="s">
        <v>250</v>
      </c>
      <c r="D153" s="90" t="s">
        <v>228</v>
      </c>
      <c r="E153" s="91">
        <v>46084</v>
      </c>
      <c r="F153" s="92">
        <v>122537</v>
      </c>
      <c r="G153" s="93" t="s">
        <v>685</v>
      </c>
      <c r="H153" s="92">
        <v>122672</v>
      </c>
      <c r="I153" s="93" t="s">
        <v>686</v>
      </c>
      <c r="J153" s="90" t="s">
        <v>687</v>
      </c>
      <c r="K153" s="94"/>
      <c r="L153" s="90" t="s">
        <v>60</v>
      </c>
      <c r="M153" s="94"/>
      <c r="N153" s="94"/>
      <c r="O153" s="94"/>
      <c r="P153" s="94"/>
      <c r="Q153" s="94"/>
      <c r="R153" s="94"/>
      <c r="S153" s="94"/>
      <c r="T153" s="94"/>
      <c r="U153" s="85">
        <f>(Tabela1[[#This Row],[Informe o KM final do dia]]-Tabela1[[#This Row],[Informe o KM inicial do dia]])-Tabela1[[#This Row],[Caso tenha rodado particular alguma parte do trajeto, informe o total de KM a ser deduzido.]]</f>
        <v>135</v>
      </c>
      <c r="V153" s="55">
        <f>IF(Tabela1[[#This Row],[Informe a data]]&lt;DATE(2026,3,16), Tabela1[[#This Row],[KM Rodado]]*1.1, Tabela1[[#This Row],[KM Rodado]]*1.23)</f>
        <v>148.5</v>
      </c>
      <c r="W153" s="86">
        <f>IFERROR(SUBSTITUTE(Tabela1[[#This Row],[Pedágio]],".",",",1)*1,0)</f>
        <v>0</v>
      </c>
      <c r="X153" s="86">
        <f>IFERROR(SUBSTITUTE(Tabela1[[#This Row],[Estacionamento]],".",",",1)*1,0)</f>
        <v>0</v>
      </c>
      <c r="Y153" s="86">
        <f>IFERROR(SUBSTITUTE(Tabela1[[#This Row],[Despesas Diversas 
(Jantar em viagem, Impressões, Etc)]],".",",",1)*1,0)</f>
        <v>0</v>
      </c>
      <c r="Z153" s="86">
        <f>IFERROR(SUBSTITUTE(Tabela1[[#This Row],[Hospedagem]],".",",",1)*1,0)</f>
        <v>0</v>
      </c>
      <c r="AA153" s="56" t="str">
        <f>IF(DAY(Tabela1[[#This Row],[Informe a data]])&lt;=15,"1ª Quinzena","2ª Quinzena")</f>
        <v>1ª Quinzena</v>
      </c>
      <c r="AB153" s="56" t="str">
        <f>UPPER(TEXT(Tabela1[[#This Row],[Informe a data]],"mmmm"))</f>
        <v>MARÇO</v>
      </c>
      <c r="AC153" s="87" t="e">
        <f ca="1">_xlfn.CONCAT(Tabela1[[#This Row],[Selecione o Usuário]]," - ",TEXT(Tabela1[[#This Row],[Informe a data]],"dd-mm-aa"))</f>
        <v>#NAME?</v>
      </c>
    </row>
    <row r="154" spans="1:29">
      <c r="A154" s="89">
        <v>46096.715497685182</v>
      </c>
      <c r="B154" s="90" t="s">
        <v>469</v>
      </c>
      <c r="C154" s="90" t="s">
        <v>559</v>
      </c>
      <c r="D154" s="90" t="s">
        <v>560</v>
      </c>
      <c r="E154" s="91">
        <v>46085</v>
      </c>
      <c r="F154" s="92">
        <v>76233</v>
      </c>
      <c r="G154" s="94"/>
      <c r="H154" s="92">
        <v>76394</v>
      </c>
      <c r="I154" s="94"/>
      <c r="J154" s="90" t="s">
        <v>778</v>
      </c>
      <c r="K154" s="94"/>
      <c r="L154" s="90" t="s">
        <v>60</v>
      </c>
      <c r="M154" s="94"/>
      <c r="N154" s="94"/>
      <c r="O154" s="94"/>
      <c r="P154" s="94"/>
      <c r="Q154" s="94"/>
      <c r="R154" s="94"/>
      <c r="S154" s="94"/>
      <c r="T154" s="94"/>
      <c r="U154" s="85">
        <f>(Tabela1[[#This Row],[Informe o KM final do dia]]-Tabela1[[#This Row],[Informe o KM inicial do dia]])-Tabela1[[#This Row],[Caso tenha rodado particular alguma parte do trajeto, informe o total de KM a ser deduzido.]]</f>
        <v>161</v>
      </c>
      <c r="V154" s="55">
        <f>IF(Tabela1[[#This Row],[Informe a data]]&lt;DATE(2026,3,16), Tabela1[[#This Row],[KM Rodado]]*1.1, Tabela1[[#This Row],[KM Rodado]]*1.23)</f>
        <v>177.10000000000002</v>
      </c>
      <c r="W154" s="86">
        <f>IFERROR(SUBSTITUTE(Tabela1[[#This Row],[Pedágio]],".",",",1)*1,0)</f>
        <v>0</v>
      </c>
      <c r="X154" s="86">
        <f>IFERROR(SUBSTITUTE(Tabela1[[#This Row],[Estacionamento]],".",",",1)*1,0)</f>
        <v>0</v>
      </c>
      <c r="Y154" s="86">
        <f>IFERROR(SUBSTITUTE(Tabela1[[#This Row],[Despesas Diversas 
(Jantar em viagem, Impressões, Etc)]],".",",",1)*1,0)</f>
        <v>0</v>
      </c>
      <c r="Z154" s="86">
        <f>IFERROR(SUBSTITUTE(Tabela1[[#This Row],[Hospedagem]],".",",",1)*1,0)</f>
        <v>0</v>
      </c>
      <c r="AA154" s="56" t="str">
        <f>IF(DAY(Tabela1[[#This Row],[Informe a data]])&lt;=15,"1ª Quinzena","2ª Quinzena")</f>
        <v>1ª Quinzena</v>
      </c>
      <c r="AB154" s="56" t="str">
        <f>UPPER(TEXT(Tabela1[[#This Row],[Informe a data]],"mmmm"))</f>
        <v>MARÇO</v>
      </c>
      <c r="AC154" s="87" t="e">
        <f ca="1">_xlfn.CONCAT(Tabela1[[#This Row],[Selecione o Usuário]]," - ",TEXT(Tabela1[[#This Row],[Informe a data]],"dd-mm-aa"))</f>
        <v>#NAME?</v>
      </c>
    </row>
    <row r="155" spans="1:29">
      <c r="A155" s="49">
        <v>46088.477685185186</v>
      </c>
      <c r="B155" s="50" t="s">
        <v>504</v>
      </c>
      <c r="C155" s="50" t="s">
        <v>505</v>
      </c>
      <c r="D155" s="50" t="s">
        <v>506</v>
      </c>
      <c r="E155" s="51">
        <v>46085</v>
      </c>
      <c r="F155" s="52">
        <v>100984</v>
      </c>
      <c r="G155" s="58" t="s">
        <v>707</v>
      </c>
      <c r="H155" s="52">
        <v>101000</v>
      </c>
      <c r="I155" s="58" t="s">
        <v>708</v>
      </c>
      <c r="J155" s="50" t="s">
        <v>709</v>
      </c>
      <c r="K155" s="53"/>
      <c r="L155" s="50" t="s">
        <v>61</v>
      </c>
      <c r="M155" s="53"/>
      <c r="N155" s="53"/>
      <c r="O155" s="53"/>
      <c r="P155" s="53"/>
      <c r="Q155" s="52">
        <v>9</v>
      </c>
      <c r="R155" s="58" t="s">
        <v>710</v>
      </c>
      <c r="S155" s="53"/>
      <c r="T155" s="53"/>
      <c r="U155" s="85">
        <f>(Tabela1[[#This Row],[Informe o KM final do dia]]-Tabela1[[#This Row],[Informe o KM inicial do dia]])-Tabela1[[#This Row],[Caso tenha rodado particular alguma parte do trajeto, informe o total de KM a ser deduzido.]]</f>
        <v>16</v>
      </c>
      <c r="V155" s="55">
        <f>IF(Tabela1[[#This Row],[Informe a data]]&lt;DATE(2026,3,16), Tabela1[[#This Row],[KM Rodado]]*1.1, Tabela1[[#This Row],[KM Rodado]]*1.23)</f>
        <v>17.600000000000001</v>
      </c>
      <c r="W155" s="86">
        <f>IFERROR(SUBSTITUTE(Tabela1[[#This Row],[Pedágio]],".",",",1)*1,0)</f>
        <v>0</v>
      </c>
      <c r="X155" s="86">
        <f>IFERROR(SUBSTITUTE(Tabela1[[#This Row],[Estacionamento]],".",",",1)*1,0)</f>
        <v>0</v>
      </c>
      <c r="Y155" s="86">
        <f>IFERROR(SUBSTITUTE(Tabela1[[#This Row],[Despesas Diversas 
(Jantar em viagem, Impressões, Etc)]],".",",",1)*1,0)</f>
        <v>9</v>
      </c>
      <c r="Z155" s="86">
        <f>IFERROR(SUBSTITUTE(Tabela1[[#This Row],[Hospedagem]],".",",",1)*1,0)</f>
        <v>0</v>
      </c>
      <c r="AA155" s="56" t="str">
        <f>IF(DAY(Tabela1[[#This Row],[Informe a data]])&lt;=15,"1ª Quinzena","2ª Quinzena")</f>
        <v>1ª Quinzena</v>
      </c>
      <c r="AB155" s="56" t="str">
        <f>UPPER(TEXT(Tabela1[[#This Row],[Informe a data]],"mmmm"))</f>
        <v>MARÇO</v>
      </c>
      <c r="AC155" s="87" t="e">
        <f ca="1">_xlfn.CONCAT(Tabela1[[#This Row],[Selecione o Usuário]]," - ",TEXT(Tabela1[[#This Row],[Informe a data]],"dd-mm-aa"))</f>
        <v>#NAME?</v>
      </c>
    </row>
    <row r="156" spans="1:29">
      <c r="A156" s="49">
        <v>46087.42046296296</v>
      </c>
      <c r="B156" s="50" t="s">
        <v>300</v>
      </c>
      <c r="C156" s="50" t="s">
        <v>250</v>
      </c>
      <c r="D156" s="50" t="s">
        <v>228</v>
      </c>
      <c r="E156" s="51">
        <v>46085</v>
      </c>
      <c r="F156" s="52">
        <v>122674</v>
      </c>
      <c r="G156" s="58" t="s">
        <v>688</v>
      </c>
      <c r="H156" s="52">
        <v>122917</v>
      </c>
      <c r="I156" s="58" t="s">
        <v>689</v>
      </c>
      <c r="J156" s="50" t="s">
        <v>690</v>
      </c>
      <c r="K156" s="53"/>
      <c r="L156" s="50" t="s">
        <v>60</v>
      </c>
      <c r="M156" s="53"/>
      <c r="N156" s="53"/>
      <c r="O156" s="53"/>
      <c r="P156" s="53"/>
      <c r="Q156" s="53"/>
      <c r="R156" s="53"/>
      <c r="S156" s="53"/>
      <c r="T156" s="53"/>
      <c r="U156" s="85">
        <f>(Tabela1[[#This Row],[Informe o KM final do dia]]-Tabela1[[#This Row],[Informe o KM inicial do dia]])-Tabela1[[#This Row],[Caso tenha rodado particular alguma parte do trajeto, informe o total de KM a ser deduzido.]]</f>
        <v>243</v>
      </c>
      <c r="V156" s="55">
        <f>IF(Tabela1[[#This Row],[Informe a data]]&lt;DATE(2026,3,16), Tabela1[[#This Row],[KM Rodado]]*1.1, Tabela1[[#This Row],[KM Rodado]]*1.23)</f>
        <v>267.3</v>
      </c>
      <c r="W156" s="86">
        <f>IFERROR(SUBSTITUTE(Tabela1[[#This Row],[Pedágio]],".",",",1)*1,0)</f>
        <v>0</v>
      </c>
      <c r="X156" s="86">
        <f>IFERROR(SUBSTITUTE(Tabela1[[#This Row],[Estacionamento]],".",",",1)*1,0)</f>
        <v>0</v>
      </c>
      <c r="Y156" s="86">
        <f>IFERROR(SUBSTITUTE(Tabela1[[#This Row],[Despesas Diversas 
(Jantar em viagem, Impressões, Etc)]],".",",",1)*1,0)</f>
        <v>0</v>
      </c>
      <c r="Z156" s="86">
        <f>IFERROR(SUBSTITUTE(Tabela1[[#This Row],[Hospedagem]],".",",",1)*1,0)</f>
        <v>0</v>
      </c>
      <c r="AA156" s="56" t="str">
        <f>IF(DAY(Tabela1[[#This Row],[Informe a data]])&lt;=15,"1ª Quinzena","2ª Quinzena")</f>
        <v>1ª Quinzena</v>
      </c>
      <c r="AB156" s="56" t="str">
        <f>UPPER(TEXT(Tabela1[[#This Row],[Informe a data]],"mmmm"))</f>
        <v>MARÇO</v>
      </c>
      <c r="AC156" s="87" t="e">
        <f ca="1">_xlfn.CONCAT(Tabela1[[#This Row],[Selecione o Usuário]]," - ",TEXT(Tabela1[[#This Row],[Informe a data]],"dd-mm-aa"))</f>
        <v>#NAME?</v>
      </c>
    </row>
    <row r="157" spans="1:29">
      <c r="A157" s="49">
        <v>46085.859537037039</v>
      </c>
      <c r="B157" s="50" t="s">
        <v>140</v>
      </c>
      <c r="C157" s="50" t="s">
        <v>141</v>
      </c>
      <c r="D157" s="50" t="s">
        <v>169</v>
      </c>
      <c r="E157" s="51">
        <v>46085</v>
      </c>
      <c r="F157" s="52">
        <v>2633</v>
      </c>
      <c r="G157" s="58" t="s">
        <v>672</v>
      </c>
      <c r="H157" s="52">
        <v>2806</v>
      </c>
      <c r="I157" s="58" t="s">
        <v>673</v>
      </c>
      <c r="J157" s="50" t="s">
        <v>674</v>
      </c>
      <c r="K157" s="53"/>
      <c r="L157" s="50" t="s">
        <v>60</v>
      </c>
      <c r="M157" s="53"/>
      <c r="N157" s="53"/>
      <c r="O157" s="53"/>
      <c r="P157" s="53"/>
      <c r="Q157" s="53"/>
      <c r="R157" s="53"/>
      <c r="S157" s="53"/>
      <c r="T157" s="53"/>
      <c r="U157" s="85">
        <f>(Tabela1[[#This Row],[Informe o KM final do dia]]-Tabela1[[#This Row],[Informe o KM inicial do dia]])-Tabela1[[#This Row],[Caso tenha rodado particular alguma parte do trajeto, informe o total de KM a ser deduzido.]]</f>
        <v>173</v>
      </c>
      <c r="V157" s="55">
        <f>IF(Tabela1[[#This Row],[Informe a data]]&lt;DATE(2026,3,16), Tabela1[[#This Row],[KM Rodado]]*1.1, Tabela1[[#This Row],[KM Rodado]]*1.23)</f>
        <v>190.3</v>
      </c>
      <c r="W157" s="86">
        <f>IFERROR(SUBSTITUTE(Tabela1[[#This Row],[Pedágio]],".",",",1)*1,0)</f>
        <v>0</v>
      </c>
      <c r="X157" s="86">
        <f>IFERROR(SUBSTITUTE(Tabela1[[#This Row],[Estacionamento]],".",",",1)*1,0)</f>
        <v>0</v>
      </c>
      <c r="Y157" s="86">
        <f>IFERROR(SUBSTITUTE(Tabela1[[#This Row],[Despesas Diversas 
(Jantar em viagem, Impressões, Etc)]],".",",",1)*1,0)</f>
        <v>0</v>
      </c>
      <c r="Z157" s="86">
        <f>IFERROR(SUBSTITUTE(Tabela1[[#This Row],[Hospedagem]],".",",",1)*1,0)</f>
        <v>0</v>
      </c>
      <c r="AA157" s="56" t="str">
        <f>IF(DAY(Tabela1[[#This Row],[Informe a data]])&lt;=15,"1ª Quinzena","2ª Quinzena")</f>
        <v>1ª Quinzena</v>
      </c>
      <c r="AB157" s="56" t="str">
        <f>UPPER(TEXT(Tabela1[[#This Row],[Informe a data]],"mmmm"))</f>
        <v>MARÇO</v>
      </c>
      <c r="AC157" s="87" t="e">
        <f ca="1">_xlfn.CONCAT(Tabela1[[#This Row],[Selecione o Usuário]]," - ",TEXT(Tabela1[[#This Row],[Informe a data]],"dd-mm-aa"))</f>
        <v>#NAME?</v>
      </c>
    </row>
    <row r="158" spans="1:29">
      <c r="A158" s="89">
        <v>46096.717569444445</v>
      </c>
      <c r="B158" s="90" t="s">
        <v>469</v>
      </c>
      <c r="C158" s="90" t="s">
        <v>559</v>
      </c>
      <c r="D158" s="90" t="s">
        <v>560</v>
      </c>
      <c r="E158" s="91">
        <v>46086</v>
      </c>
      <c r="F158" s="92">
        <v>76394</v>
      </c>
      <c r="G158" s="94"/>
      <c r="H158" s="92">
        <v>76555</v>
      </c>
      <c r="I158" s="94"/>
      <c r="J158" s="90" t="s">
        <v>782</v>
      </c>
      <c r="K158" s="94"/>
      <c r="L158" s="90" t="s">
        <v>60</v>
      </c>
      <c r="M158" s="94"/>
      <c r="N158" s="94"/>
      <c r="O158" s="94"/>
      <c r="P158" s="94"/>
      <c r="Q158" s="94"/>
      <c r="R158" s="94"/>
      <c r="S158" s="94"/>
      <c r="T158" s="94"/>
      <c r="U158" s="85">
        <f>(Tabela1[[#This Row],[Informe o KM final do dia]]-Tabela1[[#This Row],[Informe o KM inicial do dia]])-Tabela1[[#This Row],[Caso tenha rodado particular alguma parte do trajeto, informe o total de KM a ser deduzido.]]</f>
        <v>161</v>
      </c>
      <c r="V158" s="55">
        <f>IF(Tabela1[[#This Row],[Informe a data]]&lt;DATE(2026,3,16), Tabela1[[#This Row],[KM Rodado]]*1.1, Tabela1[[#This Row],[KM Rodado]]*1.23)</f>
        <v>177.10000000000002</v>
      </c>
      <c r="W158" s="86">
        <f>IFERROR(SUBSTITUTE(Tabela1[[#This Row],[Pedágio]],".",",",1)*1,0)</f>
        <v>0</v>
      </c>
      <c r="X158" s="86">
        <f>IFERROR(SUBSTITUTE(Tabela1[[#This Row],[Estacionamento]],".",",",1)*1,0)</f>
        <v>0</v>
      </c>
      <c r="Y158" s="86">
        <f>IFERROR(SUBSTITUTE(Tabela1[[#This Row],[Despesas Diversas 
(Jantar em viagem, Impressões, Etc)]],".",",",1)*1,0)</f>
        <v>0</v>
      </c>
      <c r="Z158" s="86">
        <f>IFERROR(SUBSTITUTE(Tabela1[[#This Row],[Hospedagem]],".",",",1)*1,0)</f>
        <v>0</v>
      </c>
      <c r="AA158" s="56" t="str">
        <f>IF(DAY(Tabela1[[#This Row],[Informe a data]])&lt;=15,"1ª Quinzena","2ª Quinzena")</f>
        <v>1ª Quinzena</v>
      </c>
      <c r="AB158" s="56" t="str">
        <f>UPPER(TEXT(Tabela1[[#This Row],[Informe a data]],"mmmm"))</f>
        <v>MARÇO</v>
      </c>
      <c r="AC158" s="87" t="e">
        <f ca="1">_xlfn.CONCAT(Tabela1[[#This Row],[Selecione o Usuário]]," - ",TEXT(Tabela1[[#This Row],[Informe a data]],"dd-mm-aa"))</f>
        <v>#NAME?</v>
      </c>
    </row>
    <row r="159" spans="1:29">
      <c r="A159" s="89">
        <v>46087.359386574077</v>
      </c>
      <c r="B159" s="90" t="s">
        <v>131</v>
      </c>
      <c r="C159" s="90" t="s">
        <v>132</v>
      </c>
      <c r="D159" s="90" t="s">
        <v>133</v>
      </c>
      <c r="E159" s="91">
        <v>46086</v>
      </c>
      <c r="F159" s="92">
        <v>189123</v>
      </c>
      <c r="G159" s="93" t="s">
        <v>675</v>
      </c>
      <c r="H159" s="92">
        <v>189230</v>
      </c>
      <c r="I159" s="93" t="s">
        <v>676</v>
      </c>
      <c r="J159" s="90" t="s">
        <v>677</v>
      </c>
      <c r="K159" s="94"/>
      <c r="L159" s="90" t="s">
        <v>60</v>
      </c>
      <c r="M159" s="94"/>
      <c r="N159" s="94"/>
      <c r="O159" s="94"/>
      <c r="P159" s="94"/>
      <c r="Q159" s="94"/>
      <c r="R159" s="94"/>
      <c r="S159" s="94"/>
      <c r="T159" s="94"/>
      <c r="U159" s="85">
        <f>(Tabela1[[#This Row],[Informe o KM final do dia]]-Tabela1[[#This Row],[Informe o KM inicial do dia]])-Tabela1[[#This Row],[Caso tenha rodado particular alguma parte do trajeto, informe o total de KM a ser deduzido.]]</f>
        <v>107</v>
      </c>
      <c r="V159" s="55">
        <f>IF(Tabela1[[#This Row],[Informe a data]]&lt;DATE(2026,3,16), Tabela1[[#This Row],[KM Rodado]]*1.1, Tabela1[[#This Row],[KM Rodado]]*1.23)</f>
        <v>117.7</v>
      </c>
      <c r="W159" s="86">
        <f>IFERROR(SUBSTITUTE(Tabela1[[#This Row],[Pedágio]],".",",",1)*1,0)</f>
        <v>0</v>
      </c>
      <c r="X159" s="86">
        <f>IFERROR(SUBSTITUTE(Tabela1[[#This Row],[Estacionamento]],".",",",1)*1,0)</f>
        <v>0</v>
      </c>
      <c r="Y159" s="86">
        <f>IFERROR(SUBSTITUTE(Tabela1[[#This Row],[Despesas Diversas 
(Jantar em viagem, Impressões, Etc)]],".",",",1)*1,0)</f>
        <v>0</v>
      </c>
      <c r="Z159" s="86">
        <f>IFERROR(SUBSTITUTE(Tabela1[[#This Row],[Hospedagem]],".",",",1)*1,0)</f>
        <v>0</v>
      </c>
      <c r="AA159" s="56" t="str">
        <f>IF(DAY(Tabela1[[#This Row],[Informe a data]])&lt;=15,"1ª Quinzena","2ª Quinzena")</f>
        <v>1ª Quinzena</v>
      </c>
      <c r="AB159" s="56" t="str">
        <f>UPPER(TEXT(Tabela1[[#This Row],[Informe a data]],"mmmm"))</f>
        <v>MARÇO</v>
      </c>
      <c r="AC159" s="87" t="e">
        <f ca="1">_xlfn.CONCAT(Tabela1[[#This Row],[Selecione o Usuário]]," - ",TEXT(Tabela1[[#This Row],[Informe a data]],"dd-mm-aa"))</f>
        <v>#NAME?</v>
      </c>
    </row>
    <row r="160" spans="1:29">
      <c r="A160" s="49">
        <v>46087.91679398148</v>
      </c>
      <c r="B160" s="50" t="s">
        <v>208</v>
      </c>
      <c r="C160" s="50" t="s">
        <v>134</v>
      </c>
      <c r="D160" s="50" t="s">
        <v>209</v>
      </c>
      <c r="E160" s="51">
        <v>46086</v>
      </c>
      <c r="F160" s="52">
        <v>164231</v>
      </c>
      <c r="G160" s="58" t="s">
        <v>701</v>
      </c>
      <c r="H160" s="52">
        <v>164458</v>
      </c>
      <c r="I160" s="58" t="s">
        <v>702</v>
      </c>
      <c r="J160" s="50" t="s">
        <v>703</v>
      </c>
      <c r="K160" s="53"/>
      <c r="L160" s="50" t="s">
        <v>60</v>
      </c>
      <c r="M160" s="53"/>
      <c r="N160" s="53"/>
      <c r="O160" s="53"/>
      <c r="P160" s="53"/>
      <c r="Q160" s="53"/>
      <c r="R160" s="53"/>
      <c r="S160" s="53"/>
      <c r="T160" s="53"/>
      <c r="U160" s="85">
        <f>(Tabela1[[#This Row],[Informe o KM final do dia]]-Tabela1[[#This Row],[Informe o KM inicial do dia]])-Tabela1[[#This Row],[Caso tenha rodado particular alguma parte do trajeto, informe o total de KM a ser deduzido.]]</f>
        <v>227</v>
      </c>
      <c r="V160" s="55">
        <f>IF(Tabela1[[#This Row],[Informe a data]]&lt;DATE(2026,3,16), Tabela1[[#This Row],[KM Rodado]]*1.1, Tabela1[[#This Row],[KM Rodado]]*1.23)</f>
        <v>249.70000000000002</v>
      </c>
      <c r="W160" s="86">
        <f>IFERROR(SUBSTITUTE(Tabela1[[#This Row],[Pedágio]],".",",",1)*1,0)</f>
        <v>0</v>
      </c>
      <c r="X160" s="86">
        <f>IFERROR(SUBSTITUTE(Tabela1[[#This Row],[Estacionamento]],".",",",1)*1,0)</f>
        <v>0</v>
      </c>
      <c r="Y160" s="86">
        <f>IFERROR(SUBSTITUTE(Tabela1[[#This Row],[Despesas Diversas 
(Jantar em viagem, Impressões, Etc)]],".",",",1)*1,0)</f>
        <v>0</v>
      </c>
      <c r="Z160" s="86">
        <f>IFERROR(SUBSTITUTE(Tabela1[[#This Row],[Hospedagem]],".",",",1)*1,0)</f>
        <v>0</v>
      </c>
      <c r="AA160" s="56" t="str">
        <f>IF(DAY(Tabela1[[#This Row],[Informe a data]])&lt;=15,"1ª Quinzena","2ª Quinzena")</f>
        <v>1ª Quinzena</v>
      </c>
      <c r="AB160" s="56" t="str">
        <f>UPPER(TEXT(Tabela1[[#This Row],[Informe a data]],"mmmm"))</f>
        <v>MARÇO</v>
      </c>
      <c r="AC160" s="87" t="e">
        <f ca="1">_xlfn.CONCAT(Tabela1[[#This Row],[Selecione o Usuário]]," - ",TEXT(Tabela1[[#This Row],[Informe a data]],"dd-mm-aa"))</f>
        <v>#NAME?</v>
      </c>
    </row>
    <row r="161" spans="1:29">
      <c r="A161" s="89">
        <v>46088.479328703703</v>
      </c>
      <c r="B161" s="90" t="s">
        <v>504</v>
      </c>
      <c r="C161" s="90" t="s">
        <v>505</v>
      </c>
      <c r="D161" s="90" t="s">
        <v>506</v>
      </c>
      <c r="E161" s="91">
        <v>46086</v>
      </c>
      <c r="F161" s="92">
        <v>101000</v>
      </c>
      <c r="G161" s="93" t="s">
        <v>711</v>
      </c>
      <c r="H161" s="92">
        <v>101112</v>
      </c>
      <c r="I161" s="93" t="s">
        <v>712</v>
      </c>
      <c r="J161" s="90" t="s">
        <v>713</v>
      </c>
      <c r="K161" s="94"/>
      <c r="L161" s="90" t="s">
        <v>60</v>
      </c>
      <c r="M161" s="94"/>
      <c r="N161" s="94"/>
      <c r="O161" s="94"/>
      <c r="P161" s="94"/>
      <c r="Q161" s="94"/>
      <c r="R161" s="94"/>
      <c r="S161" s="94"/>
      <c r="T161" s="94"/>
      <c r="U161" s="85">
        <f>(Tabela1[[#This Row],[Informe o KM final do dia]]-Tabela1[[#This Row],[Informe o KM inicial do dia]])-Tabela1[[#This Row],[Caso tenha rodado particular alguma parte do trajeto, informe o total de KM a ser deduzido.]]</f>
        <v>112</v>
      </c>
      <c r="V161" s="55">
        <f>IF(Tabela1[[#This Row],[Informe a data]]&lt;DATE(2026,3,16), Tabela1[[#This Row],[KM Rodado]]*1.1, Tabela1[[#This Row],[KM Rodado]]*1.23)</f>
        <v>123.20000000000002</v>
      </c>
      <c r="W161" s="86">
        <f>IFERROR(SUBSTITUTE(Tabela1[[#This Row],[Pedágio]],".",",",1)*1,0)</f>
        <v>0</v>
      </c>
      <c r="X161" s="86">
        <f>IFERROR(SUBSTITUTE(Tabela1[[#This Row],[Estacionamento]],".",",",1)*1,0)</f>
        <v>0</v>
      </c>
      <c r="Y161" s="86">
        <f>IFERROR(SUBSTITUTE(Tabela1[[#This Row],[Despesas Diversas 
(Jantar em viagem, Impressões, Etc)]],".",",",1)*1,0)</f>
        <v>0</v>
      </c>
      <c r="Z161" s="86">
        <f>IFERROR(SUBSTITUTE(Tabela1[[#This Row],[Hospedagem]],".",",",1)*1,0)</f>
        <v>0</v>
      </c>
      <c r="AA161" s="56" t="str">
        <f>IF(DAY(Tabela1[[#This Row],[Informe a data]])&lt;=15,"1ª Quinzena","2ª Quinzena")</f>
        <v>1ª Quinzena</v>
      </c>
      <c r="AB161" s="56" t="str">
        <f>UPPER(TEXT(Tabela1[[#This Row],[Informe a data]],"mmmm"))</f>
        <v>MARÇO</v>
      </c>
      <c r="AC161" s="87" t="e">
        <f ca="1">_xlfn.CONCAT(Tabela1[[#This Row],[Selecione o Usuário]]," - ",TEXT(Tabela1[[#This Row],[Informe a data]],"dd-mm-aa"))</f>
        <v>#NAME?</v>
      </c>
    </row>
    <row r="162" spans="1:29">
      <c r="A162" s="89">
        <v>46087.426805555559</v>
      </c>
      <c r="B162" s="90" t="s">
        <v>300</v>
      </c>
      <c r="C162" s="90" t="s">
        <v>250</v>
      </c>
      <c r="D162" s="90" t="s">
        <v>228</v>
      </c>
      <c r="E162" s="91">
        <v>46086</v>
      </c>
      <c r="F162" s="92">
        <v>122917</v>
      </c>
      <c r="G162" s="93" t="s">
        <v>691</v>
      </c>
      <c r="H162" s="92">
        <v>123152</v>
      </c>
      <c r="I162" s="93" t="s">
        <v>692</v>
      </c>
      <c r="J162" s="90" t="s">
        <v>693</v>
      </c>
      <c r="K162" s="92">
        <v>100</v>
      </c>
      <c r="L162" s="90" t="s">
        <v>60</v>
      </c>
      <c r="M162" s="94"/>
      <c r="N162" s="94"/>
      <c r="O162" s="94"/>
      <c r="P162" s="94"/>
      <c r="Q162" s="94"/>
      <c r="R162" s="94"/>
      <c r="S162" s="94"/>
      <c r="T162" s="94"/>
      <c r="U162" s="85">
        <f>(Tabela1[[#This Row],[Informe o KM final do dia]]-Tabela1[[#This Row],[Informe o KM inicial do dia]])-Tabela1[[#This Row],[Caso tenha rodado particular alguma parte do trajeto, informe o total de KM a ser deduzido.]]</f>
        <v>135</v>
      </c>
      <c r="V162" s="55">
        <f>IF(Tabela1[[#This Row],[Informe a data]]&lt;DATE(2026,3,16), Tabela1[[#This Row],[KM Rodado]]*1.1, Tabela1[[#This Row],[KM Rodado]]*1.23)</f>
        <v>148.5</v>
      </c>
      <c r="W162" s="86">
        <f>IFERROR(SUBSTITUTE(Tabela1[[#This Row],[Pedágio]],".",",",1)*1,0)</f>
        <v>0</v>
      </c>
      <c r="X162" s="86">
        <f>IFERROR(SUBSTITUTE(Tabela1[[#This Row],[Estacionamento]],".",",",1)*1,0)</f>
        <v>0</v>
      </c>
      <c r="Y162" s="86">
        <f>IFERROR(SUBSTITUTE(Tabela1[[#This Row],[Despesas Diversas 
(Jantar em viagem, Impressões, Etc)]],".",",",1)*1,0)</f>
        <v>0</v>
      </c>
      <c r="Z162" s="86">
        <f>IFERROR(SUBSTITUTE(Tabela1[[#This Row],[Hospedagem]],".",",",1)*1,0)</f>
        <v>0</v>
      </c>
      <c r="AA162" s="56" t="str">
        <f>IF(DAY(Tabela1[[#This Row],[Informe a data]])&lt;=15,"1ª Quinzena","2ª Quinzena")</f>
        <v>1ª Quinzena</v>
      </c>
      <c r="AB162" s="56" t="str">
        <f>UPPER(TEXT(Tabela1[[#This Row],[Informe a data]],"mmmm"))</f>
        <v>MARÇO</v>
      </c>
      <c r="AC162" s="87" t="e">
        <f ca="1">_xlfn.CONCAT(Tabela1[[#This Row],[Selecione o Usuário]]," - ",TEXT(Tabela1[[#This Row],[Informe a data]],"dd-mm-aa"))</f>
        <v>#NAME?</v>
      </c>
    </row>
    <row r="163" spans="1:29">
      <c r="A163" s="89">
        <v>46088.54078703704</v>
      </c>
      <c r="B163" s="90" t="s">
        <v>131</v>
      </c>
      <c r="C163" s="90" t="s">
        <v>132</v>
      </c>
      <c r="D163" s="90" t="s">
        <v>133</v>
      </c>
      <c r="E163" s="91">
        <v>46087</v>
      </c>
      <c r="F163" s="92">
        <v>189230</v>
      </c>
      <c r="G163" s="93" t="s">
        <v>717</v>
      </c>
      <c r="H163" s="92">
        <v>189281</v>
      </c>
      <c r="I163" s="93" t="s">
        <v>718</v>
      </c>
      <c r="J163" s="90" t="s">
        <v>719</v>
      </c>
      <c r="K163" s="94"/>
      <c r="L163" s="90" t="s">
        <v>61</v>
      </c>
      <c r="M163" s="94"/>
      <c r="N163" s="94"/>
      <c r="O163" s="90" t="s">
        <v>479</v>
      </c>
      <c r="P163" s="90" t="s">
        <v>720</v>
      </c>
      <c r="Q163" s="94"/>
      <c r="R163" s="94"/>
      <c r="S163" s="94"/>
      <c r="T163" s="94"/>
      <c r="U163" s="85">
        <f>(Tabela1[[#This Row],[Informe o KM final do dia]]-Tabela1[[#This Row],[Informe o KM inicial do dia]])-Tabela1[[#This Row],[Caso tenha rodado particular alguma parte do trajeto, informe o total de KM a ser deduzido.]]</f>
        <v>51</v>
      </c>
      <c r="V163" s="55">
        <f>IF(Tabela1[[#This Row],[Informe a data]]&lt;DATE(2026,3,16), Tabela1[[#This Row],[KM Rodado]]*1.1, Tabela1[[#This Row],[KM Rodado]]*1.23)</f>
        <v>56.1</v>
      </c>
      <c r="W163" s="86">
        <f>IFERROR(SUBSTITUTE(Tabela1[[#This Row],[Pedágio]],".",",",1)*1,0)</f>
        <v>0</v>
      </c>
      <c r="X163" s="86">
        <f>IFERROR(SUBSTITUTE(Tabela1[[#This Row],[Estacionamento]],".",",",1)*1,0)</f>
        <v>25</v>
      </c>
      <c r="Y163" s="86">
        <f>IFERROR(SUBSTITUTE(Tabela1[[#This Row],[Despesas Diversas 
(Jantar em viagem, Impressões, Etc)]],".",",",1)*1,0)</f>
        <v>0</v>
      </c>
      <c r="Z163" s="86">
        <f>IFERROR(SUBSTITUTE(Tabela1[[#This Row],[Hospedagem]],".",",",1)*1,0)</f>
        <v>0</v>
      </c>
      <c r="AA163" s="56" t="str">
        <f>IF(DAY(Tabela1[[#This Row],[Informe a data]])&lt;=15,"1ª Quinzena","2ª Quinzena")</f>
        <v>1ª Quinzena</v>
      </c>
      <c r="AB163" s="56" t="str">
        <f>UPPER(TEXT(Tabela1[[#This Row],[Informe a data]],"mmmm"))</f>
        <v>MARÇO</v>
      </c>
      <c r="AC163" s="87" t="e">
        <f ca="1">_xlfn.CONCAT(Tabela1[[#This Row],[Selecione o Usuário]]," - ",TEXT(Tabela1[[#This Row],[Informe a data]],"dd-mm-aa"))</f>
        <v>#NAME?</v>
      </c>
    </row>
    <row r="164" spans="1:29">
      <c r="A164" s="89">
        <v>46087.656342592592</v>
      </c>
      <c r="B164" s="90" t="s">
        <v>497</v>
      </c>
      <c r="C164" s="90" t="s">
        <v>498</v>
      </c>
      <c r="D164" s="90" t="s">
        <v>499</v>
      </c>
      <c r="E164" s="91">
        <v>46087</v>
      </c>
      <c r="F164" s="92">
        <v>303856</v>
      </c>
      <c r="G164" s="93" t="s">
        <v>697</v>
      </c>
      <c r="H164" s="92">
        <v>303921</v>
      </c>
      <c r="I164" s="93" t="s">
        <v>698</v>
      </c>
      <c r="J164" s="90" t="s">
        <v>699</v>
      </c>
      <c r="K164" s="94"/>
      <c r="L164" s="90" t="s">
        <v>61</v>
      </c>
      <c r="M164" s="94"/>
      <c r="N164" s="94"/>
      <c r="O164" s="90" t="s">
        <v>317</v>
      </c>
      <c r="P164" s="93" t="s">
        <v>700</v>
      </c>
      <c r="Q164" s="94"/>
      <c r="R164" s="94"/>
      <c r="S164" s="94"/>
      <c r="T164" s="94"/>
      <c r="U164" s="85">
        <f>(Tabela1[[#This Row],[Informe o KM final do dia]]-Tabela1[[#This Row],[Informe o KM inicial do dia]])-Tabela1[[#This Row],[Caso tenha rodado particular alguma parte do trajeto, informe o total de KM a ser deduzido.]]</f>
        <v>65</v>
      </c>
      <c r="V164" s="55">
        <f>IF(Tabela1[[#This Row],[Informe a data]]&lt;DATE(2026,3,16), Tabela1[[#This Row],[KM Rodado]]*1.1, Tabela1[[#This Row],[KM Rodado]]*1.23)</f>
        <v>71.5</v>
      </c>
      <c r="W164" s="86">
        <f>IFERROR(SUBSTITUTE(Tabela1[[#This Row],[Pedágio]],".",",",1)*1,0)</f>
        <v>0</v>
      </c>
      <c r="X164" s="86">
        <f>IFERROR(SUBSTITUTE(Tabela1[[#This Row],[Estacionamento]],".",",",1)*1,0)</f>
        <v>20</v>
      </c>
      <c r="Y164" s="86">
        <f>IFERROR(SUBSTITUTE(Tabela1[[#This Row],[Despesas Diversas 
(Jantar em viagem, Impressões, Etc)]],".",",",1)*1,0)</f>
        <v>0</v>
      </c>
      <c r="Z164" s="86">
        <f>IFERROR(SUBSTITUTE(Tabela1[[#This Row],[Hospedagem]],".",",",1)*1,0)</f>
        <v>0</v>
      </c>
      <c r="AA164" s="56" t="str">
        <f>IF(DAY(Tabela1[[#This Row],[Informe a data]])&lt;=15,"1ª Quinzena","2ª Quinzena")</f>
        <v>1ª Quinzena</v>
      </c>
      <c r="AB164" s="56" t="str">
        <f>UPPER(TEXT(Tabela1[[#This Row],[Informe a data]],"mmmm"))</f>
        <v>MARÇO</v>
      </c>
      <c r="AC164" s="87" t="e">
        <f ca="1">_xlfn.CONCAT(Tabela1[[#This Row],[Selecione o Usuário]]," - ",TEXT(Tabela1[[#This Row],[Informe a data]],"dd-mm-aa"))</f>
        <v>#NAME?</v>
      </c>
    </row>
    <row r="165" spans="1:29">
      <c r="A165" s="49">
        <v>46088.484050925923</v>
      </c>
      <c r="B165" s="50" t="s">
        <v>504</v>
      </c>
      <c r="C165" s="50" t="s">
        <v>505</v>
      </c>
      <c r="D165" s="50" t="s">
        <v>506</v>
      </c>
      <c r="E165" s="51">
        <v>46087</v>
      </c>
      <c r="F165" s="52">
        <v>101112</v>
      </c>
      <c r="G165" s="58" t="s">
        <v>714</v>
      </c>
      <c r="H165" s="52">
        <v>101182</v>
      </c>
      <c r="I165" s="58" t="s">
        <v>715</v>
      </c>
      <c r="J165" s="50" t="s">
        <v>716</v>
      </c>
      <c r="K165" s="53"/>
      <c r="L165" s="50" t="s">
        <v>60</v>
      </c>
      <c r="M165" s="53"/>
      <c r="N165" s="53"/>
      <c r="O165" s="53"/>
      <c r="P165" s="53"/>
      <c r="Q165" s="53"/>
      <c r="R165" s="53"/>
      <c r="S165" s="53"/>
      <c r="T165" s="53"/>
      <c r="U165" s="85">
        <f>(Tabela1[[#This Row],[Informe o KM final do dia]]-Tabela1[[#This Row],[Informe o KM inicial do dia]])-Tabela1[[#This Row],[Caso tenha rodado particular alguma parte do trajeto, informe o total de KM a ser deduzido.]]</f>
        <v>70</v>
      </c>
      <c r="V165" s="55">
        <f>IF(Tabela1[[#This Row],[Informe a data]]&lt;DATE(2026,3,16), Tabela1[[#This Row],[KM Rodado]]*1.1, Tabela1[[#This Row],[KM Rodado]]*1.23)</f>
        <v>77</v>
      </c>
      <c r="W165" s="86">
        <f>IFERROR(SUBSTITUTE(Tabela1[[#This Row],[Pedágio]],".",",",1)*1,0)</f>
        <v>0</v>
      </c>
      <c r="X165" s="86">
        <f>IFERROR(SUBSTITUTE(Tabela1[[#This Row],[Estacionamento]],".",",",1)*1,0)</f>
        <v>0</v>
      </c>
      <c r="Y165" s="86">
        <f>IFERROR(SUBSTITUTE(Tabela1[[#This Row],[Despesas Diversas 
(Jantar em viagem, Impressões, Etc)]],".",",",1)*1,0)</f>
        <v>0</v>
      </c>
      <c r="Z165" s="86">
        <f>IFERROR(SUBSTITUTE(Tabela1[[#This Row],[Hospedagem]],".",",",1)*1,0)</f>
        <v>0</v>
      </c>
      <c r="AA165" s="56" t="str">
        <f>IF(DAY(Tabela1[[#This Row],[Informe a data]])&lt;=15,"1ª Quinzena","2ª Quinzena")</f>
        <v>1ª Quinzena</v>
      </c>
      <c r="AB165" s="56" t="str">
        <f>UPPER(TEXT(Tabela1[[#This Row],[Informe a data]],"mmmm"))</f>
        <v>MARÇO</v>
      </c>
      <c r="AC165" s="87" t="e">
        <f ca="1">_xlfn.CONCAT(Tabela1[[#This Row],[Selecione o Usuário]]," - ",TEXT(Tabela1[[#This Row],[Informe a data]],"dd-mm-aa"))</f>
        <v>#NAME?</v>
      </c>
    </row>
    <row r="166" spans="1:29">
      <c r="A166" s="49">
        <v>46087.429490740738</v>
      </c>
      <c r="B166" s="50" t="s">
        <v>300</v>
      </c>
      <c r="C166" s="50" t="s">
        <v>250</v>
      </c>
      <c r="D166" s="50" t="s">
        <v>228</v>
      </c>
      <c r="E166" s="51">
        <v>46087</v>
      </c>
      <c r="F166" s="52">
        <v>123152</v>
      </c>
      <c r="G166" s="58" t="s">
        <v>694</v>
      </c>
      <c r="H166" s="52">
        <v>123253</v>
      </c>
      <c r="I166" s="58" t="s">
        <v>695</v>
      </c>
      <c r="J166" s="50" t="s">
        <v>696</v>
      </c>
      <c r="K166" s="53"/>
      <c r="L166" s="50" t="s">
        <v>60</v>
      </c>
      <c r="M166" s="53"/>
      <c r="N166" s="53"/>
      <c r="O166" s="53"/>
      <c r="P166" s="53"/>
      <c r="Q166" s="53"/>
      <c r="R166" s="53"/>
      <c r="S166" s="53"/>
      <c r="T166" s="53"/>
      <c r="U166" s="85">
        <f>(Tabela1[[#This Row],[Informe o KM final do dia]]-Tabela1[[#This Row],[Informe o KM inicial do dia]])-Tabela1[[#This Row],[Caso tenha rodado particular alguma parte do trajeto, informe o total de KM a ser deduzido.]]</f>
        <v>101</v>
      </c>
      <c r="V166" s="55">
        <f>IF(Tabela1[[#This Row],[Informe a data]]&lt;DATE(2026,3,16), Tabela1[[#This Row],[KM Rodado]]*1.1, Tabela1[[#This Row],[KM Rodado]]*1.23)</f>
        <v>111.10000000000001</v>
      </c>
      <c r="W166" s="86">
        <f>IFERROR(SUBSTITUTE(Tabela1[[#This Row],[Pedágio]],".",",",1)*1,0)</f>
        <v>0</v>
      </c>
      <c r="X166" s="86">
        <f>IFERROR(SUBSTITUTE(Tabela1[[#This Row],[Estacionamento]],".",",",1)*1,0)</f>
        <v>0</v>
      </c>
      <c r="Y166" s="86">
        <f>IFERROR(SUBSTITUTE(Tabela1[[#This Row],[Despesas Diversas 
(Jantar em viagem, Impressões, Etc)]],".",",",1)*1,0)</f>
        <v>0</v>
      </c>
      <c r="Z166" s="86">
        <f>IFERROR(SUBSTITUTE(Tabela1[[#This Row],[Hospedagem]],".",",",1)*1,0)</f>
        <v>0</v>
      </c>
      <c r="AA166" s="56" t="str">
        <f>IF(DAY(Tabela1[[#This Row],[Informe a data]])&lt;=15,"1ª Quinzena","2ª Quinzena")</f>
        <v>1ª Quinzena</v>
      </c>
      <c r="AB166" s="56" t="str">
        <f>UPPER(TEXT(Tabela1[[#This Row],[Informe a data]],"mmmm"))</f>
        <v>MARÇO</v>
      </c>
      <c r="AC166" s="87" t="e">
        <f ca="1">_xlfn.CONCAT(Tabela1[[#This Row],[Selecione o Usuário]]," - ",TEXT(Tabela1[[#This Row],[Informe a data]],"dd-mm-aa"))</f>
        <v>#NAME?</v>
      </c>
    </row>
    <row r="167" spans="1:29">
      <c r="A167" s="49">
        <v>46091.453472222223</v>
      </c>
      <c r="B167" s="50" t="s">
        <v>300</v>
      </c>
      <c r="C167" s="50" t="s">
        <v>250</v>
      </c>
      <c r="D167" s="50" t="s">
        <v>228</v>
      </c>
      <c r="E167" s="51">
        <v>46088</v>
      </c>
      <c r="F167" s="52">
        <v>123392</v>
      </c>
      <c r="G167" s="58" t="s">
        <v>727</v>
      </c>
      <c r="H167" s="52">
        <v>123392</v>
      </c>
      <c r="I167" s="58" t="s">
        <v>728</v>
      </c>
      <c r="J167" s="50" t="s">
        <v>729</v>
      </c>
      <c r="K167" s="53"/>
      <c r="L167" s="50" t="s">
        <v>60</v>
      </c>
      <c r="M167" s="53"/>
      <c r="N167" s="53"/>
      <c r="O167" s="53"/>
      <c r="P167" s="53"/>
      <c r="Q167" s="53"/>
      <c r="R167" s="53"/>
      <c r="S167" s="53"/>
      <c r="T167" s="53"/>
      <c r="U167" s="85">
        <f>(Tabela1[[#This Row],[Informe o KM final do dia]]-Tabela1[[#This Row],[Informe o KM inicial do dia]])-Tabela1[[#This Row],[Caso tenha rodado particular alguma parte do trajeto, informe o total de KM a ser deduzido.]]</f>
        <v>0</v>
      </c>
      <c r="V167" s="55">
        <f>IF(Tabela1[[#This Row],[Informe a data]]&lt;DATE(2026,3,16), Tabela1[[#This Row],[KM Rodado]]*1.1, Tabela1[[#This Row],[KM Rodado]]*1.23)</f>
        <v>0</v>
      </c>
      <c r="W167" s="86">
        <f>IFERROR(SUBSTITUTE(Tabela1[[#This Row],[Pedágio]],".",",",1)*1,0)</f>
        <v>0</v>
      </c>
      <c r="X167" s="86">
        <f>IFERROR(SUBSTITUTE(Tabela1[[#This Row],[Estacionamento]],".",",",1)*1,0)</f>
        <v>0</v>
      </c>
      <c r="Y167" s="86">
        <f>IFERROR(SUBSTITUTE(Tabela1[[#This Row],[Despesas Diversas 
(Jantar em viagem, Impressões, Etc)]],".",",",1)*1,0)</f>
        <v>0</v>
      </c>
      <c r="Z167" s="86">
        <f>IFERROR(SUBSTITUTE(Tabela1[[#This Row],[Hospedagem]],".",",",1)*1,0)</f>
        <v>0</v>
      </c>
      <c r="AA167" s="56" t="str">
        <f>IF(DAY(Tabela1[[#This Row],[Informe a data]])&lt;=15,"1ª Quinzena","2ª Quinzena")</f>
        <v>1ª Quinzena</v>
      </c>
      <c r="AB167" s="56" t="str">
        <f>UPPER(TEXT(Tabela1[[#This Row],[Informe a data]],"mmmm"))</f>
        <v>MARÇO</v>
      </c>
      <c r="AC167" s="87" t="e">
        <f ca="1">_xlfn.CONCAT(Tabela1[[#This Row],[Selecione o Usuário]]," - ",TEXT(Tabela1[[#This Row],[Informe a data]],"dd-mm-aa"))</f>
        <v>#NAME?</v>
      </c>
    </row>
    <row r="168" spans="1:29">
      <c r="A168" s="89">
        <v>46090.695902777778</v>
      </c>
      <c r="B168" s="90" t="s">
        <v>497</v>
      </c>
      <c r="C168" s="90" t="s">
        <v>498</v>
      </c>
      <c r="D168" s="90" t="s">
        <v>499</v>
      </c>
      <c r="E168" s="91">
        <v>46090</v>
      </c>
      <c r="F168" s="92">
        <v>304030</v>
      </c>
      <c r="G168" s="93" t="s">
        <v>724</v>
      </c>
      <c r="H168" s="92">
        <v>304042</v>
      </c>
      <c r="I168" s="93" t="s">
        <v>725</v>
      </c>
      <c r="J168" s="90" t="s">
        <v>726</v>
      </c>
      <c r="K168" s="94"/>
      <c r="L168" s="90" t="s">
        <v>60</v>
      </c>
      <c r="M168" s="94"/>
      <c r="N168" s="94"/>
      <c r="O168" s="94"/>
      <c r="P168" s="94"/>
      <c r="Q168" s="94"/>
      <c r="R168" s="94"/>
      <c r="S168" s="94"/>
      <c r="T168" s="94"/>
      <c r="U168" s="85">
        <f>(Tabela1[[#This Row],[Informe o KM final do dia]]-Tabela1[[#This Row],[Informe o KM inicial do dia]])-Tabela1[[#This Row],[Caso tenha rodado particular alguma parte do trajeto, informe o total de KM a ser deduzido.]]</f>
        <v>12</v>
      </c>
      <c r="V168" s="55">
        <f>IF(Tabela1[[#This Row],[Informe a data]]&lt;DATE(2026,3,16), Tabela1[[#This Row],[KM Rodado]]*1.1, Tabela1[[#This Row],[KM Rodado]]*1.23)</f>
        <v>13.200000000000001</v>
      </c>
      <c r="W168" s="86">
        <f>IFERROR(SUBSTITUTE(Tabela1[[#This Row],[Pedágio]],".",",",1)*1,0)</f>
        <v>0</v>
      </c>
      <c r="X168" s="86">
        <f>IFERROR(SUBSTITUTE(Tabela1[[#This Row],[Estacionamento]],".",",",1)*1,0)</f>
        <v>0</v>
      </c>
      <c r="Y168" s="86">
        <f>IFERROR(SUBSTITUTE(Tabela1[[#This Row],[Despesas Diversas 
(Jantar em viagem, Impressões, Etc)]],".",",",1)*1,0)</f>
        <v>0</v>
      </c>
      <c r="Z168" s="86">
        <f>IFERROR(SUBSTITUTE(Tabela1[[#This Row],[Hospedagem]],".",",",1)*1,0)</f>
        <v>0</v>
      </c>
      <c r="AA168" s="56" t="str">
        <f>IF(DAY(Tabela1[[#This Row],[Informe a data]])&lt;=15,"1ª Quinzena","2ª Quinzena")</f>
        <v>1ª Quinzena</v>
      </c>
      <c r="AB168" s="56" t="str">
        <f>UPPER(TEXT(Tabela1[[#This Row],[Informe a data]],"mmmm"))</f>
        <v>MARÇO</v>
      </c>
      <c r="AC168" s="87" t="e">
        <f ca="1">_xlfn.CONCAT(Tabela1[[#This Row],[Selecione o Usuário]]," - ",TEXT(Tabela1[[#This Row],[Informe a data]],"dd-mm-aa"))</f>
        <v>#NAME?</v>
      </c>
    </row>
    <row r="169" spans="1:29">
      <c r="A169" s="49">
        <v>46090.641585648147</v>
      </c>
      <c r="B169" s="50" t="s">
        <v>504</v>
      </c>
      <c r="C169" s="50" t="s">
        <v>505</v>
      </c>
      <c r="D169" s="50" t="s">
        <v>551</v>
      </c>
      <c r="E169" s="51">
        <v>46090</v>
      </c>
      <c r="F169" s="52">
        <v>101235</v>
      </c>
      <c r="G169" s="58" t="s">
        <v>721</v>
      </c>
      <c r="H169" s="52">
        <v>101251</v>
      </c>
      <c r="I169" s="58" t="s">
        <v>722</v>
      </c>
      <c r="J169" s="50" t="s">
        <v>723</v>
      </c>
      <c r="K169" s="53"/>
      <c r="L169" s="50" t="s">
        <v>60</v>
      </c>
      <c r="M169" s="53"/>
      <c r="N169" s="53"/>
      <c r="O169" s="53"/>
      <c r="P169" s="53"/>
      <c r="Q169" s="53"/>
      <c r="R169" s="53"/>
      <c r="S169" s="53"/>
      <c r="T169" s="53"/>
      <c r="U169" s="85">
        <f>(Tabela1[[#This Row],[Informe o KM final do dia]]-Tabela1[[#This Row],[Informe o KM inicial do dia]])-Tabela1[[#This Row],[Caso tenha rodado particular alguma parte do trajeto, informe o total de KM a ser deduzido.]]</f>
        <v>16</v>
      </c>
      <c r="V169" s="55">
        <f>IF(Tabela1[[#This Row],[Informe a data]]&lt;DATE(2026,3,16), Tabela1[[#This Row],[KM Rodado]]*1.1, Tabela1[[#This Row],[KM Rodado]]*1.23)</f>
        <v>17.600000000000001</v>
      </c>
      <c r="W169" s="86">
        <f>IFERROR(SUBSTITUTE(Tabela1[[#This Row],[Pedágio]],".",",",1)*1,0)</f>
        <v>0</v>
      </c>
      <c r="X169" s="86">
        <f>IFERROR(SUBSTITUTE(Tabela1[[#This Row],[Estacionamento]],".",",",1)*1,0)</f>
        <v>0</v>
      </c>
      <c r="Y169" s="86">
        <f>IFERROR(SUBSTITUTE(Tabela1[[#This Row],[Despesas Diversas 
(Jantar em viagem, Impressões, Etc)]],".",",",1)*1,0)</f>
        <v>0</v>
      </c>
      <c r="Z169" s="86">
        <f>IFERROR(SUBSTITUTE(Tabela1[[#This Row],[Hospedagem]],".",",",1)*1,0)</f>
        <v>0</v>
      </c>
      <c r="AA169" s="56" t="str">
        <f>IF(DAY(Tabela1[[#This Row],[Informe a data]])&lt;=15,"1ª Quinzena","2ª Quinzena")</f>
        <v>1ª Quinzena</v>
      </c>
      <c r="AB169" s="56" t="str">
        <f>UPPER(TEXT(Tabela1[[#This Row],[Informe a data]],"mmmm"))</f>
        <v>MARÇO</v>
      </c>
      <c r="AC169" s="87" t="e">
        <f ca="1">_xlfn.CONCAT(Tabela1[[#This Row],[Selecione o Usuário]]," - ",TEXT(Tabela1[[#This Row],[Informe a data]],"dd-mm-aa"))</f>
        <v>#NAME?</v>
      </c>
    </row>
    <row r="170" spans="1:29">
      <c r="A170" s="89">
        <v>46095.65824074074</v>
      </c>
      <c r="B170" s="90" t="s">
        <v>504</v>
      </c>
      <c r="C170" s="90" t="s">
        <v>505</v>
      </c>
      <c r="D170" s="90" t="s">
        <v>506</v>
      </c>
      <c r="E170" s="91">
        <v>46090</v>
      </c>
      <c r="F170" s="92">
        <v>101235</v>
      </c>
      <c r="G170" s="93" t="s">
        <v>760</v>
      </c>
      <c r="H170" s="92">
        <v>101251</v>
      </c>
      <c r="I170" s="93" t="s">
        <v>761</v>
      </c>
      <c r="J170" s="90" t="s">
        <v>762</v>
      </c>
      <c r="K170" s="94"/>
      <c r="L170" s="90" t="s">
        <v>60</v>
      </c>
      <c r="M170" s="94"/>
      <c r="N170" s="94"/>
      <c r="O170" s="94"/>
      <c r="P170" s="94"/>
      <c r="Q170" s="94"/>
      <c r="R170" s="94"/>
      <c r="S170" s="94"/>
      <c r="T170" s="94"/>
      <c r="U170" s="85">
        <f>(Tabela1[[#This Row],[Informe o KM final do dia]]-Tabela1[[#This Row],[Informe o KM inicial do dia]])-Tabela1[[#This Row],[Caso tenha rodado particular alguma parte do trajeto, informe o total de KM a ser deduzido.]]</f>
        <v>16</v>
      </c>
      <c r="V170" s="55">
        <f>IF(Tabela1[[#This Row],[Informe a data]]&lt;DATE(2026,3,16), Tabela1[[#This Row],[KM Rodado]]*1.1, Tabela1[[#This Row],[KM Rodado]]*1.23)</f>
        <v>17.600000000000001</v>
      </c>
      <c r="W170" s="86">
        <f>IFERROR(SUBSTITUTE(Tabela1[[#This Row],[Pedágio]],".",",",1)*1,0)</f>
        <v>0</v>
      </c>
      <c r="X170" s="86">
        <f>IFERROR(SUBSTITUTE(Tabela1[[#This Row],[Estacionamento]],".",",",1)*1,0)</f>
        <v>0</v>
      </c>
      <c r="Y170" s="86">
        <f>IFERROR(SUBSTITUTE(Tabela1[[#This Row],[Despesas Diversas 
(Jantar em viagem, Impressões, Etc)]],".",",",1)*1,0)</f>
        <v>0</v>
      </c>
      <c r="Z170" s="86">
        <f>IFERROR(SUBSTITUTE(Tabela1[[#This Row],[Hospedagem]],".",",",1)*1,0)</f>
        <v>0</v>
      </c>
      <c r="AA170" s="56" t="str">
        <f>IF(DAY(Tabela1[[#This Row],[Informe a data]])&lt;=15,"1ª Quinzena","2ª Quinzena")</f>
        <v>1ª Quinzena</v>
      </c>
      <c r="AB170" s="56" t="str">
        <f>UPPER(TEXT(Tabela1[[#This Row],[Informe a data]],"mmmm"))</f>
        <v>MARÇO</v>
      </c>
      <c r="AC170" s="87" t="e">
        <f ca="1">_xlfn.CONCAT(Tabela1[[#This Row],[Selecione o Usuário]]," - ",TEXT(Tabela1[[#This Row],[Informe a data]],"dd-mm-aa"))</f>
        <v>#NAME?</v>
      </c>
    </row>
    <row r="171" spans="1:29">
      <c r="A171" s="49">
        <v>46091.975092592591</v>
      </c>
      <c r="B171" s="50" t="s">
        <v>131</v>
      </c>
      <c r="C171" s="50" t="s">
        <v>132</v>
      </c>
      <c r="D171" s="50" t="s">
        <v>133</v>
      </c>
      <c r="E171" s="51">
        <v>46091</v>
      </c>
      <c r="F171" s="52">
        <v>189290</v>
      </c>
      <c r="G171" s="58" t="s">
        <v>733</v>
      </c>
      <c r="H171" s="52">
        <v>189350</v>
      </c>
      <c r="I171" s="58" t="s">
        <v>734</v>
      </c>
      <c r="J171" s="50" t="s">
        <v>735</v>
      </c>
      <c r="K171" s="53"/>
      <c r="L171" s="50" t="s">
        <v>60</v>
      </c>
      <c r="M171" s="53"/>
      <c r="N171" s="53"/>
      <c r="O171" s="53"/>
      <c r="P171" s="53"/>
      <c r="Q171" s="53"/>
      <c r="R171" s="53"/>
      <c r="S171" s="53"/>
      <c r="T171" s="53"/>
      <c r="U171" s="85">
        <f>(Tabela1[[#This Row],[Informe o KM final do dia]]-Tabela1[[#This Row],[Informe o KM inicial do dia]])-Tabela1[[#This Row],[Caso tenha rodado particular alguma parte do trajeto, informe o total de KM a ser deduzido.]]</f>
        <v>60</v>
      </c>
      <c r="V171" s="55">
        <f>IF(Tabela1[[#This Row],[Informe a data]]&lt;DATE(2026,3,16), Tabela1[[#This Row],[KM Rodado]]*1.1, Tabela1[[#This Row],[KM Rodado]]*1.23)</f>
        <v>66</v>
      </c>
      <c r="W171" s="86">
        <f>IFERROR(SUBSTITUTE(Tabela1[[#This Row],[Pedágio]],".",",",1)*1,0)</f>
        <v>0</v>
      </c>
      <c r="X171" s="86">
        <f>IFERROR(SUBSTITUTE(Tabela1[[#This Row],[Estacionamento]],".",",",1)*1,0)</f>
        <v>0</v>
      </c>
      <c r="Y171" s="86">
        <f>IFERROR(SUBSTITUTE(Tabela1[[#This Row],[Despesas Diversas 
(Jantar em viagem, Impressões, Etc)]],".",",",1)*1,0)</f>
        <v>0</v>
      </c>
      <c r="Z171" s="86">
        <f>IFERROR(SUBSTITUTE(Tabela1[[#This Row],[Hospedagem]],".",",",1)*1,0)</f>
        <v>0</v>
      </c>
      <c r="AA171" s="56" t="str">
        <f>IF(DAY(Tabela1[[#This Row],[Informe a data]])&lt;=15,"1ª Quinzena","2ª Quinzena")</f>
        <v>1ª Quinzena</v>
      </c>
      <c r="AB171" s="56" t="str">
        <f>UPPER(TEXT(Tabela1[[#This Row],[Informe a data]],"mmmm"))</f>
        <v>MARÇO</v>
      </c>
      <c r="AC171" s="87" t="e">
        <f ca="1">_xlfn.CONCAT(Tabela1[[#This Row],[Selecione o Usuário]]," - ",TEXT(Tabela1[[#This Row],[Informe a data]],"dd-mm-aa"))</f>
        <v>#NAME?</v>
      </c>
    </row>
    <row r="172" spans="1:29">
      <c r="A172" s="49">
        <v>46095.659791666665</v>
      </c>
      <c r="B172" s="50" t="s">
        <v>504</v>
      </c>
      <c r="C172" s="50" t="s">
        <v>505</v>
      </c>
      <c r="D172" s="50" t="s">
        <v>506</v>
      </c>
      <c r="E172" s="51">
        <v>46091</v>
      </c>
      <c r="F172" s="52">
        <v>101252</v>
      </c>
      <c r="G172" s="58" t="s">
        <v>763</v>
      </c>
      <c r="H172" s="52">
        <v>101286</v>
      </c>
      <c r="I172" s="58" t="s">
        <v>764</v>
      </c>
      <c r="J172" s="50" t="s">
        <v>765</v>
      </c>
      <c r="K172" s="53"/>
      <c r="L172" s="50" t="s">
        <v>60</v>
      </c>
      <c r="M172" s="53"/>
      <c r="N172" s="53"/>
      <c r="O172" s="53"/>
      <c r="P172" s="53"/>
      <c r="Q172" s="53"/>
      <c r="R172" s="53"/>
      <c r="S172" s="53"/>
      <c r="T172" s="53"/>
      <c r="U172" s="85">
        <f>(Tabela1[[#This Row],[Informe o KM final do dia]]-Tabela1[[#This Row],[Informe o KM inicial do dia]])-Tabela1[[#This Row],[Caso tenha rodado particular alguma parte do trajeto, informe o total de KM a ser deduzido.]]</f>
        <v>34</v>
      </c>
      <c r="V172" s="55">
        <f>IF(Tabela1[[#This Row],[Informe a data]]&lt;DATE(2026,3,16), Tabela1[[#This Row],[KM Rodado]]*1.1, Tabela1[[#This Row],[KM Rodado]]*1.23)</f>
        <v>37.400000000000006</v>
      </c>
      <c r="W172" s="86">
        <f>IFERROR(SUBSTITUTE(Tabela1[[#This Row],[Pedágio]],".",",",1)*1,0)</f>
        <v>0</v>
      </c>
      <c r="X172" s="86">
        <f>IFERROR(SUBSTITUTE(Tabela1[[#This Row],[Estacionamento]],".",",",1)*1,0)</f>
        <v>0</v>
      </c>
      <c r="Y172" s="86">
        <f>IFERROR(SUBSTITUTE(Tabela1[[#This Row],[Despesas Diversas 
(Jantar em viagem, Impressões, Etc)]],".",",",1)*1,0)</f>
        <v>0</v>
      </c>
      <c r="Z172" s="86">
        <f>IFERROR(SUBSTITUTE(Tabela1[[#This Row],[Hospedagem]],".",",",1)*1,0)</f>
        <v>0</v>
      </c>
      <c r="AA172" s="56" t="str">
        <f>IF(DAY(Tabela1[[#This Row],[Informe a data]])&lt;=15,"1ª Quinzena","2ª Quinzena")</f>
        <v>1ª Quinzena</v>
      </c>
      <c r="AB172" s="56" t="str">
        <f>UPPER(TEXT(Tabela1[[#This Row],[Informe a data]],"mmmm"))</f>
        <v>MARÇO</v>
      </c>
      <c r="AC172" s="87" t="e">
        <f ca="1">_xlfn.CONCAT(Tabela1[[#This Row],[Selecione o Usuário]]," - ",TEXT(Tabela1[[#This Row],[Informe a data]],"dd-mm-aa"))</f>
        <v>#NAME?</v>
      </c>
    </row>
    <row r="173" spans="1:29">
      <c r="A173" s="89">
        <v>46091.582662037035</v>
      </c>
      <c r="B173" s="90" t="s">
        <v>300</v>
      </c>
      <c r="C173" s="90" t="s">
        <v>250</v>
      </c>
      <c r="D173" s="90" t="s">
        <v>228</v>
      </c>
      <c r="E173" s="91">
        <v>46091</v>
      </c>
      <c r="F173" s="92">
        <v>124203</v>
      </c>
      <c r="G173" s="93" t="s">
        <v>730</v>
      </c>
      <c r="H173" s="92">
        <v>124275</v>
      </c>
      <c r="I173" s="93" t="s">
        <v>731</v>
      </c>
      <c r="J173" s="90" t="s">
        <v>732</v>
      </c>
      <c r="K173" s="94"/>
      <c r="L173" s="90" t="s">
        <v>60</v>
      </c>
      <c r="M173" s="94"/>
      <c r="N173" s="94"/>
      <c r="O173" s="94"/>
      <c r="P173" s="94"/>
      <c r="Q173" s="94"/>
      <c r="R173" s="94"/>
      <c r="S173" s="94"/>
      <c r="T173" s="94"/>
      <c r="U173" s="85">
        <f>(Tabela1[[#This Row],[Informe o KM final do dia]]-Tabela1[[#This Row],[Informe o KM inicial do dia]])-Tabela1[[#This Row],[Caso tenha rodado particular alguma parte do trajeto, informe o total de KM a ser deduzido.]]</f>
        <v>72</v>
      </c>
      <c r="V173" s="55">
        <f>IF(Tabela1[[#This Row],[Informe a data]]&lt;DATE(2026,3,16), Tabela1[[#This Row],[KM Rodado]]*1.1, Tabela1[[#This Row],[KM Rodado]]*1.23)</f>
        <v>79.2</v>
      </c>
      <c r="W173" s="86">
        <f>IFERROR(SUBSTITUTE(Tabela1[[#This Row],[Pedágio]],".",",",1)*1,0)</f>
        <v>0</v>
      </c>
      <c r="X173" s="86">
        <f>IFERROR(SUBSTITUTE(Tabela1[[#This Row],[Estacionamento]],".",",",1)*1,0)</f>
        <v>0</v>
      </c>
      <c r="Y173" s="86">
        <f>IFERROR(SUBSTITUTE(Tabela1[[#This Row],[Despesas Diversas 
(Jantar em viagem, Impressões, Etc)]],".",",",1)*1,0)</f>
        <v>0</v>
      </c>
      <c r="Z173" s="86">
        <f>IFERROR(SUBSTITUTE(Tabela1[[#This Row],[Hospedagem]],".",",",1)*1,0)</f>
        <v>0</v>
      </c>
      <c r="AA173" s="56" t="str">
        <f>IF(DAY(Tabela1[[#This Row],[Informe a data]])&lt;=15,"1ª Quinzena","2ª Quinzena")</f>
        <v>1ª Quinzena</v>
      </c>
      <c r="AB173" s="56" t="str">
        <f>UPPER(TEXT(Tabela1[[#This Row],[Informe a data]],"mmmm"))</f>
        <v>MARÇO</v>
      </c>
      <c r="AC173" s="87" t="e">
        <f ca="1">_xlfn.CONCAT(Tabela1[[#This Row],[Selecione o Usuário]]," - ",TEXT(Tabela1[[#This Row],[Informe a data]],"dd-mm-aa"))</f>
        <v>#NAME?</v>
      </c>
    </row>
    <row r="174" spans="1:29">
      <c r="A174" s="49">
        <v>46097.318287037036</v>
      </c>
      <c r="B174" s="50" t="s">
        <v>176</v>
      </c>
      <c r="C174" s="50" t="s">
        <v>136</v>
      </c>
      <c r="D174" s="50" t="s">
        <v>177</v>
      </c>
      <c r="E174" s="51">
        <v>46091</v>
      </c>
      <c r="F174" s="52">
        <v>170050</v>
      </c>
      <c r="G174" s="58" t="s">
        <v>789</v>
      </c>
      <c r="H174" s="52">
        <v>170166</v>
      </c>
      <c r="I174" s="58" t="s">
        <v>790</v>
      </c>
      <c r="J174" s="50" t="s">
        <v>791</v>
      </c>
      <c r="K174" s="53"/>
      <c r="L174" s="50" t="s">
        <v>60</v>
      </c>
      <c r="M174" s="53"/>
      <c r="N174" s="53"/>
      <c r="O174" s="53"/>
      <c r="P174" s="53"/>
      <c r="Q174" s="53"/>
      <c r="R174" s="53"/>
      <c r="S174" s="53"/>
      <c r="T174" s="53"/>
      <c r="U174" s="85">
        <f>(Tabela1[[#This Row],[Informe o KM final do dia]]-Tabela1[[#This Row],[Informe o KM inicial do dia]])-Tabela1[[#This Row],[Caso tenha rodado particular alguma parte do trajeto, informe o total de KM a ser deduzido.]]</f>
        <v>116</v>
      </c>
      <c r="V174" s="55">
        <f>IF(Tabela1[[#This Row],[Informe a data]]&lt;DATE(2026,3,16), Tabela1[[#This Row],[KM Rodado]]*1.1, Tabela1[[#This Row],[KM Rodado]]*1.23)</f>
        <v>127.60000000000001</v>
      </c>
      <c r="W174" s="86">
        <f>IFERROR(SUBSTITUTE(Tabela1[[#This Row],[Pedágio]],".",",",1)*1,0)</f>
        <v>0</v>
      </c>
      <c r="X174" s="86">
        <f>IFERROR(SUBSTITUTE(Tabela1[[#This Row],[Estacionamento]],".",",",1)*1,0)</f>
        <v>0</v>
      </c>
      <c r="Y174" s="86">
        <f>IFERROR(SUBSTITUTE(Tabela1[[#This Row],[Despesas Diversas 
(Jantar em viagem, Impressões, Etc)]],".",",",1)*1,0)</f>
        <v>0</v>
      </c>
      <c r="Z174" s="86">
        <f>IFERROR(SUBSTITUTE(Tabela1[[#This Row],[Hospedagem]],".",",",1)*1,0)</f>
        <v>0</v>
      </c>
      <c r="AA174" s="56" t="str">
        <f>IF(DAY(Tabela1[[#This Row],[Informe a data]])&lt;=15,"1ª Quinzena","2ª Quinzena")</f>
        <v>1ª Quinzena</v>
      </c>
      <c r="AB174" s="56" t="str">
        <f>UPPER(TEXT(Tabela1[[#This Row],[Informe a data]],"mmmm"))</f>
        <v>MARÇO</v>
      </c>
      <c r="AC174" s="87" t="e">
        <f ca="1">_xlfn.CONCAT(Tabela1[[#This Row],[Selecione o Usuário]]," - ",TEXT(Tabela1[[#This Row],[Informe a data]],"dd-mm-aa"))</f>
        <v>#NAME?</v>
      </c>
    </row>
    <row r="175" spans="1:29">
      <c r="A175" s="49">
        <v>46096.719467592593</v>
      </c>
      <c r="B175" s="50" t="s">
        <v>469</v>
      </c>
      <c r="C175" s="50" t="s">
        <v>559</v>
      </c>
      <c r="D175" s="50" t="s">
        <v>560</v>
      </c>
      <c r="E175" s="51">
        <v>46092</v>
      </c>
      <c r="F175" s="52">
        <v>76622</v>
      </c>
      <c r="G175" s="53"/>
      <c r="H175" s="52">
        <v>76658</v>
      </c>
      <c r="I175" s="53"/>
      <c r="J175" s="50" t="s">
        <v>783</v>
      </c>
      <c r="K175" s="53"/>
      <c r="L175" s="50" t="s">
        <v>60</v>
      </c>
      <c r="M175" s="53"/>
      <c r="N175" s="53"/>
      <c r="O175" s="53"/>
      <c r="P175" s="53"/>
      <c r="Q175" s="53"/>
      <c r="R175" s="53"/>
      <c r="S175" s="53"/>
      <c r="T175" s="53"/>
      <c r="U175" s="85">
        <f>(Tabela1[[#This Row],[Informe o KM final do dia]]-Tabela1[[#This Row],[Informe o KM inicial do dia]])-Tabela1[[#This Row],[Caso tenha rodado particular alguma parte do trajeto, informe o total de KM a ser deduzido.]]</f>
        <v>36</v>
      </c>
      <c r="V175" s="55">
        <f>IF(Tabela1[[#This Row],[Informe a data]]&lt;DATE(2026,3,16), Tabela1[[#This Row],[KM Rodado]]*1.1, Tabela1[[#This Row],[KM Rodado]]*1.23)</f>
        <v>39.6</v>
      </c>
      <c r="W175" s="86">
        <f>IFERROR(SUBSTITUTE(Tabela1[[#This Row],[Pedágio]],".",",",1)*1,0)</f>
        <v>0</v>
      </c>
      <c r="X175" s="86">
        <f>IFERROR(SUBSTITUTE(Tabela1[[#This Row],[Estacionamento]],".",",",1)*1,0)</f>
        <v>0</v>
      </c>
      <c r="Y175" s="86">
        <f>IFERROR(SUBSTITUTE(Tabela1[[#This Row],[Despesas Diversas 
(Jantar em viagem, Impressões, Etc)]],".",",",1)*1,0)</f>
        <v>0</v>
      </c>
      <c r="Z175" s="86">
        <f>IFERROR(SUBSTITUTE(Tabela1[[#This Row],[Hospedagem]],".",",",1)*1,0)</f>
        <v>0</v>
      </c>
      <c r="AA175" s="56" t="str">
        <f>IF(DAY(Tabela1[[#This Row],[Informe a data]])&lt;=15,"1ª Quinzena","2ª Quinzena")</f>
        <v>1ª Quinzena</v>
      </c>
      <c r="AB175" s="56" t="str">
        <f>UPPER(TEXT(Tabela1[[#This Row],[Informe a data]],"mmmm"))</f>
        <v>MARÇO</v>
      </c>
      <c r="AC175" s="87" t="e">
        <f ca="1">_xlfn.CONCAT(Tabela1[[#This Row],[Selecione o Usuário]]," - ",TEXT(Tabela1[[#This Row],[Informe a data]],"dd-mm-aa"))</f>
        <v>#NAME?</v>
      </c>
    </row>
    <row r="176" spans="1:29">
      <c r="A176" s="89">
        <v>46092.788958333331</v>
      </c>
      <c r="B176" s="90" t="s">
        <v>131</v>
      </c>
      <c r="C176" s="90" t="s">
        <v>132</v>
      </c>
      <c r="D176" s="90" t="s">
        <v>133</v>
      </c>
      <c r="E176" s="91">
        <v>46092</v>
      </c>
      <c r="F176" s="92">
        <v>189350</v>
      </c>
      <c r="G176" s="93" t="s">
        <v>736</v>
      </c>
      <c r="H176" s="92">
        <v>189605</v>
      </c>
      <c r="I176" s="93" t="s">
        <v>737</v>
      </c>
      <c r="J176" s="90" t="s">
        <v>738</v>
      </c>
      <c r="K176" s="94"/>
      <c r="L176" s="90" t="s">
        <v>61</v>
      </c>
      <c r="M176" s="90" t="s">
        <v>298</v>
      </c>
      <c r="N176" s="93" t="s">
        <v>739</v>
      </c>
      <c r="O176" s="90" t="s">
        <v>359</v>
      </c>
      <c r="P176" s="93" t="s">
        <v>740</v>
      </c>
      <c r="Q176" s="94"/>
      <c r="R176" s="94"/>
      <c r="S176" s="94"/>
      <c r="T176" s="94"/>
      <c r="U176" s="85">
        <f>(Tabela1[[#This Row],[Informe o KM final do dia]]-Tabela1[[#This Row],[Informe o KM inicial do dia]])-Tabela1[[#This Row],[Caso tenha rodado particular alguma parte do trajeto, informe o total de KM a ser deduzido.]]</f>
        <v>255</v>
      </c>
      <c r="V176" s="55">
        <f>IF(Tabela1[[#This Row],[Informe a data]]&lt;DATE(2026,3,16), Tabela1[[#This Row],[KM Rodado]]*1.1, Tabela1[[#This Row],[KM Rodado]]*1.23)</f>
        <v>280.5</v>
      </c>
      <c r="W176" s="86">
        <f>IFERROR(SUBSTITUTE(Tabela1[[#This Row],[Pedágio]],".",",",1)*1,0)</f>
        <v>16.2</v>
      </c>
      <c r="X176" s="86">
        <f>IFERROR(SUBSTITUTE(Tabela1[[#This Row],[Estacionamento]],".",",",1)*1,0)</f>
        <v>10</v>
      </c>
      <c r="Y176" s="86">
        <f>IFERROR(SUBSTITUTE(Tabela1[[#This Row],[Despesas Diversas 
(Jantar em viagem, Impressões, Etc)]],".",",",1)*1,0)</f>
        <v>0</v>
      </c>
      <c r="Z176" s="86">
        <f>IFERROR(SUBSTITUTE(Tabela1[[#This Row],[Hospedagem]],".",",",1)*1,0)</f>
        <v>0</v>
      </c>
      <c r="AA176" s="56" t="str">
        <f>IF(DAY(Tabela1[[#This Row],[Informe a data]])&lt;=15,"1ª Quinzena","2ª Quinzena")</f>
        <v>1ª Quinzena</v>
      </c>
      <c r="AB176" s="56" t="str">
        <f>UPPER(TEXT(Tabela1[[#This Row],[Informe a data]],"mmmm"))</f>
        <v>MARÇO</v>
      </c>
      <c r="AC176" s="87" t="e">
        <f ca="1">_xlfn.CONCAT(Tabela1[[#This Row],[Selecione o Usuário]]," - ",TEXT(Tabela1[[#This Row],[Informe a data]],"dd-mm-aa"))</f>
        <v>#NAME?</v>
      </c>
    </row>
    <row r="177" spans="1:29">
      <c r="A177" s="49">
        <v>46093.440752314818</v>
      </c>
      <c r="B177" s="50" t="s">
        <v>497</v>
      </c>
      <c r="C177" s="50" t="s">
        <v>498</v>
      </c>
      <c r="D177" s="50" t="s">
        <v>499</v>
      </c>
      <c r="E177" s="51">
        <v>46092</v>
      </c>
      <c r="F177" s="52">
        <v>304042</v>
      </c>
      <c r="G177" s="58" t="s">
        <v>741</v>
      </c>
      <c r="H177" s="52">
        <v>304386</v>
      </c>
      <c r="I177" s="58" t="s">
        <v>742</v>
      </c>
      <c r="J177" s="50" t="s">
        <v>743</v>
      </c>
      <c r="K177" s="53"/>
      <c r="L177" s="50" t="s">
        <v>61</v>
      </c>
      <c r="M177" s="50" t="s">
        <v>744</v>
      </c>
      <c r="N177" s="50" t="s">
        <v>745</v>
      </c>
      <c r="O177" s="53"/>
      <c r="P177" s="53"/>
      <c r="Q177" s="53"/>
      <c r="R177" s="53"/>
      <c r="S177" s="53"/>
      <c r="T177" s="53"/>
      <c r="U177" s="85">
        <f>(Tabela1[[#This Row],[Informe o KM final do dia]]-Tabela1[[#This Row],[Informe o KM inicial do dia]])-Tabela1[[#This Row],[Caso tenha rodado particular alguma parte do trajeto, informe o total de KM a ser deduzido.]]</f>
        <v>344</v>
      </c>
      <c r="V177" s="55">
        <f>IF(Tabela1[[#This Row],[Informe a data]]&lt;DATE(2026,3,16), Tabela1[[#This Row],[KM Rodado]]*1.1, Tabela1[[#This Row],[KM Rodado]]*1.23)</f>
        <v>378.40000000000003</v>
      </c>
      <c r="W177" s="86">
        <f>IFERROR(SUBSTITUTE(Tabela1[[#This Row],[Pedágio]],".",",",1)*1,0)</f>
        <v>10.4</v>
      </c>
      <c r="X177" s="86">
        <f>IFERROR(SUBSTITUTE(Tabela1[[#This Row],[Estacionamento]],".",",",1)*1,0)</f>
        <v>0</v>
      </c>
      <c r="Y177" s="86">
        <f>IFERROR(SUBSTITUTE(Tabela1[[#This Row],[Despesas Diversas 
(Jantar em viagem, Impressões, Etc)]],".",",",1)*1,0)</f>
        <v>0</v>
      </c>
      <c r="Z177" s="86">
        <f>IFERROR(SUBSTITUTE(Tabela1[[#This Row],[Hospedagem]],".",",",1)*1,0)</f>
        <v>0</v>
      </c>
      <c r="AA177" s="56" t="str">
        <f>IF(DAY(Tabela1[[#This Row],[Informe a data]])&lt;=15,"1ª Quinzena","2ª Quinzena")</f>
        <v>1ª Quinzena</v>
      </c>
      <c r="AB177" s="56" t="str">
        <f>UPPER(TEXT(Tabela1[[#This Row],[Informe a data]],"mmmm"))</f>
        <v>MARÇO</v>
      </c>
      <c r="AC177" s="87" t="e">
        <f ca="1">_xlfn.CONCAT(Tabela1[[#This Row],[Selecione o Usuário]]," - ",TEXT(Tabela1[[#This Row],[Informe a data]],"dd-mm-aa"))</f>
        <v>#NAME?</v>
      </c>
    </row>
    <row r="178" spans="1:29">
      <c r="A178" s="89">
        <v>46095.661979166667</v>
      </c>
      <c r="B178" s="90" t="s">
        <v>504</v>
      </c>
      <c r="C178" s="90" t="s">
        <v>505</v>
      </c>
      <c r="D178" s="90" t="s">
        <v>506</v>
      </c>
      <c r="E178" s="91">
        <v>46092</v>
      </c>
      <c r="F178" s="92">
        <v>101425</v>
      </c>
      <c r="G178" s="93" t="s">
        <v>766</v>
      </c>
      <c r="H178" s="92">
        <v>101586</v>
      </c>
      <c r="I178" s="93" t="s">
        <v>767</v>
      </c>
      <c r="J178" s="90" t="s">
        <v>768</v>
      </c>
      <c r="K178" s="94"/>
      <c r="L178" s="90" t="s">
        <v>60</v>
      </c>
      <c r="M178" s="94"/>
      <c r="N178" s="94"/>
      <c r="O178" s="94"/>
      <c r="P178" s="94"/>
      <c r="Q178" s="94"/>
      <c r="R178" s="94"/>
      <c r="S178" s="94"/>
      <c r="T178" s="94"/>
      <c r="U178" s="85">
        <f>(Tabela1[[#This Row],[Informe o KM final do dia]]-Tabela1[[#This Row],[Informe o KM inicial do dia]])-Tabela1[[#This Row],[Caso tenha rodado particular alguma parte do trajeto, informe o total de KM a ser deduzido.]]</f>
        <v>161</v>
      </c>
      <c r="V178" s="55">
        <f>IF(Tabela1[[#This Row],[Informe a data]]&lt;DATE(2026,3,16), Tabela1[[#This Row],[KM Rodado]]*1.1, Tabela1[[#This Row],[KM Rodado]]*1.23)</f>
        <v>177.10000000000002</v>
      </c>
      <c r="W178" s="86">
        <f>IFERROR(SUBSTITUTE(Tabela1[[#This Row],[Pedágio]],".",",",1)*1,0)</f>
        <v>0</v>
      </c>
      <c r="X178" s="86">
        <f>IFERROR(SUBSTITUTE(Tabela1[[#This Row],[Estacionamento]],".",",",1)*1,0)</f>
        <v>0</v>
      </c>
      <c r="Y178" s="86">
        <f>IFERROR(SUBSTITUTE(Tabela1[[#This Row],[Despesas Diversas 
(Jantar em viagem, Impressões, Etc)]],".",",",1)*1,0)</f>
        <v>0</v>
      </c>
      <c r="Z178" s="86">
        <f>IFERROR(SUBSTITUTE(Tabela1[[#This Row],[Hospedagem]],".",",",1)*1,0)</f>
        <v>0</v>
      </c>
      <c r="AA178" s="56" t="str">
        <f>IF(DAY(Tabela1[[#This Row],[Informe a data]])&lt;=15,"1ª Quinzena","2ª Quinzena")</f>
        <v>1ª Quinzena</v>
      </c>
      <c r="AB178" s="56" t="str">
        <f>UPPER(TEXT(Tabela1[[#This Row],[Informe a data]],"mmmm"))</f>
        <v>MARÇO</v>
      </c>
      <c r="AC178" s="87" t="e">
        <f ca="1">_xlfn.CONCAT(Tabela1[[#This Row],[Selecione o Usuário]]," - ",TEXT(Tabela1[[#This Row],[Informe a data]],"dd-mm-aa"))</f>
        <v>#NAME?</v>
      </c>
    </row>
    <row r="179" spans="1:29">
      <c r="A179" s="89">
        <v>46097.319988425923</v>
      </c>
      <c r="B179" s="90" t="s">
        <v>176</v>
      </c>
      <c r="C179" s="90" t="s">
        <v>136</v>
      </c>
      <c r="D179" s="90" t="s">
        <v>177</v>
      </c>
      <c r="E179" s="91">
        <v>46092</v>
      </c>
      <c r="F179" s="92">
        <v>170166</v>
      </c>
      <c r="G179" s="93" t="s">
        <v>792</v>
      </c>
      <c r="H179" s="92">
        <v>170205</v>
      </c>
      <c r="I179" s="93" t="s">
        <v>793</v>
      </c>
      <c r="J179" s="90" t="s">
        <v>794</v>
      </c>
      <c r="K179" s="94"/>
      <c r="L179" s="90" t="s">
        <v>60</v>
      </c>
      <c r="M179" s="94"/>
      <c r="N179" s="94"/>
      <c r="O179" s="94"/>
      <c r="P179" s="94"/>
      <c r="Q179" s="94"/>
      <c r="R179" s="94"/>
      <c r="S179" s="94"/>
      <c r="T179" s="94"/>
      <c r="U179" s="85">
        <f>(Tabela1[[#This Row],[Informe o KM final do dia]]-Tabela1[[#This Row],[Informe o KM inicial do dia]])-Tabela1[[#This Row],[Caso tenha rodado particular alguma parte do trajeto, informe o total de KM a ser deduzido.]]</f>
        <v>39</v>
      </c>
      <c r="V179" s="55">
        <f>IF(Tabela1[[#This Row],[Informe a data]]&lt;DATE(2026,3,16), Tabela1[[#This Row],[KM Rodado]]*1.1, Tabela1[[#This Row],[KM Rodado]]*1.23)</f>
        <v>42.900000000000006</v>
      </c>
      <c r="W179" s="86">
        <f>IFERROR(SUBSTITUTE(Tabela1[[#This Row],[Pedágio]],".",",",1)*1,0)</f>
        <v>0</v>
      </c>
      <c r="X179" s="86">
        <f>IFERROR(SUBSTITUTE(Tabela1[[#This Row],[Estacionamento]],".",",",1)*1,0)</f>
        <v>0</v>
      </c>
      <c r="Y179" s="86">
        <f>IFERROR(SUBSTITUTE(Tabela1[[#This Row],[Despesas Diversas 
(Jantar em viagem, Impressões, Etc)]],".",",",1)*1,0)</f>
        <v>0</v>
      </c>
      <c r="Z179" s="86">
        <f>IFERROR(SUBSTITUTE(Tabela1[[#This Row],[Hospedagem]],".",",",1)*1,0)</f>
        <v>0</v>
      </c>
      <c r="AA179" s="56" t="str">
        <f>IF(DAY(Tabela1[[#This Row],[Informe a data]])&lt;=15,"1ª Quinzena","2ª Quinzena")</f>
        <v>1ª Quinzena</v>
      </c>
      <c r="AB179" s="56" t="str">
        <f>UPPER(TEXT(Tabela1[[#This Row],[Informe a data]],"mmmm"))</f>
        <v>MARÇO</v>
      </c>
      <c r="AC179" s="87" t="e">
        <f ca="1">_xlfn.CONCAT(Tabela1[[#This Row],[Selecione o Usuário]]," - ",TEXT(Tabela1[[#This Row],[Informe a data]],"dd-mm-aa"))</f>
        <v>#NAME?</v>
      </c>
    </row>
    <row r="180" spans="1:29">
      <c r="A180" s="89">
        <v>46093.760775462964</v>
      </c>
      <c r="B180" s="90" t="s">
        <v>140</v>
      </c>
      <c r="C180" s="90" t="s">
        <v>141</v>
      </c>
      <c r="D180" s="90" t="s">
        <v>169</v>
      </c>
      <c r="E180" s="91">
        <v>46092</v>
      </c>
      <c r="F180" s="90">
        <v>63453</v>
      </c>
      <c r="G180" s="93" t="s">
        <v>746</v>
      </c>
      <c r="H180" s="90">
        <v>63515</v>
      </c>
      <c r="I180" s="93" t="s">
        <v>747</v>
      </c>
      <c r="J180" s="90" t="s">
        <v>748</v>
      </c>
      <c r="K180" s="94"/>
      <c r="L180" s="90" t="s">
        <v>60</v>
      </c>
      <c r="M180" s="94"/>
      <c r="N180" s="94"/>
      <c r="O180" s="94"/>
      <c r="P180" s="94"/>
      <c r="Q180" s="94"/>
      <c r="R180" s="94"/>
      <c r="S180" s="94"/>
      <c r="T180" s="94"/>
      <c r="U180" s="85">
        <f>(Tabela1[[#This Row],[Informe o KM final do dia]]-Tabela1[[#This Row],[Informe o KM inicial do dia]])-Tabela1[[#This Row],[Caso tenha rodado particular alguma parte do trajeto, informe o total de KM a ser deduzido.]]</f>
        <v>62</v>
      </c>
      <c r="V180" s="55">
        <f>IF(Tabela1[[#This Row],[Informe a data]]&lt;DATE(2026,3,16), Tabela1[[#This Row],[KM Rodado]]*1.1, Tabela1[[#This Row],[KM Rodado]]*1.23)</f>
        <v>68.2</v>
      </c>
      <c r="W180" s="86">
        <f>IFERROR(SUBSTITUTE(Tabela1[[#This Row],[Pedágio]],".",",",1)*1,0)</f>
        <v>0</v>
      </c>
      <c r="X180" s="86">
        <f>IFERROR(SUBSTITUTE(Tabela1[[#This Row],[Estacionamento]],".",",",1)*1,0)</f>
        <v>0</v>
      </c>
      <c r="Y180" s="86">
        <f>IFERROR(SUBSTITUTE(Tabela1[[#This Row],[Despesas Diversas 
(Jantar em viagem, Impressões, Etc)]],".",",",1)*1,0)</f>
        <v>0</v>
      </c>
      <c r="Z180" s="86">
        <f>IFERROR(SUBSTITUTE(Tabela1[[#This Row],[Hospedagem]],".",",",1)*1,0)</f>
        <v>0</v>
      </c>
      <c r="AA180" s="56" t="str">
        <f>IF(DAY(Tabela1[[#This Row],[Informe a data]])&lt;=15,"1ª Quinzena","2ª Quinzena")</f>
        <v>1ª Quinzena</v>
      </c>
      <c r="AB180" s="56" t="str">
        <f>UPPER(TEXT(Tabela1[[#This Row],[Informe a data]],"mmmm"))</f>
        <v>MARÇO</v>
      </c>
      <c r="AC180" s="87" t="e">
        <f ca="1">_xlfn.CONCAT(Tabela1[[#This Row],[Selecione o Usuário]]," - ",TEXT(Tabela1[[#This Row],[Informe a data]],"dd-mm-aa"))</f>
        <v>#NAME?</v>
      </c>
    </row>
    <row r="181" spans="1:29">
      <c r="A181" s="89">
        <v>46096.722025462965</v>
      </c>
      <c r="B181" s="90" t="s">
        <v>469</v>
      </c>
      <c r="C181" s="90" t="s">
        <v>559</v>
      </c>
      <c r="D181" s="90" t="s">
        <v>560</v>
      </c>
      <c r="E181" s="91">
        <v>46093</v>
      </c>
      <c r="F181" s="92">
        <v>76665</v>
      </c>
      <c r="G181" s="94"/>
      <c r="H181" s="92">
        <v>76796</v>
      </c>
      <c r="I181" s="94"/>
      <c r="J181" s="90" t="s">
        <v>784</v>
      </c>
      <c r="K181" s="94"/>
      <c r="L181" s="90" t="s">
        <v>60</v>
      </c>
      <c r="M181" s="94"/>
      <c r="N181" s="94"/>
      <c r="O181" s="94"/>
      <c r="P181" s="94"/>
      <c r="Q181" s="94"/>
      <c r="R181" s="94"/>
      <c r="S181" s="94"/>
      <c r="T181" s="94"/>
      <c r="U181" s="85">
        <f>(Tabela1[[#This Row],[Informe o KM final do dia]]-Tabela1[[#This Row],[Informe o KM inicial do dia]])-Tabela1[[#This Row],[Caso tenha rodado particular alguma parte do trajeto, informe o total de KM a ser deduzido.]]</f>
        <v>131</v>
      </c>
      <c r="V181" s="55">
        <f>IF(Tabela1[[#This Row],[Informe a data]]&lt;DATE(2026,3,16), Tabela1[[#This Row],[KM Rodado]]*1.1, Tabela1[[#This Row],[KM Rodado]]*1.23)</f>
        <v>144.10000000000002</v>
      </c>
      <c r="W181" s="86">
        <f>IFERROR(SUBSTITUTE(Tabela1[[#This Row],[Pedágio]],".",",",1)*1,0)</f>
        <v>0</v>
      </c>
      <c r="X181" s="86">
        <f>IFERROR(SUBSTITUTE(Tabela1[[#This Row],[Estacionamento]],".",",",1)*1,0)</f>
        <v>0</v>
      </c>
      <c r="Y181" s="86">
        <f>IFERROR(SUBSTITUTE(Tabela1[[#This Row],[Despesas Diversas 
(Jantar em viagem, Impressões, Etc)]],".",",",1)*1,0)</f>
        <v>0</v>
      </c>
      <c r="Z181" s="86">
        <f>IFERROR(SUBSTITUTE(Tabela1[[#This Row],[Hospedagem]],".",",",1)*1,0)</f>
        <v>0</v>
      </c>
      <c r="AA181" s="56" t="str">
        <f>IF(DAY(Tabela1[[#This Row],[Informe a data]])&lt;=15,"1ª Quinzena","2ª Quinzena")</f>
        <v>1ª Quinzena</v>
      </c>
      <c r="AB181" s="56" t="str">
        <f>UPPER(TEXT(Tabela1[[#This Row],[Informe a data]],"mmmm"))</f>
        <v>MARÇO</v>
      </c>
      <c r="AC181" s="87" t="e">
        <f ca="1">_xlfn.CONCAT(Tabela1[[#This Row],[Selecione o Usuário]]," - ",TEXT(Tabela1[[#This Row],[Informe a data]],"dd-mm-aa"))</f>
        <v>#NAME?</v>
      </c>
    </row>
    <row r="182" spans="1:29">
      <c r="A182" s="89">
        <v>46094.346620370372</v>
      </c>
      <c r="B182" s="90" t="s">
        <v>131</v>
      </c>
      <c r="C182" s="90" t="s">
        <v>132</v>
      </c>
      <c r="D182" s="90" t="s">
        <v>133</v>
      </c>
      <c r="E182" s="91">
        <v>46093</v>
      </c>
      <c r="F182" s="92">
        <v>189605</v>
      </c>
      <c r="G182" s="93" t="s">
        <v>752</v>
      </c>
      <c r="H182" s="92">
        <v>189667</v>
      </c>
      <c r="I182" s="93" t="s">
        <v>753</v>
      </c>
      <c r="J182" s="90" t="s">
        <v>754</v>
      </c>
      <c r="K182" s="94"/>
      <c r="L182" s="90" t="s">
        <v>61</v>
      </c>
      <c r="M182" s="94"/>
      <c r="N182" s="94"/>
      <c r="O182" s="90" t="s">
        <v>317</v>
      </c>
      <c r="P182" s="93" t="s">
        <v>755</v>
      </c>
      <c r="Q182" s="94"/>
      <c r="R182" s="94"/>
      <c r="S182" s="94"/>
      <c r="T182" s="94"/>
      <c r="U182" s="85">
        <f>(Tabela1[[#This Row],[Informe o KM final do dia]]-Tabela1[[#This Row],[Informe o KM inicial do dia]])-Tabela1[[#This Row],[Caso tenha rodado particular alguma parte do trajeto, informe o total de KM a ser deduzido.]]</f>
        <v>62</v>
      </c>
      <c r="V182" s="55">
        <f>IF(Tabela1[[#This Row],[Informe a data]]&lt;DATE(2026,3,16), Tabela1[[#This Row],[KM Rodado]]*1.1, Tabela1[[#This Row],[KM Rodado]]*1.23)</f>
        <v>68.2</v>
      </c>
      <c r="W182" s="86">
        <f>IFERROR(SUBSTITUTE(Tabela1[[#This Row],[Pedágio]],".",",",1)*1,0)</f>
        <v>0</v>
      </c>
      <c r="X182" s="86">
        <f>IFERROR(SUBSTITUTE(Tabela1[[#This Row],[Estacionamento]],".",",",1)*1,0)</f>
        <v>20</v>
      </c>
      <c r="Y182" s="86">
        <f>IFERROR(SUBSTITUTE(Tabela1[[#This Row],[Despesas Diversas 
(Jantar em viagem, Impressões, Etc)]],".",",",1)*1,0)</f>
        <v>0</v>
      </c>
      <c r="Z182" s="86">
        <f>IFERROR(SUBSTITUTE(Tabela1[[#This Row],[Hospedagem]],".",",",1)*1,0)</f>
        <v>0</v>
      </c>
      <c r="AA182" s="56" t="str">
        <f>IF(DAY(Tabela1[[#This Row],[Informe a data]])&lt;=15,"1ª Quinzena","2ª Quinzena")</f>
        <v>1ª Quinzena</v>
      </c>
      <c r="AB182" s="56" t="str">
        <f>UPPER(TEXT(Tabela1[[#This Row],[Informe a data]],"mmmm"))</f>
        <v>MARÇO</v>
      </c>
      <c r="AC182" s="87" t="e">
        <f ca="1">_xlfn.CONCAT(Tabela1[[#This Row],[Selecione o Usuário]]," - ",TEXT(Tabela1[[#This Row],[Informe a data]],"dd-mm-aa"))</f>
        <v>#NAME?</v>
      </c>
    </row>
    <row r="183" spans="1:29">
      <c r="A183" s="49">
        <v>46095.663831018515</v>
      </c>
      <c r="B183" s="50" t="s">
        <v>504</v>
      </c>
      <c r="C183" s="50" t="s">
        <v>505</v>
      </c>
      <c r="D183" s="50" t="s">
        <v>506</v>
      </c>
      <c r="E183" s="51">
        <v>46093</v>
      </c>
      <c r="F183" s="52">
        <v>101595</v>
      </c>
      <c r="G183" s="58" t="s">
        <v>769</v>
      </c>
      <c r="H183" s="52">
        <v>101616</v>
      </c>
      <c r="I183" s="58" t="s">
        <v>770</v>
      </c>
      <c r="J183" s="50" t="s">
        <v>771</v>
      </c>
      <c r="K183" s="53"/>
      <c r="L183" s="50" t="s">
        <v>60</v>
      </c>
      <c r="M183" s="53"/>
      <c r="N183" s="53"/>
      <c r="O183" s="53"/>
      <c r="P183" s="53"/>
      <c r="Q183" s="53"/>
      <c r="R183" s="53"/>
      <c r="S183" s="53"/>
      <c r="T183" s="53"/>
      <c r="U183" s="85">
        <f>(Tabela1[[#This Row],[Informe o KM final do dia]]-Tabela1[[#This Row],[Informe o KM inicial do dia]])-Tabela1[[#This Row],[Caso tenha rodado particular alguma parte do trajeto, informe o total de KM a ser deduzido.]]</f>
        <v>21</v>
      </c>
      <c r="V183" s="55">
        <f>IF(Tabela1[[#This Row],[Informe a data]]&lt;DATE(2026,3,16), Tabela1[[#This Row],[KM Rodado]]*1.1, Tabela1[[#This Row],[KM Rodado]]*1.23)</f>
        <v>23.1</v>
      </c>
      <c r="W183" s="86">
        <f>IFERROR(SUBSTITUTE(Tabela1[[#This Row],[Pedágio]],".",",",1)*1,0)</f>
        <v>0</v>
      </c>
      <c r="X183" s="86">
        <f>IFERROR(SUBSTITUTE(Tabela1[[#This Row],[Estacionamento]],".",",",1)*1,0)</f>
        <v>0</v>
      </c>
      <c r="Y183" s="86">
        <f>IFERROR(SUBSTITUTE(Tabela1[[#This Row],[Despesas Diversas 
(Jantar em viagem, Impressões, Etc)]],".",",",1)*1,0)</f>
        <v>0</v>
      </c>
      <c r="Z183" s="86">
        <f>IFERROR(SUBSTITUTE(Tabela1[[#This Row],[Hospedagem]],".",",",1)*1,0)</f>
        <v>0</v>
      </c>
      <c r="AA183" s="56" t="str">
        <f>IF(DAY(Tabela1[[#This Row],[Informe a data]])&lt;=15,"1ª Quinzena","2ª Quinzena")</f>
        <v>1ª Quinzena</v>
      </c>
      <c r="AB183" s="56" t="str">
        <f>UPPER(TEXT(Tabela1[[#This Row],[Informe a data]],"mmmm"))</f>
        <v>MARÇO</v>
      </c>
      <c r="AC183" s="87" t="e">
        <f ca="1">_xlfn.CONCAT(Tabela1[[#This Row],[Selecione o Usuário]]," - ",TEXT(Tabela1[[#This Row],[Informe a data]],"dd-mm-aa"))</f>
        <v>#NAME?</v>
      </c>
    </row>
    <row r="184" spans="1:29">
      <c r="A184" s="49">
        <v>46097.321516203701</v>
      </c>
      <c r="B184" s="50" t="s">
        <v>176</v>
      </c>
      <c r="C184" s="50" t="s">
        <v>136</v>
      </c>
      <c r="D184" s="50" t="s">
        <v>177</v>
      </c>
      <c r="E184" s="51">
        <v>46093</v>
      </c>
      <c r="F184" s="52">
        <v>170207</v>
      </c>
      <c r="G184" s="58" t="s">
        <v>795</v>
      </c>
      <c r="H184" s="52">
        <v>170479</v>
      </c>
      <c r="I184" s="58" t="s">
        <v>796</v>
      </c>
      <c r="J184" s="50" t="s">
        <v>797</v>
      </c>
      <c r="K184" s="53"/>
      <c r="L184" s="50" t="s">
        <v>60</v>
      </c>
      <c r="M184" s="53"/>
      <c r="N184" s="53"/>
      <c r="O184" s="53"/>
      <c r="P184" s="53"/>
      <c r="Q184" s="53"/>
      <c r="R184" s="53"/>
      <c r="S184" s="53"/>
      <c r="T184" s="53"/>
      <c r="U184" s="85">
        <f>(Tabela1[[#This Row],[Informe o KM final do dia]]-Tabela1[[#This Row],[Informe o KM inicial do dia]])-Tabela1[[#This Row],[Caso tenha rodado particular alguma parte do trajeto, informe o total de KM a ser deduzido.]]</f>
        <v>272</v>
      </c>
      <c r="V184" s="55">
        <f>IF(Tabela1[[#This Row],[Informe a data]]&lt;DATE(2026,3,16), Tabela1[[#This Row],[KM Rodado]]*1.1, Tabela1[[#This Row],[KM Rodado]]*1.23)</f>
        <v>299.20000000000005</v>
      </c>
      <c r="W184" s="86">
        <f>IFERROR(SUBSTITUTE(Tabela1[[#This Row],[Pedágio]],".",",",1)*1,0)</f>
        <v>0</v>
      </c>
      <c r="X184" s="86">
        <f>IFERROR(SUBSTITUTE(Tabela1[[#This Row],[Estacionamento]],".",",",1)*1,0)</f>
        <v>0</v>
      </c>
      <c r="Y184" s="86">
        <f>IFERROR(SUBSTITUTE(Tabela1[[#This Row],[Despesas Diversas 
(Jantar em viagem, Impressões, Etc)]],".",",",1)*1,0)</f>
        <v>0</v>
      </c>
      <c r="Z184" s="86">
        <f>IFERROR(SUBSTITUTE(Tabela1[[#This Row],[Hospedagem]],".",",",1)*1,0)</f>
        <v>0</v>
      </c>
      <c r="AA184" s="56" t="str">
        <f>IF(DAY(Tabela1[[#This Row],[Informe a data]])&lt;=15,"1ª Quinzena","2ª Quinzena")</f>
        <v>1ª Quinzena</v>
      </c>
      <c r="AB184" s="56" t="str">
        <f>UPPER(TEXT(Tabela1[[#This Row],[Informe a data]],"mmmm"))</f>
        <v>MARÇO</v>
      </c>
      <c r="AC184" s="87" t="e">
        <f ca="1">_xlfn.CONCAT(Tabela1[[#This Row],[Selecione o Usuário]]," - ",TEXT(Tabela1[[#This Row],[Informe a data]],"dd-mm-aa"))</f>
        <v>#NAME?</v>
      </c>
    </row>
    <row r="185" spans="1:29">
      <c r="A185" s="49">
        <v>46093.763564814813</v>
      </c>
      <c r="B185" s="50" t="s">
        <v>140</v>
      </c>
      <c r="C185" s="50" t="s">
        <v>141</v>
      </c>
      <c r="D185" s="50" t="s">
        <v>169</v>
      </c>
      <c r="E185" s="51">
        <v>46093</v>
      </c>
      <c r="F185" s="52">
        <v>128787</v>
      </c>
      <c r="G185" s="58" t="s">
        <v>749</v>
      </c>
      <c r="H185" s="52">
        <v>128975</v>
      </c>
      <c r="I185" s="58" t="s">
        <v>750</v>
      </c>
      <c r="J185" s="50" t="s">
        <v>751</v>
      </c>
      <c r="K185" s="53"/>
      <c r="L185" s="50" t="s">
        <v>60</v>
      </c>
      <c r="M185" s="53"/>
      <c r="N185" s="53"/>
      <c r="O185" s="53"/>
      <c r="P185" s="53"/>
      <c r="Q185" s="53"/>
      <c r="R185" s="53"/>
      <c r="S185" s="53"/>
      <c r="T185" s="53"/>
      <c r="U185" s="85">
        <f>(Tabela1[[#This Row],[Informe o KM final do dia]]-Tabela1[[#This Row],[Informe o KM inicial do dia]])-Tabela1[[#This Row],[Caso tenha rodado particular alguma parte do trajeto, informe o total de KM a ser deduzido.]]</f>
        <v>188</v>
      </c>
      <c r="V185" s="55">
        <f>IF(Tabela1[[#This Row],[Informe a data]]&lt;DATE(2026,3,16), Tabela1[[#This Row],[KM Rodado]]*1.1, Tabela1[[#This Row],[KM Rodado]]*1.23)</f>
        <v>206.8</v>
      </c>
      <c r="W185" s="86">
        <f>IFERROR(SUBSTITUTE(Tabela1[[#This Row],[Pedágio]],".",",",1)*1,0)</f>
        <v>0</v>
      </c>
      <c r="X185" s="86">
        <f>IFERROR(SUBSTITUTE(Tabela1[[#This Row],[Estacionamento]],".",",",1)*1,0)</f>
        <v>0</v>
      </c>
      <c r="Y185" s="86">
        <f>IFERROR(SUBSTITUTE(Tabela1[[#This Row],[Despesas Diversas 
(Jantar em viagem, Impressões, Etc)]],".",",",1)*1,0)</f>
        <v>0</v>
      </c>
      <c r="Z185" s="86">
        <f>IFERROR(SUBSTITUTE(Tabela1[[#This Row],[Hospedagem]],".",",",1)*1,0)</f>
        <v>0</v>
      </c>
      <c r="AA185" s="56" t="str">
        <f>IF(DAY(Tabela1[[#This Row],[Informe a data]])&lt;=15,"1ª Quinzena","2ª Quinzena")</f>
        <v>1ª Quinzena</v>
      </c>
      <c r="AB185" s="56" t="str">
        <f>UPPER(TEXT(Tabela1[[#This Row],[Informe a data]],"mmmm"))</f>
        <v>MARÇO</v>
      </c>
      <c r="AC185" s="87" t="e">
        <f ca="1">_xlfn.CONCAT(Tabela1[[#This Row],[Selecione o Usuário]]," - ",TEXT(Tabela1[[#This Row],[Informe a data]],"dd-mm-aa"))</f>
        <v>#NAME?</v>
      </c>
    </row>
    <row r="186" spans="1:29">
      <c r="A186" s="49">
        <v>46096.723124999997</v>
      </c>
      <c r="B186" s="50" t="s">
        <v>469</v>
      </c>
      <c r="C186" s="50" t="s">
        <v>559</v>
      </c>
      <c r="D186" s="50" t="s">
        <v>560</v>
      </c>
      <c r="E186" s="51">
        <v>46094</v>
      </c>
      <c r="F186" s="52">
        <v>76804</v>
      </c>
      <c r="G186" s="53"/>
      <c r="H186" s="52">
        <v>76960</v>
      </c>
      <c r="I186" s="53"/>
      <c r="J186" s="50" t="s">
        <v>785</v>
      </c>
      <c r="K186" s="53"/>
      <c r="L186" s="50" t="s">
        <v>60</v>
      </c>
      <c r="M186" s="53"/>
      <c r="N186" s="53"/>
      <c r="O186" s="53"/>
      <c r="P186" s="53"/>
      <c r="Q186" s="53"/>
      <c r="R186" s="53"/>
      <c r="S186" s="53"/>
      <c r="T186" s="53"/>
      <c r="U186" s="85">
        <f>(Tabela1[[#This Row],[Informe o KM final do dia]]-Tabela1[[#This Row],[Informe o KM inicial do dia]])-Tabela1[[#This Row],[Caso tenha rodado particular alguma parte do trajeto, informe o total de KM a ser deduzido.]]</f>
        <v>156</v>
      </c>
      <c r="V186" s="55">
        <f>IF(Tabela1[[#This Row],[Informe a data]]&lt;DATE(2026,3,16), Tabela1[[#This Row],[KM Rodado]]*1.1, Tabela1[[#This Row],[KM Rodado]]*1.23)</f>
        <v>171.60000000000002</v>
      </c>
      <c r="W186" s="86">
        <f>IFERROR(SUBSTITUTE(Tabela1[[#This Row],[Pedágio]],".",",",1)*1,0)</f>
        <v>0</v>
      </c>
      <c r="X186" s="86">
        <f>IFERROR(SUBSTITUTE(Tabela1[[#This Row],[Estacionamento]],".",",",1)*1,0)</f>
        <v>0</v>
      </c>
      <c r="Y186" s="86">
        <f>IFERROR(SUBSTITUTE(Tabela1[[#This Row],[Despesas Diversas 
(Jantar em viagem, Impressões, Etc)]],".",",",1)*1,0)</f>
        <v>0</v>
      </c>
      <c r="Z186" s="86">
        <f>IFERROR(SUBSTITUTE(Tabela1[[#This Row],[Hospedagem]],".",",",1)*1,0)</f>
        <v>0</v>
      </c>
      <c r="AA186" s="56" t="str">
        <f>IF(DAY(Tabela1[[#This Row],[Informe a data]])&lt;=15,"1ª Quinzena","2ª Quinzena")</f>
        <v>1ª Quinzena</v>
      </c>
      <c r="AB186" s="56" t="str">
        <f>UPPER(TEXT(Tabela1[[#This Row],[Informe a data]],"mmmm"))</f>
        <v>MARÇO</v>
      </c>
      <c r="AC186" s="87" t="e">
        <f ca="1">_xlfn.CONCAT(Tabela1[[#This Row],[Selecione o Usuário]]," - ",TEXT(Tabela1[[#This Row],[Informe a data]],"dd-mm-aa"))</f>
        <v>#NAME?</v>
      </c>
    </row>
    <row r="187" spans="1:29">
      <c r="A187" s="49">
        <v>46094.822789351849</v>
      </c>
      <c r="B187" s="50" t="s">
        <v>131</v>
      </c>
      <c r="C187" s="50" t="s">
        <v>132</v>
      </c>
      <c r="D187" s="50" t="s">
        <v>133</v>
      </c>
      <c r="E187" s="51">
        <v>46094</v>
      </c>
      <c r="F187" s="52">
        <v>189667</v>
      </c>
      <c r="G187" s="58" t="s">
        <v>756</v>
      </c>
      <c r="H187" s="52">
        <v>189855</v>
      </c>
      <c r="I187" s="58" t="s">
        <v>757</v>
      </c>
      <c r="J187" s="50" t="s">
        <v>758</v>
      </c>
      <c r="K187" s="53"/>
      <c r="L187" s="50" t="s">
        <v>61</v>
      </c>
      <c r="M187" s="50" t="s">
        <v>128</v>
      </c>
      <c r="N187" s="58" t="s">
        <v>759</v>
      </c>
      <c r="O187" s="53"/>
      <c r="P187" s="53"/>
      <c r="Q187" s="53"/>
      <c r="R187" s="53"/>
      <c r="S187" s="53"/>
      <c r="T187" s="53"/>
      <c r="U187" s="85">
        <f>(Tabela1[[#This Row],[Informe o KM final do dia]]-Tabela1[[#This Row],[Informe o KM inicial do dia]])-Tabela1[[#This Row],[Caso tenha rodado particular alguma parte do trajeto, informe o total de KM a ser deduzido.]]</f>
        <v>188</v>
      </c>
      <c r="V187" s="55">
        <f>IF(Tabela1[[#This Row],[Informe a data]]&lt;DATE(2026,3,16), Tabela1[[#This Row],[KM Rodado]]*1.1, Tabela1[[#This Row],[KM Rodado]]*1.23)</f>
        <v>206.8</v>
      </c>
      <c r="W187" s="86">
        <f>IFERROR(SUBSTITUTE(Tabela1[[#This Row],[Pedágio]],".",",",1)*1,0)</f>
        <v>11.4</v>
      </c>
      <c r="X187" s="86">
        <f>IFERROR(SUBSTITUTE(Tabela1[[#This Row],[Estacionamento]],".",",",1)*1,0)</f>
        <v>0</v>
      </c>
      <c r="Y187" s="86">
        <f>IFERROR(SUBSTITUTE(Tabela1[[#This Row],[Despesas Diversas 
(Jantar em viagem, Impressões, Etc)]],".",",",1)*1,0)</f>
        <v>0</v>
      </c>
      <c r="Z187" s="86">
        <f>IFERROR(SUBSTITUTE(Tabela1[[#This Row],[Hospedagem]],".",",",1)*1,0)</f>
        <v>0</v>
      </c>
      <c r="AA187" s="56" t="str">
        <f>IF(DAY(Tabela1[[#This Row],[Informe a data]])&lt;=15,"1ª Quinzena","2ª Quinzena")</f>
        <v>1ª Quinzena</v>
      </c>
      <c r="AB187" s="56" t="str">
        <f>UPPER(TEXT(Tabela1[[#This Row],[Informe a data]],"mmmm"))</f>
        <v>MARÇO</v>
      </c>
      <c r="AC187" s="87" t="e">
        <f ca="1">_xlfn.CONCAT(Tabela1[[#This Row],[Selecione o Usuário]]," - ",TEXT(Tabela1[[#This Row],[Informe a data]],"dd-mm-aa"))</f>
        <v>#NAME?</v>
      </c>
    </row>
    <row r="188" spans="1:29">
      <c r="A188" s="89">
        <v>46095.665659722225</v>
      </c>
      <c r="B188" s="90" t="s">
        <v>504</v>
      </c>
      <c r="C188" s="90" t="s">
        <v>505</v>
      </c>
      <c r="D188" s="90" t="s">
        <v>506</v>
      </c>
      <c r="E188" s="91">
        <v>46094</v>
      </c>
      <c r="F188" s="92">
        <v>101616</v>
      </c>
      <c r="G188" s="93" t="s">
        <v>772</v>
      </c>
      <c r="H188" s="92">
        <v>101693</v>
      </c>
      <c r="I188" s="93" t="s">
        <v>773</v>
      </c>
      <c r="J188" s="90" t="s">
        <v>774</v>
      </c>
      <c r="K188" s="94"/>
      <c r="L188" s="90" t="s">
        <v>60</v>
      </c>
      <c r="M188" s="94"/>
      <c r="N188" s="94"/>
      <c r="O188" s="94"/>
      <c r="P188" s="94"/>
      <c r="Q188" s="94"/>
      <c r="R188" s="94"/>
      <c r="S188" s="94"/>
      <c r="T188" s="94"/>
      <c r="U188" s="85">
        <f>(Tabela1[[#This Row],[Informe o KM final do dia]]-Tabela1[[#This Row],[Informe o KM inicial do dia]])-Tabela1[[#This Row],[Caso tenha rodado particular alguma parte do trajeto, informe o total de KM a ser deduzido.]]</f>
        <v>77</v>
      </c>
      <c r="V188" s="55">
        <f>IF(Tabela1[[#This Row],[Informe a data]]&lt;DATE(2026,3,16), Tabela1[[#This Row],[KM Rodado]]*1.1, Tabela1[[#This Row],[KM Rodado]]*1.23)</f>
        <v>84.7</v>
      </c>
      <c r="W188" s="86">
        <f>IFERROR(SUBSTITUTE(Tabela1[[#This Row],[Pedágio]],".",",",1)*1,0)</f>
        <v>0</v>
      </c>
      <c r="X188" s="86">
        <f>IFERROR(SUBSTITUTE(Tabela1[[#This Row],[Estacionamento]],".",",",1)*1,0)</f>
        <v>0</v>
      </c>
      <c r="Y188" s="86">
        <f>IFERROR(SUBSTITUTE(Tabela1[[#This Row],[Despesas Diversas 
(Jantar em viagem, Impressões, Etc)]],".",",",1)*1,0)</f>
        <v>0</v>
      </c>
      <c r="Z188" s="86">
        <f>IFERROR(SUBSTITUTE(Tabela1[[#This Row],[Hospedagem]],".",",",1)*1,0)</f>
        <v>0</v>
      </c>
      <c r="AA188" s="56" t="str">
        <f>IF(DAY(Tabela1[[#This Row],[Informe a data]])&lt;=15,"1ª Quinzena","2ª Quinzena")</f>
        <v>1ª Quinzena</v>
      </c>
      <c r="AB188" s="56" t="str">
        <f>UPPER(TEXT(Tabela1[[#This Row],[Informe a data]],"mmmm"))</f>
        <v>MARÇO</v>
      </c>
      <c r="AC188" s="87" t="e">
        <f ca="1">_xlfn.CONCAT(Tabela1[[#This Row],[Selecione o Usuário]]," - ",TEXT(Tabela1[[#This Row],[Informe a data]],"dd-mm-aa"))</f>
        <v>#NAME?</v>
      </c>
    </row>
    <row r="189" spans="1:29">
      <c r="A189" s="89">
        <v>46097.322939814818</v>
      </c>
      <c r="B189" s="90" t="s">
        <v>176</v>
      </c>
      <c r="C189" s="90" t="s">
        <v>136</v>
      </c>
      <c r="D189" s="90" t="s">
        <v>177</v>
      </c>
      <c r="E189" s="91">
        <v>46094</v>
      </c>
      <c r="F189" s="92">
        <v>170479</v>
      </c>
      <c r="G189" s="93" t="s">
        <v>798</v>
      </c>
      <c r="H189" s="92">
        <v>170624</v>
      </c>
      <c r="I189" s="93" t="s">
        <v>799</v>
      </c>
      <c r="J189" s="90" t="s">
        <v>800</v>
      </c>
      <c r="K189" s="94"/>
      <c r="L189" s="90" t="s">
        <v>60</v>
      </c>
      <c r="M189" s="94"/>
      <c r="N189" s="94"/>
      <c r="O189" s="94"/>
      <c r="P189" s="94"/>
      <c r="Q189" s="94"/>
      <c r="R189" s="94"/>
      <c r="S189" s="94"/>
      <c r="T189" s="94"/>
      <c r="U189" s="85">
        <f>(Tabela1[[#This Row],[Informe o KM final do dia]]-Tabela1[[#This Row],[Informe o KM inicial do dia]])-Tabela1[[#This Row],[Caso tenha rodado particular alguma parte do trajeto, informe o total de KM a ser deduzido.]]</f>
        <v>145</v>
      </c>
      <c r="V189" s="55">
        <f>IF(Tabela1[[#This Row],[Informe a data]]&lt;DATE(2026,3,16), Tabela1[[#This Row],[KM Rodado]]*1.1, Tabela1[[#This Row],[KM Rodado]]*1.23)</f>
        <v>159.5</v>
      </c>
      <c r="W189" s="86">
        <f>IFERROR(SUBSTITUTE(Tabela1[[#This Row],[Pedágio]],".",",",1)*1,0)</f>
        <v>0</v>
      </c>
      <c r="X189" s="86">
        <f>IFERROR(SUBSTITUTE(Tabela1[[#This Row],[Estacionamento]],".",",",1)*1,0)</f>
        <v>0</v>
      </c>
      <c r="Y189" s="86">
        <f>IFERROR(SUBSTITUTE(Tabela1[[#This Row],[Despesas Diversas 
(Jantar em viagem, Impressões, Etc)]],".",",",1)*1,0)</f>
        <v>0</v>
      </c>
      <c r="Z189" s="86">
        <f>IFERROR(SUBSTITUTE(Tabela1[[#This Row],[Hospedagem]],".",",",1)*1,0)</f>
        <v>0</v>
      </c>
      <c r="AA189" s="56" t="str">
        <f>IF(DAY(Tabela1[[#This Row],[Informe a data]])&lt;=15,"1ª Quinzena","2ª Quinzena")</f>
        <v>1ª Quinzena</v>
      </c>
      <c r="AB189" s="56" t="str">
        <f>UPPER(TEXT(Tabela1[[#This Row],[Informe a data]],"mmmm"))</f>
        <v>MARÇO</v>
      </c>
      <c r="AC189" s="87" t="e">
        <f ca="1">_xlfn.CONCAT(Tabela1[[#This Row],[Selecione o Usuário]]," - ",TEXT(Tabela1[[#This Row],[Informe a data]],"dd-mm-aa"))</f>
        <v>#NAME?</v>
      </c>
    </row>
    <row r="190" spans="1:29">
      <c r="A190" s="49">
        <v>46096.715682870374</v>
      </c>
      <c r="B190" s="50" t="s">
        <v>140</v>
      </c>
      <c r="C190" s="50" t="s">
        <v>141</v>
      </c>
      <c r="D190" s="50" t="s">
        <v>169</v>
      </c>
      <c r="E190" s="51">
        <v>46094</v>
      </c>
      <c r="F190" s="50">
        <v>63515</v>
      </c>
      <c r="G190" s="58" t="s">
        <v>779</v>
      </c>
      <c r="H190" s="50">
        <v>63818</v>
      </c>
      <c r="I190" s="58" t="s">
        <v>780</v>
      </c>
      <c r="J190" s="50" t="s">
        <v>781</v>
      </c>
      <c r="K190" s="53"/>
      <c r="L190" s="50" t="s">
        <v>60</v>
      </c>
      <c r="M190" s="53"/>
      <c r="N190" s="53"/>
      <c r="O190" s="53"/>
      <c r="P190" s="53"/>
      <c r="Q190" s="53"/>
      <c r="R190" s="53"/>
      <c r="S190" s="53"/>
      <c r="T190" s="53"/>
      <c r="U190" s="85">
        <f>(Tabela1[[#This Row],[Informe o KM final do dia]]-Tabela1[[#This Row],[Informe o KM inicial do dia]])-Tabela1[[#This Row],[Caso tenha rodado particular alguma parte do trajeto, informe o total de KM a ser deduzido.]]</f>
        <v>303</v>
      </c>
      <c r="V190" s="55">
        <f>IF(Tabela1[[#This Row],[Informe a data]]&lt;DATE(2026,3,16), Tabela1[[#This Row],[KM Rodado]]*1.1, Tabela1[[#This Row],[KM Rodado]]*1.23)</f>
        <v>333.3</v>
      </c>
      <c r="W190" s="86">
        <f>IFERROR(SUBSTITUTE(Tabela1[[#This Row],[Pedágio]],".",",",1)*1,0)</f>
        <v>0</v>
      </c>
      <c r="X190" s="86">
        <f>IFERROR(SUBSTITUTE(Tabela1[[#This Row],[Estacionamento]],".",",",1)*1,0)</f>
        <v>0</v>
      </c>
      <c r="Y190" s="86">
        <f>IFERROR(SUBSTITUTE(Tabela1[[#This Row],[Despesas Diversas 
(Jantar em viagem, Impressões, Etc)]],".",",",1)*1,0)</f>
        <v>0</v>
      </c>
      <c r="Z190" s="86">
        <f>IFERROR(SUBSTITUTE(Tabela1[[#This Row],[Hospedagem]],".",",",1)*1,0)</f>
        <v>0</v>
      </c>
      <c r="AA190" s="56" t="str">
        <f>IF(DAY(Tabela1[[#This Row],[Informe a data]])&lt;=15,"1ª Quinzena","2ª Quinzena")</f>
        <v>1ª Quinzena</v>
      </c>
      <c r="AB190" s="56" t="str">
        <f>UPPER(TEXT(Tabela1[[#This Row],[Informe a data]],"mmmm"))</f>
        <v>MARÇO</v>
      </c>
      <c r="AC190" s="87" t="e">
        <f ca="1">_xlfn.CONCAT(Tabela1[[#This Row],[Selecione o Usuário]]," - ",TEXT(Tabela1[[#This Row],[Informe a data]],"dd-mm-aa"))</f>
        <v>#NAME?</v>
      </c>
    </row>
    <row r="191" spans="1:29">
      <c r="A191" s="49">
        <v>46095.666956018518</v>
      </c>
      <c r="B191" s="50" t="s">
        <v>504</v>
      </c>
      <c r="C191" s="50" t="s">
        <v>505</v>
      </c>
      <c r="D191" s="50" t="s">
        <v>506</v>
      </c>
      <c r="E191" s="51">
        <v>46095</v>
      </c>
      <c r="F191" s="52">
        <v>101695</v>
      </c>
      <c r="G191" s="58" t="s">
        <v>775</v>
      </c>
      <c r="H191" s="52">
        <v>101716</v>
      </c>
      <c r="I191" s="58" t="s">
        <v>776</v>
      </c>
      <c r="J191" s="50" t="s">
        <v>777</v>
      </c>
      <c r="K191" s="53"/>
      <c r="L191" s="50" t="s">
        <v>60</v>
      </c>
      <c r="M191" s="53"/>
      <c r="N191" s="53"/>
      <c r="O191" s="53"/>
      <c r="P191" s="53"/>
      <c r="Q191" s="53"/>
      <c r="R191" s="53"/>
      <c r="S191" s="53"/>
      <c r="T191" s="53"/>
      <c r="U191" s="85">
        <f>(Tabela1[[#This Row],[Informe o KM final do dia]]-Tabela1[[#This Row],[Informe o KM inicial do dia]])-Tabela1[[#This Row],[Caso tenha rodado particular alguma parte do trajeto, informe o total de KM a ser deduzido.]]</f>
        <v>21</v>
      </c>
      <c r="V191" s="55">
        <f>IF(Tabela1[[#This Row],[Informe a data]]&lt;DATE(2026,3,16), Tabela1[[#This Row],[KM Rodado]]*1.1, Tabela1[[#This Row],[KM Rodado]]*1.23)</f>
        <v>23.1</v>
      </c>
      <c r="W191" s="86">
        <f>IFERROR(SUBSTITUTE(Tabela1[[#This Row],[Pedágio]],".",",",1)*1,0)</f>
        <v>0</v>
      </c>
      <c r="X191" s="86">
        <f>IFERROR(SUBSTITUTE(Tabela1[[#This Row],[Estacionamento]],".",",",1)*1,0)</f>
        <v>0</v>
      </c>
      <c r="Y191" s="86">
        <f>IFERROR(SUBSTITUTE(Tabela1[[#This Row],[Despesas Diversas 
(Jantar em viagem, Impressões, Etc)]],".",",",1)*1,0)</f>
        <v>0</v>
      </c>
      <c r="Z191" s="86">
        <f>IFERROR(SUBSTITUTE(Tabela1[[#This Row],[Hospedagem]],".",",",1)*1,0)</f>
        <v>0</v>
      </c>
      <c r="AA191" s="56" t="str">
        <f>IF(DAY(Tabela1[[#This Row],[Informe a data]])&lt;=15,"1ª Quinzena","2ª Quinzena")</f>
        <v>1ª Quinzena</v>
      </c>
      <c r="AB191" s="56" t="str">
        <f>UPPER(TEXT(Tabela1[[#This Row],[Informe a data]],"mmmm"))</f>
        <v>MARÇO</v>
      </c>
      <c r="AC191" s="87" t="e">
        <f ca="1">_xlfn.CONCAT(Tabela1[[#This Row],[Selecione o Usuário]]," - ",TEXT(Tabela1[[#This Row],[Informe a data]],"dd-mm-aa"))</f>
        <v>#NAME?</v>
      </c>
    </row>
    <row r="192" spans="1:29">
      <c r="A192" s="113">
        <v>46096.740069444444</v>
      </c>
      <c r="B192" s="114" t="s">
        <v>140</v>
      </c>
      <c r="C192" s="114" t="s">
        <v>141</v>
      </c>
      <c r="D192" s="114" t="s">
        <v>169</v>
      </c>
      <c r="E192" s="115">
        <v>46095</v>
      </c>
      <c r="F192" s="116">
        <v>128975</v>
      </c>
      <c r="G192" s="117" t="s">
        <v>786</v>
      </c>
      <c r="H192" s="116">
        <v>129059</v>
      </c>
      <c r="I192" s="117" t="s">
        <v>787</v>
      </c>
      <c r="J192" s="114" t="s">
        <v>788</v>
      </c>
      <c r="K192" s="118"/>
      <c r="L192" s="114" t="s">
        <v>60</v>
      </c>
      <c r="M192" s="118"/>
      <c r="N192" s="118"/>
      <c r="O192" s="118"/>
      <c r="P192" s="118"/>
      <c r="Q192" s="118"/>
      <c r="R192" s="118"/>
      <c r="S192" s="118"/>
      <c r="T192" s="118"/>
      <c r="U192" s="95">
        <f>(Tabela1[[#This Row],[Informe o KM final do dia]]-Tabela1[[#This Row],[Informe o KM inicial do dia]])-Tabela1[[#This Row],[Caso tenha rodado particular alguma parte do trajeto, informe o total de KM a ser deduzido.]]</f>
        <v>84</v>
      </c>
      <c r="V192" s="96">
        <f>IF(Tabela1[[#This Row],[Informe a data]]&lt;DATE(2026,3,16), Tabela1[[#This Row],[KM Rodado]]*1.1, Tabela1[[#This Row],[KM Rodado]]*1.23)</f>
        <v>92.4</v>
      </c>
      <c r="W192" s="97">
        <f>IFERROR(SUBSTITUTE(Tabela1[[#This Row],[Pedágio]],".",",",1)*1,0)</f>
        <v>0</v>
      </c>
      <c r="X192" s="97">
        <f>IFERROR(SUBSTITUTE(Tabela1[[#This Row],[Estacionamento]],".",",",1)*1,0)</f>
        <v>0</v>
      </c>
      <c r="Y192" s="97">
        <f>IFERROR(SUBSTITUTE(Tabela1[[#This Row],[Despesas Diversas 
(Jantar em viagem, Impressões, Etc)]],".",",",1)*1,0)</f>
        <v>0</v>
      </c>
      <c r="Z192" s="97">
        <f>IFERROR(SUBSTITUTE(Tabela1[[#This Row],[Hospedagem]],".",",",1)*1,0)</f>
        <v>0</v>
      </c>
      <c r="AA192" s="98" t="str">
        <f>IF(DAY(Tabela1[[#This Row],[Informe a data]])&lt;=15,"1ª Quinzena","2ª Quinzena")</f>
        <v>1ª Quinzena</v>
      </c>
      <c r="AB192" s="98" t="str">
        <f>UPPER(TEXT(Tabela1[[#This Row],[Informe a data]],"mmmm"))</f>
        <v>MARÇO</v>
      </c>
      <c r="AC192" s="99" t="e">
        <f ca="1">_xlfn.CONCAT(Tabela1[[#This Row],[Selecione o Usuário]]," - ",TEXT(Tabela1[[#This Row],[Informe a data]],"dd-mm-aa"))</f>
        <v>#NAME?</v>
      </c>
    </row>
    <row r="193" spans="1:29">
      <c r="A193" s="89">
        <v>46098.736898148149</v>
      </c>
      <c r="B193" s="90" t="s">
        <v>208</v>
      </c>
      <c r="C193" s="90" t="s">
        <v>134</v>
      </c>
      <c r="D193" s="90" t="s">
        <v>209</v>
      </c>
      <c r="E193" s="91">
        <v>46097</v>
      </c>
      <c r="F193" s="92">
        <v>164839</v>
      </c>
      <c r="G193" s="94"/>
      <c r="H193" s="92">
        <v>165053</v>
      </c>
      <c r="I193" s="94"/>
      <c r="J193" s="90" t="s">
        <v>914</v>
      </c>
      <c r="K193" s="94"/>
      <c r="L193" s="90" t="s">
        <v>60</v>
      </c>
      <c r="M193" s="94"/>
      <c r="N193" s="94"/>
      <c r="O193" s="94"/>
      <c r="P193" s="94"/>
      <c r="Q193" s="94"/>
      <c r="R193" s="94"/>
      <c r="S193" s="94"/>
      <c r="T193" s="94"/>
      <c r="U193" s="85">
        <f>(Tabela1[[#This Row],[Informe o KM final do dia]]-Tabela1[[#This Row],[Informe o KM inicial do dia]])-Tabela1[[#This Row],[Caso tenha rodado particular alguma parte do trajeto, informe o total de KM a ser deduzido.]]</f>
        <v>214</v>
      </c>
      <c r="V193" s="86">
        <f>IF(Tabela1[[#This Row],[Informe a data]]&lt;DATE(2026,3,16), Tabela1[[#This Row],[KM Rodado]]*1.1, Tabela1[[#This Row],[KM Rodado]]*1.23)</f>
        <v>263.21999999999997</v>
      </c>
      <c r="W193" s="86">
        <f>IFERROR(SUBSTITUTE(Tabela1[[#This Row],[Pedágio]],".",",",1)*1,0)</f>
        <v>0</v>
      </c>
      <c r="X193" s="86">
        <f>IFERROR(SUBSTITUTE(Tabela1[[#This Row],[Estacionamento]],".",",",1)*1,0)</f>
        <v>0</v>
      </c>
      <c r="Y193" s="86">
        <f>IFERROR(SUBSTITUTE(Tabela1[[#This Row],[Despesas Diversas 
(Jantar em viagem, Impressões, Etc)]],".",",",1)*1,0)</f>
        <v>0</v>
      </c>
      <c r="Z193" s="86">
        <f>IFERROR(SUBSTITUTE(Tabela1[[#This Row],[Hospedagem]],".",",",1)*1,0)</f>
        <v>0</v>
      </c>
      <c r="AA193" s="56" t="str">
        <f>IF(DAY(Tabela1[[#This Row],[Informe a data]])&lt;=15,"1ª Quinzena","2ª Quinzena")</f>
        <v>2ª Quinzena</v>
      </c>
      <c r="AB193" s="56" t="str">
        <f>UPPER(TEXT(Tabela1[[#This Row],[Informe a data]],"mmmm"))</f>
        <v>MARÇO</v>
      </c>
      <c r="AC193" s="87" t="e">
        <f ca="1">_xlfn.CONCAT(Tabela1[[#This Row],[Selecione o Usuário]]," - ",TEXT(Tabela1[[#This Row],[Informe a data]],"dd-mm-aa"))</f>
        <v>#NAME?</v>
      </c>
    </row>
    <row r="194" spans="1:29">
      <c r="A194" s="49">
        <v>46102.460717592592</v>
      </c>
      <c r="B194" s="50" t="s">
        <v>504</v>
      </c>
      <c r="C194" s="50" t="s">
        <v>505</v>
      </c>
      <c r="D194" s="50" t="s">
        <v>551</v>
      </c>
      <c r="E194" s="51">
        <v>46097</v>
      </c>
      <c r="F194" s="52">
        <v>101729</v>
      </c>
      <c r="G194" s="58" t="s">
        <v>801</v>
      </c>
      <c r="H194" s="52">
        <v>101741</v>
      </c>
      <c r="I194" s="58" t="s">
        <v>802</v>
      </c>
      <c r="J194" s="50" t="s">
        <v>803</v>
      </c>
      <c r="K194" s="53"/>
      <c r="L194" s="50" t="s">
        <v>60</v>
      </c>
      <c r="M194" s="53"/>
      <c r="N194" s="53"/>
      <c r="O194" s="53"/>
      <c r="P194" s="53"/>
      <c r="Q194" s="53"/>
      <c r="R194" s="53"/>
      <c r="S194" s="53"/>
      <c r="T194" s="53"/>
      <c r="U194" s="85">
        <f>(Tabela1[[#This Row],[Informe o KM final do dia]]-Tabela1[[#This Row],[Informe o KM inicial do dia]])-Tabela1[[#This Row],[Caso tenha rodado particular alguma parte do trajeto, informe o total de KM a ser deduzido.]]</f>
        <v>12</v>
      </c>
      <c r="V194" s="86">
        <f>IF(Tabela1[[#This Row],[Informe a data]]&lt;DATE(2026,3,16), Tabela1[[#This Row],[KM Rodado]]*1.1, Tabela1[[#This Row],[KM Rodado]]*1.23)</f>
        <v>14.76</v>
      </c>
      <c r="W194" s="86">
        <f>IFERROR(SUBSTITUTE(Tabela1[[#This Row],[Pedágio]],".",",",1)*1,0)</f>
        <v>0</v>
      </c>
      <c r="X194" s="86">
        <f>IFERROR(SUBSTITUTE(Tabela1[[#This Row],[Estacionamento]],".",",",1)*1,0)</f>
        <v>0</v>
      </c>
      <c r="Y194" s="86">
        <f>IFERROR(SUBSTITUTE(Tabela1[[#This Row],[Despesas Diversas 
(Jantar em viagem, Impressões, Etc)]],".",",",1)*1,0)</f>
        <v>0</v>
      </c>
      <c r="Z194" s="86">
        <f>IFERROR(SUBSTITUTE(Tabela1[[#This Row],[Hospedagem]],".",",",1)*1,0)</f>
        <v>0</v>
      </c>
      <c r="AA194" s="56" t="str">
        <f>IF(DAY(Tabela1[[#This Row],[Informe a data]])&lt;=15,"1ª Quinzena","2ª Quinzena")</f>
        <v>2ª Quinzena</v>
      </c>
      <c r="AB194" s="56" t="str">
        <f>UPPER(TEXT(Tabela1[[#This Row],[Informe a data]],"mmmm"))</f>
        <v>MARÇO</v>
      </c>
      <c r="AC194" s="87" t="e">
        <f ca="1">_xlfn.CONCAT(Tabela1[[#This Row],[Selecione o Usuário]]," - ",TEXT(Tabela1[[#This Row],[Informe a data]],"dd-mm-aa"))</f>
        <v>#NAME?</v>
      </c>
    </row>
    <row r="195" spans="1:29">
      <c r="A195" s="49">
        <v>46097.349421296298</v>
      </c>
      <c r="B195" s="50" t="s">
        <v>300</v>
      </c>
      <c r="C195" s="50" t="s">
        <v>250</v>
      </c>
      <c r="D195" s="50" t="s">
        <v>228</v>
      </c>
      <c r="E195" s="51">
        <v>46097</v>
      </c>
      <c r="F195" s="52">
        <v>124275</v>
      </c>
      <c r="G195" s="58" t="s">
        <v>909</v>
      </c>
      <c r="H195" s="52">
        <v>124380</v>
      </c>
      <c r="I195" s="58" t="s">
        <v>910</v>
      </c>
      <c r="J195" s="50" t="s">
        <v>911</v>
      </c>
      <c r="K195" s="53"/>
      <c r="L195" s="50" t="s">
        <v>61</v>
      </c>
      <c r="M195" s="53"/>
      <c r="N195" s="53"/>
      <c r="O195" s="53"/>
      <c r="P195" s="53"/>
      <c r="Q195" s="50" t="s">
        <v>912</v>
      </c>
      <c r="R195" s="58" t="s">
        <v>913</v>
      </c>
      <c r="S195" s="53"/>
      <c r="T195" s="53"/>
      <c r="U195" s="85">
        <f>(Tabela1[[#This Row],[Informe o KM final do dia]]-Tabela1[[#This Row],[Informe o KM inicial do dia]])-Tabela1[[#This Row],[Caso tenha rodado particular alguma parte do trajeto, informe o total de KM a ser deduzido.]]</f>
        <v>105</v>
      </c>
      <c r="V195" s="86">
        <f>IF(Tabela1[[#This Row],[Informe a data]]&lt;DATE(2026,3,16), Tabela1[[#This Row],[KM Rodado]]*1.1, Tabela1[[#This Row],[KM Rodado]]*1.23)</f>
        <v>129.15</v>
      </c>
      <c r="W195" s="86">
        <f>IFERROR(SUBSTITUTE(Tabela1[[#This Row],[Pedágio]],".",",",1)*1,0)</f>
        <v>0</v>
      </c>
      <c r="X195" s="86">
        <f>IFERROR(SUBSTITUTE(Tabela1[[#This Row],[Estacionamento]],".",",",1)*1,0)</f>
        <v>0</v>
      </c>
      <c r="Y195" s="86">
        <f>IFERROR(SUBSTITUTE(Tabela1[[#This Row],[Despesas Diversas 
(Jantar em viagem, Impressões, Etc)]],".",",",1)*1,0)</f>
        <v>13.2</v>
      </c>
      <c r="Z195" s="86">
        <f>IFERROR(SUBSTITUTE(Tabela1[[#This Row],[Hospedagem]],".",",",1)*1,0)</f>
        <v>0</v>
      </c>
      <c r="AA195" s="56" t="str">
        <f>IF(DAY(Tabela1[[#This Row],[Informe a data]])&lt;=15,"1ª Quinzena","2ª Quinzena")</f>
        <v>2ª Quinzena</v>
      </c>
      <c r="AB195" s="56" t="str">
        <f>UPPER(TEXT(Tabela1[[#This Row],[Informe a data]],"mmmm"))</f>
        <v>MARÇO</v>
      </c>
      <c r="AC195" s="87" t="e">
        <f ca="1">_xlfn.CONCAT(Tabela1[[#This Row],[Selecione o Usuário]]," - ",TEXT(Tabela1[[#This Row],[Informe a data]],"dd-mm-aa"))</f>
        <v>#NAME?</v>
      </c>
    </row>
    <row r="196" spans="1:29">
      <c r="A196" s="49">
        <v>46109.514641203707</v>
      </c>
      <c r="B196" s="50" t="s">
        <v>469</v>
      </c>
      <c r="C196" s="50" t="s">
        <v>559</v>
      </c>
      <c r="D196" s="50" t="s">
        <v>560</v>
      </c>
      <c r="E196" s="51">
        <v>46098</v>
      </c>
      <c r="F196" s="52">
        <v>76960</v>
      </c>
      <c r="G196" s="53"/>
      <c r="H196" s="52">
        <v>77098</v>
      </c>
      <c r="I196" s="53"/>
      <c r="J196" s="50" t="s">
        <v>815</v>
      </c>
      <c r="K196" s="53"/>
      <c r="L196" s="50" t="s">
        <v>60</v>
      </c>
      <c r="M196" s="53"/>
      <c r="N196" s="53"/>
      <c r="O196" s="53"/>
      <c r="P196" s="53"/>
      <c r="Q196" s="53"/>
      <c r="R196" s="53"/>
      <c r="S196" s="53"/>
      <c r="T196" s="53"/>
      <c r="U196" s="85">
        <f>(Tabela1[[#This Row],[Informe o KM final do dia]]-Tabela1[[#This Row],[Informe o KM inicial do dia]])-Tabela1[[#This Row],[Caso tenha rodado particular alguma parte do trajeto, informe o total de KM a ser deduzido.]]</f>
        <v>138</v>
      </c>
      <c r="V196" s="86">
        <f>IF(Tabela1[[#This Row],[Informe a data]]&lt;DATE(2026,3,16), Tabela1[[#This Row],[KM Rodado]]*1.1, Tabela1[[#This Row],[KM Rodado]]*1.23)</f>
        <v>169.74</v>
      </c>
      <c r="W196" s="86">
        <f>IFERROR(SUBSTITUTE(Tabela1[[#This Row],[Pedágio]],".",",",1)*1,0)</f>
        <v>0</v>
      </c>
      <c r="X196" s="86">
        <f>IFERROR(SUBSTITUTE(Tabela1[[#This Row],[Estacionamento]],".",",",1)*1,0)</f>
        <v>0</v>
      </c>
      <c r="Y196" s="86">
        <f>IFERROR(SUBSTITUTE(Tabela1[[#This Row],[Despesas Diversas 
(Jantar em viagem, Impressões, Etc)]],".",",",1)*1,0)</f>
        <v>0</v>
      </c>
      <c r="Z196" s="86">
        <f>IFERROR(SUBSTITUTE(Tabela1[[#This Row],[Hospedagem]],".",",",1)*1,0)</f>
        <v>0</v>
      </c>
      <c r="AA196" s="56" t="str">
        <f>IF(DAY(Tabela1[[#This Row],[Informe a data]])&lt;=15,"1ª Quinzena","2ª Quinzena")</f>
        <v>2ª Quinzena</v>
      </c>
      <c r="AB196" s="56" t="str">
        <f>UPPER(TEXT(Tabela1[[#This Row],[Informe a data]],"mmmm"))</f>
        <v>MARÇO</v>
      </c>
      <c r="AC196" s="87" t="e">
        <f ca="1">_xlfn.CONCAT(Tabela1[[#This Row],[Selecione o Usuário]]," - ",TEXT(Tabela1[[#This Row],[Informe a data]],"dd-mm-aa"))</f>
        <v>#NAME?</v>
      </c>
    </row>
    <row r="197" spans="1:29">
      <c r="A197" s="89">
        <v>46098.835439814815</v>
      </c>
      <c r="B197" s="90" t="s">
        <v>131</v>
      </c>
      <c r="C197" s="90" t="s">
        <v>132</v>
      </c>
      <c r="D197" s="90" t="s">
        <v>133</v>
      </c>
      <c r="E197" s="91">
        <v>46098</v>
      </c>
      <c r="F197" s="92">
        <v>189978</v>
      </c>
      <c r="G197" s="93" t="s">
        <v>804</v>
      </c>
      <c r="H197" s="92">
        <v>190108</v>
      </c>
      <c r="I197" s="93" t="s">
        <v>805</v>
      </c>
      <c r="J197" s="90" t="s">
        <v>806</v>
      </c>
      <c r="K197" s="94"/>
      <c r="L197" s="90" t="s">
        <v>60</v>
      </c>
      <c r="M197" s="94"/>
      <c r="N197" s="94"/>
      <c r="O197" s="94"/>
      <c r="P197" s="94"/>
      <c r="Q197" s="94"/>
      <c r="R197" s="94"/>
      <c r="S197" s="94"/>
      <c r="T197" s="94"/>
      <c r="U197" s="85">
        <f>(Tabela1[[#This Row],[Informe o KM final do dia]]-Tabela1[[#This Row],[Informe o KM inicial do dia]])-Tabela1[[#This Row],[Caso tenha rodado particular alguma parte do trajeto, informe o total de KM a ser deduzido.]]</f>
        <v>130</v>
      </c>
      <c r="V197" s="86">
        <f>IF(Tabela1[[#This Row],[Informe a data]]&lt;DATE(2026,3,16), Tabela1[[#This Row],[KM Rodado]]*1.1, Tabela1[[#This Row],[KM Rodado]]*1.23)</f>
        <v>159.9</v>
      </c>
      <c r="W197" s="86">
        <f>IFERROR(SUBSTITUTE(Tabela1[[#This Row],[Pedágio]],".",",",1)*1,0)</f>
        <v>0</v>
      </c>
      <c r="X197" s="86">
        <f>IFERROR(SUBSTITUTE(Tabela1[[#This Row],[Estacionamento]],".",",",1)*1,0)</f>
        <v>0</v>
      </c>
      <c r="Y197" s="86">
        <f>IFERROR(SUBSTITUTE(Tabela1[[#This Row],[Despesas Diversas 
(Jantar em viagem, Impressões, Etc)]],".",",",1)*1,0)</f>
        <v>0</v>
      </c>
      <c r="Z197" s="86">
        <f>IFERROR(SUBSTITUTE(Tabela1[[#This Row],[Hospedagem]],".",",",1)*1,0)</f>
        <v>0</v>
      </c>
      <c r="AA197" s="56" t="str">
        <f>IF(DAY(Tabela1[[#This Row],[Informe a data]])&lt;=15,"1ª Quinzena","2ª Quinzena")</f>
        <v>2ª Quinzena</v>
      </c>
      <c r="AB197" s="56" t="str">
        <f>UPPER(TEXT(Tabela1[[#This Row],[Informe a data]],"mmmm"))</f>
        <v>MARÇO</v>
      </c>
      <c r="AC197" s="87" t="e">
        <f ca="1">_xlfn.CONCAT(Tabela1[[#This Row],[Selecione o Usuário]]," - ",TEXT(Tabela1[[#This Row],[Informe a data]],"dd-mm-aa"))</f>
        <v>#NAME?</v>
      </c>
    </row>
    <row r="198" spans="1:29">
      <c r="A198" s="89">
        <v>46102.464120370372</v>
      </c>
      <c r="B198" s="90" t="s">
        <v>504</v>
      </c>
      <c r="C198" s="90" t="s">
        <v>505</v>
      </c>
      <c r="D198" s="90" t="s">
        <v>551</v>
      </c>
      <c r="E198" s="91">
        <v>46098</v>
      </c>
      <c r="F198" s="92">
        <v>101746</v>
      </c>
      <c r="G198" s="93" t="s">
        <v>810</v>
      </c>
      <c r="H198" s="92">
        <v>101819</v>
      </c>
      <c r="I198" s="93" t="s">
        <v>811</v>
      </c>
      <c r="J198" s="90" t="s">
        <v>812</v>
      </c>
      <c r="K198" s="94"/>
      <c r="L198" s="90" t="s">
        <v>61</v>
      </c>
      <c r="M198" s="94"/>
      <c r="N198" s="94"/>
      <c r="O198" s="94"/>
      <c r="P198" s="94"/>
      <c r="Q198" s="90" t="s">
        <v>813</v>
      </c>
      <c r="R198" s="93" t="s">
        <v>814</v>
      </c>
      <c r="S198" s="94"/>
      <c r="T198" s="94"/>
      <c r="U198" s="85">
        <f>(Tabela1[[#This Row],[Informe o KM final do dia]]-Tabela1[[#This Row],[Informe o KM inicial do dia]])-Tabela1[[#This Row],[Caso tenha rodado particular alguma parte do trajeto, informe o total de KM a ser deduzido.]]</f>
        <v>73</v>
      </c>
      <c r="V198" s="86">
        <f>IF(Tabela1[[#This Row],[Informe a data]]&lt;DATE(2026,3,16), Tabela1[[#This Row],[KM Rodado]]*1.1, Tabela1[[#This Row],[KM Rodado]]*1.23)</f>
        <v>89.789999999999992</v>
      </c>
      <c r="W198" s="86">
        <f>IFERROR(SUBSTITUTE(Tabela1[[#This Row],[Pedágio]],".",",",1)*1,0)</f>
        <v>0</v>
      </c>
      <c r="X198" s="86">
        <f>IFERROR(SUBSTITUTE(Tabela1[[#This Row],[Estacionamento]],".",",",1)*1,0)</f>
        <v>0</v>
      </c>
      <c r="Y198" s="86">
        <f>IFERROR(SUBSTITUTE(Tabela1[[#This Row],[Despesas Diversas 
(Jantar em viagem, Impressões, Etc)]],".",",",1)*1,0)</f>
        <v>231.7</v>
      </c>
      <c r="Z198" s="86">
        <f>IFERROR(SUBSTITUTE(Tabela1[[#This Row],[Hospedagem]],".",",",1)*1,0)</f>
        <v>0</v>
      </c>
      <c r="AA198" s="56" t="str">
        <f>IF(DAY(Tabela1[[#This Row],[Informe a data]])&lt;=15,"1ª Quinzena","2ª Quinzena")</f>
        <v>2ª Quinzena</v>
      </c>
      <c r="AB198" s="56" t="str">
        <f>UPPER(TEXT(Tabela1[[#This Row],[Informe a data]],"mmmm"))</f>
        <v>MARÇO</v>
      </c>
      <c r="AC198" s="87" t="e">
        <f ca="1">_xlfn.CONCAT(Tabela1[[#This Row],[Selecione o Usuário]]," - ",TEXT(Tabela1[[#This Row],[Informe a data]],"dd-mm-aa"))</f>
        <v>#NAME?</v>
      </c>
    </row>
    <row r="199" spans="1:29">
      <c r="A199" s="49">
        <v>46099.918946759259</v>
      </c>
      <c r="B199" s="50" t="s">
        <v>140</v>
      </c>
      <c r="C199" s="50" t="s">
        <v>141</v>
      </c>
      <c r="D199" s="50" t="s">
        <v>169</v>
      </c>
      <c r="E199" s="51">
        <v>46098</v>
      </c>
      <c r="F199" s="50">
        <v>63973</v>
      </c>
      <c r="G199" s="58" t="s">
        <v>807</v>
      </c>
      <c r="H199" s="50">
        <v>64017</v>
      </c>
      <c r="I199" s="58" t="s">
        <v>808</v>
      </c>
      <c r="J199" s="50" t="s">
        <v>809</v>
      </c>
      <c r="K199" s="53"/>
      <c r="L199" s="50" t="s">
        <v>60</v>
      </c>
      <c r="M199" s="53"/>
      <c r="N199" s="53"/>
      <c r="O199" s="53"/>
      <c r="P199" s="53"/>
      <c r="Q199" s="53"/>
      <c r="R199" s="53"/>
      <c r="S199" s="53"/>
      <c r="T199" s="53"/>
      <c r="U199" s="85">
        <f>(Tabela1[[#This Row],[Informe o KM final do dia]]-Tabela1[[#This Row],[Informe o KM inicial do dia]])-Tabela1[[#This Row],[Caso tenha rodado particular alguma parte do trajeto, informe o total de KM a ser deduzido.]]</f>
        <v>44</v>
      </c>
      <c r="V199" s="86">
        <f>IF(Tabela1[[#This Row],[Informe a data]]&lt;DATE(2026,3,16), Tabela1[[#This Row],[KM Rodado]]*1.1, Tabela1[[#This Row],[KM Rodado]]*1.23)</f>
        <v>54.12</v>
      </c>
      <c r="W199" s="86">
        <f>IFERROR(SUBSTITUTE(Tabela1[[#This Row],[Pedágio]],".",",",1)*1,0)</f>
        <v>0</v>
      </c>
      <c r="X199" s="86">
        <f>IFERROR(SUBSTITUTE(Tabela1[[#This Row],[Estacionamento]],".",",",1)*1,0)</f>
        <v>0</v>
      </c>
      <c r="Y199" s="86">
        <f>IFERROR(SUBSTITUTE(Tabela1[[#This Row],[Despesas Diversas 
(Jantar em viagem, Impressões, Etc)]],".",",",1)*1,0)</f>
        <v>0</v>
      </c>
      <c r="Z199" s="86">
        <f>IFERROR(SUBSTITUTE(Tabela1[[#This Row],[Hospedagem]],".",",",1)*1,0)</f>
        <v>0</v>
      </c>
      <c r="AA199" s="56" t="str">
        <f>IF(DAY(Tabela1[[#This Row],[Informe a data]])&lt;=15,"1ª Quinzena","2ª Quinzena")</f>
        <v>2ª Quinzena</v>
      </c>
      <c r="AB199" s="56" t="str">
        <f>UPPER(TEXT(Tabela1[[#This Row],[Informe a data]],"mmmm"))</f>
        <v>MARÇO</v>
      </c>
      <c r="AC199" s="87" t="e">
        <f ca="1">_xlfn.CONCAT(Tabela1[[#This Row],[Selecione o Usuário]]," - ",TEXT(Tabela1[[#This Row],[Informe a data]],"dd-mm-aa"))</f>
        <v>#NAME?</v>
      </c>
    </row>
    <row r="200" spans="1:29">
      <c r="A200" s="89">
        <v>46099.743703703702</v>
      </c>
      <c r="B200" s="90" t="s">
        <v>131</v>
      </c>
      <c r="C200" s="90" t="s">
        <v>132</v>
      </c>
      <c r="D200" s="90" t="s">
        <v>133</v>
      </c>
      <c r="E200" s="91">
        <v>46099</v>
      </c>
      <c r="F200" s="92">
        <v>190108</v>
      </c>
      <c r="G200" s="93" t="s">
        <v>816</v>
      </c>
      <c r="H200" s="92">
        <v>190299</v>
      </c>
      <c r="I200" s="93" t="s">
        <v>817</v>
      </c>
      <c r="J200" s="90" t="s">
        <v>818</v>
      </c>
      <c r="K200" s="94"/>
      <c r="L200" s="90" t="s">
        <v>61</v>
      </c>
      <c r="M200" s="90" t="s">
        <v>128</v>
      </c>
      <c r="N200" s="94"/>
      <c r="O200" s="90" t="s">
        <v>317</v>
      </c>
      <c r="P200" s="93" t="s">
        <v>819</v>
      </c>
      <c r="Q200" s="94"/>
      <c r="R200" s="94"/>
      <c r="S200" s="94"/>
      <c r="T200" s="94"/>
      <c r="U200" s="85">
        <f>(Tabela1[[#This Row],[Informe o KM final do dia]]-Tabela1[[#This Row],[Informe o KM inicial do dia]])-Tabela1[[#This Row],[Caso tenha rodado particular alguma parte do trajeto, informe o total de KM a ser deduzido.]]</f>
        <v>191</v>
      </c>
      <c r="V200" s="86">
        <f>IF(Tabela1[[#This Row],[Informe a data]]&lt;DATE(2026,3,16), Tabela1[[#This Row],[KM Rodado]]*1.1, Tabela1[[#This Row],[KM Rodado]]*1.23)</f>
        <v>234.93</v>
      </c>
      <c r="W200" s="86">
        <f>IFERROR(SUBSTITUTE(Tabela1[[#This Row],[Pedágio]],".",",",1)*1,0)</f>
        <v>11.4</v>
      </c>
      <c r="X200" s="86">
        <f>IFERROR(SUBSTITUTE(Tabela1[[#This Row],[Estacionamento]],".",",",1)*1,0)</f>
        <v>20</v>
      </c>
      <c r="Y200" s="86">
        <f>IFERROR(SUBSTITUTE(Tabela1[[#This Row],[Despesas Diversas 
(Jantar em viagem, Impressões, Etc)]],".",",",1)*1,0)</f>
        <v>0</v>
      </c>
      <c r="Z200" s="86">
        <f>IFERROR(SUBSTITUTE(Tabela1[[#This Row],[Hospedagem]],".",",",1)*1,0)</f>
        <v>0</v>
      </c>
      <c r="AA200" s="56" t="str">
        <f>IF(DAY(Tabela1[[#This Row],[Informe a data]])&lt;=15,"1ª Quinzena","2ª Quinzena")</f>
        <v>2ª Quinzena</v>
      </c>
      <c r="AB200" s="56" t="str">
        <f>UPPER(TEXT(Tabela1[[#This Row],[Informe a data]],"mmmm"))</f>
        <v>MARÇO</v>
      </c>
      <c r="AC200" s="87" t="e">
        <f ca="1">_xlfn.CONCAT(Tabela1[[#This Row],[Selecione o Usuário]]," - ",TEXT(Tabela1[[#This Row],[Informe a data]],"dd-mm-aa"))</f>
        <v>#NAME?</v>
      </c>
    </row>
    <row r="201" spans="1:29">
      <c r="A201" s="49">
        <v>46102.468391203707</v>
      </c>
      <c r="B201" s="50" t="s">
        <v>504</v>
      </c>
      <c r="C201" s="50" t="s">
        <v>505</v>
      </c>
      <c r="D201" s="50" t="s">
        <v>551</v>
      </c>
      <c r="E201" s="51">
        <v>46099</v>
      </c>
      <c r="F201" s="52">
        <v>101819</v>
      </c>
      <c r="G201" s="58" t="s">
        <v>825</v>
      </c>
      <c r="H201" s="52">
        <v>101881</v>
      </c>
      <c r="I201" s="58" t="s">
        <v>826</v>
      </c>
      <c r="J201" s="50" t="s">
        <v>827</v>
      </c>
      <c r="K201" s="53"/>
      <c r="L201" s="50" t="s">
        <v>60</v>
      </c>
      <c r="M201" s="53"/>
      <c r="N201" s="53"/>
      <c r="O201" s="53"/>
      <c r="P201" s="53"/>
      <c r="Q201" s="53"/>
      <c r="R201" s="53"/>
      <c r="S201" s="53"/>
      <c r="T201" s="53"/>
      <c r="U201" s="85">
        <f>(Tabela1[[#This Row],[Informe o KM final do dia]]-Tabela1[[#This Row],[Informe o KM inicial do dia]])-Tabela1[[#This Row],[Caso tenha rodado particular alguma parte do trajeto, informe o total de KM a ser deduzido.]]</f>
        <v>62</v>
      </c>
      <c r="V201" s="86">
        <f>IF(Tabela1[[#This Row],[Informe a data]]&lt;DATE(2026,3,16), Tabela1[[#This Row],[KM Rodado]]*1.1, Tabela1[[#This Row],[KM Rodado]]*1.23)</f>
        <v>76.260000000000005</v>
      </c>
      <c r="W201" s="86">
        <f>IFERROR(SUBSTITUTE(Tabela1[[#This Row],[Pedágio]],".",",",1)*1,0)</f>
        <v>0</v>
      </c>
      <c r="X201" s="86">
        <f>IFERROR(SUBSTITUTE(Tabela1[[#This Row],[Estacionamento]],".",",",1)*1,0)</f>
        <v>0</v>
      </c>
      <c r="Y201" s="86">
        <f>IFERROR(SUBSTITUTE(Tabela1[[#This Row],[Despesas Diversas 
(Jantar em viagem, Impressões, Etc)]],".",",",1)*1,0)</f>
        <v>0</v>
      </c>
      <c r="Z201" s="86">
        <f>IFERROR(SUBSTITUTE(Tabela1[[#This Row],[Hospedagem]],".",",",1)*1,0)</f>
        <v>0</v>
      </c>
      <c r="AA201" s="56" t="str">
        <f>IF(DAY(Tabela1[[#This Row],[Informe a data]])&lt;=15,"1ª Quinzena","2ª Quinzena")</f>
        <v>2ª Quinzena</v>
      </c>
      <c r="AB201" s="56" t="str">
        <f>UPPER(TEXT(Tabela1[[#This Row],[Informe a data]],"mmmm"))</f>
        <v>MARÇO</v>
      </c>
      <c r="AC201" s="87" t="e">
        <f ca="1">_xlfn.CONCAT(Tabela1[[#This Row],[Selecione o Usuário]]," - ",TEXT(Tabela1[[#This Row],[Informe a data]],"dd-mm-aa"))</f>
        <v>#NAME?</v>
      </c>
    </row>
    <row r="202" spans="1:29">
      <c r="A202" s="89">
        <v>46100.340925925928</v>
      </c>
      <c r="B202" s="90" t="s">
        <v>300</v>
      </c>
      <c r="C202" s="90" t="s">
        <v>250</v>
      </c>
      <c r="D202" s="90" t="s">
        <v>228</v>
      </c>
      <c r="E202" s="91">
        <v>46099</v>
      </c>
      <c r="F202" s="92">
        <v>125026</v>
      </c>
      <c r="G202" s="93" t="s">
        <v>822</v>
      </c>
      <c r="H202" s="92">
        <v>125202</v>
      </c>
      <c r="I202" s="93" t="s">
        <v>823</v>
      </c>
      <c r="J202" s="90" t="s">
        <v>824</v>
      </c>
      <c r="K202" s="94"/>
      <c r="L202" s="90" t="s">
        <v>60</v>
      </c>
      <c r="M202" s="94"/>
      <c r="N202" s="94"/>
      <c r="O202" s="94"/>
      <c r="P202" s="94"/>
      <c r="Q202" s="94"/>
      <c r="R202" s="94"/>
      <c r="S202" s="94"/>
      <c r="T202" s="94"/>
      <c r="U202" s="85">
        <f>(Tabela1[[#This Row],[Informe o KM final do dia]]-Tabela1[[#This Row],[Informe o KM inicial do dia]])-Tabela1[[#This Row],[Caso tenha rodado particular alguma parte do trajeto, informe o total de KM a ser deduzido.]]</f>
        <v>176</v>
      </c>
      <c r="V202" s="86">
        <f>IF(Tabela1[[#This Row],[Informe a data]]&lt;DATE(2026,3,16), Tabela1[[#This Row],[KM Rodado]]*1.1, Tabela1[[#This Row],[KM Rodado]]*1.23)</f>
        <v>216.48</v>
      </c>
      <c r="W202" s="86">
        <f>IFERROR(SUBSTITUTE(Tabela1[[#This Row],[Pedágio]],".",",",1)*1,0)</f>
        <v>0</v>
      </c>
      <c r="X202" s="86">
        <f>IFERROR(SUBSTITUTE(Tabela1[[#This Row],[Estacionamento]],".",",",1)*1,0)</f>
        <v>0</v>
      </c>
      <c r="Y202" s="86">
        <f>IFERROR(SUBSTITUTE(Tabela1[[#This Row],[Despesas Diversas 
(Jantar em viagem, Impressões, Etc)]],".",",",1)*1,0)</f>
        <v>0</v>
      </c>
      <c r="Z202" s="86">
        <f>IFERROR(SUBSTITUTE(Tabela1[[#This Row],[Hospedagem]],".",",",1)*1,0)</f>
        <v>0</v>
      </c>
      <c r="AA202" s="56" t="str">
        <f>IF(DAY(Tabela1[[#This Row],[Informe a data]])&lt;=15,"1ª Quinzena","2ª Quinzena")</f>
        <v>2ª Quinzena</v>
      </c>
      <c r="AB202" s="56" t="str">
        <f>UPPER(TEXT(Tabela1[[#This Row],[Informe a data]],"mmmm"))</f>
        <v>MARÇO</v>
      </c>
      <c r="AC202" s="87" t="e">
        <f ca="1">_xlfn.CONCAT(Tabela1[[#This Row],[Selecione o Usuário]]," - ",TEXT(Tabela1[[#This Row],[Informe a data]],"dd-mm-aa"))</f>
        <v>#NAME?</v>
      </c>
    </row>
    <row r="203" spans="1:29">
      <c r="A203" s="89">
        <v>46111.40388888889</v>
      </c>
      <c r="B203" s="90" t="s">
        <v>176</v>
      </c>
      <c r="C203" s="90" t="s">
        <v>136</v>
      </c>
      <c r="D203" s="90" t="s">
        <v>177</v>
      </c>
      <c r="E203" s="91">
        <v>46099</v>
      </c>
      <c r="F203" s="92">
        <v>170650</v>
      </c>
      <c r="G203" s="93" t="s">
        <v>915</v>
      </c>
      <c r="H203" s="92">
        <v>170970</v>
      </c>
      <c r="I203" s="93" t="s">
        <v>916</v>
      </c>
      <c r="J203" s="90" t="s">
        <v>917</v>
      </c>
      <c r="K203" s="94"/>
      <c r="L203" s="90" t="s">
        <v>60</v>
      </c>
      <c r="M203" s="94"/>
      <c r="N203" s="94"/>
      <c r="O203" s="94"/>
      <c r="P203" s="94"/>
      <c r="Q203" s="94"/>
      <c r="R203" s="94"/>
      <c r="S203" s="94"/>
      <c r="T203" s="94"/>
      <c r="U203" s="85">
        <f>(Tabela1[[#This Row],[Informe o KM final do dia]]-Tabela1[[#This Row],[Informe o KM inicial do dia]])-Tabela1[[#This Row],[Caso tenha rodado particular alguma parte do trajeto, informe o total de KM a ser deduzido.]]</f>
        <v>320</v>
      </c>
      <c r="V203" s="86">
        <f>IF(Tabela1[[#This Row],[Informe a data]]&lt;DATE(2026,3,16), Tabela1[[#This Row],[KM Rodado]]*1.1, Tabela1[[#This Row],[KM Rodado]]*1.23)</f>
        <v>393.6</v>
      </c>
      <c r="W203" s="86">
        <f>IFERROR(SUBSTITUTE(Tabela1[[#This Row],[Pedágio]],".",",",1)*1,0)</f>
        <v>0</v>
      </c>
      <c r="X203" s="86">
        <f>IFERROR(SUBSTITUTE(Tabela1[[#This Row],[Estacionamento]],".",",",1)*1,0)</f>
        <v>0</v>
      </c>
      <c r="Y203" s="86">
        <f>IFERROR(SUBSTITUTE(Tabela1[[#This Row],[Despesas Diversas 
(Jantar em viagem, Impressões, Etc)]],".",",",1)*1,0)</f>
        <v>0</v>
      </c>
      <c r="Z203" s="86">
        <f>IFERROR(SUBSTITUTE(Tabela1[[#This Row],[Hospedagem]],".",",",1)*1,0)</f>
        <v>0</v>
      </c>
      <c r="AA203" s="56" t="str">
        <f>IF(DAY(Tabela1[[#This Row],[Informe a data]])&lt;=15,"1ª Quinzena","2ª Quinzena")</f>
        <v>2ª Quinzena</v>
      </c>
      <c r="AB203" s="56" t="str">
        <f>UPPER(TEXT(Tabela1[[#This Row],[Informe a data]],"mmmm"))</f>
        <v>MARÇO</v>
      </c>
      <c r="AC203" s="87" t="e">
        <f ca="1">_xlfn.CONCAT(Tabela1[[#This Row],[Selecione o Usuário]]," - ",TEXT(Tabela1[[#This Row],[Informe a data]],"dd-mm-aa"))</f>
        <v>#NAME?</v>
      </c>
    </row>
    <row r="204" spans="1:29">
      <c r="A204" s="49">
        <v>46099.920983796299</v>
      </c>
      <c r="B204" s="50" t="s">
        <v>140</v>
      </c>
      <c r="C204" s="50" t="s">
        <v>141</v>
      </c>
      <c r="D204" s="50" t="s">
        <v>169</v>
      </c>
      <c r="E204" s="51">
        <v>46099</v>
      </c>
      <c r="F204" s="50">
        <v>64017</v>
      </c>
      <c r="G204" s="53"/>
      <c r="H204" s="50">
        <v>64042</v>
      </c>
      <c r="I204" s="58" t="s">
        <v>820</v>
      </c>
      <c r="J204" s="50" t="s">
        <v>821</v>
      </c>
      <c r="K204" s="53"/>
      <c r="L204" s="50" t="s">
        <v>60</v>
      </c>
      <c r="M204" s="53"/>
      <c r="N204" s="53"/>
      <c r="O204" s="53"/>
      <c r="P204" s="53"/>
      <c r="Q204" s="53"/>
      <c r="R204" s="53"/>
      <c r="S204" s="53"/>
      <c r="T204" s="53"/>
      <c r="U204" s="85">
        <f>(Tabela1[[#This Row],[Informe o KM final do dia]]-Tabela1[[#This Row],[Informe o KM inicial do dia]])-Tabela1[[#This Row],[Caso tenha rodado particular alguma parte do trajeto, informe o total de KM a ser deduzido.]]</f>
        <v>25</v>
      </c>
      <c r="V204" s="86">
        <f>IF(Tabela1[[#This Row],[Informe a data]]&lt;DATE(2026,3,16), Tabela1[[#This Row],[KM Rodado]]*1.1, Tabela1[[#This Row],[KM Rodado]]*1.23)</f>
        <v>30.75</v>
      </c>
      <c r="W204" s="86">
        <f>IFERROR(SUBSTITUTE(Tabela1[[#This Row],[Pedágio]],".",",",1)*1,0)</f>
        <v>0</v>
      </c>
      <c r="X204" s="86">
        <f>IFERROR(SUBSTITUTE(Tabela1[[#This Row],[Estacionamento]],".",",",1)*1,0)</f>
        <v>0</v>
      </c>
      <c r="Y204" s="86">
        <f>IFERROR(SUBSTITUTE(Tabela1[[#This Row],[Despesas Diversas 
(Jantar em viagem, Impressões, Etc)]],".",",",1)*1,0)</f>
        <v>0</v>
      </c>
      <c r="Z204" s="86">
        <f>IFERROR(SUBSTITUTE(Tabela1[[#This Row],[Hospedagem]],".",",",1)*1,0)</f>
        <v>0</v>
      </c>
      <c r="AA204" s="56" t="str">
        <f>IF(DAY(Tabela1[[#This Row],[Informe a data]])&lt;=15,"1ª Quinzena","2ª Quinzena")</f>
        <v>2ª Quinzena</v>
      </c>
      <c r="AB204" s="56" t="str">
        <f>UPPER(TEXT(Tabela1[[#This Row],[Informe a data]],"mmmm"))</f>
        <v>MARÇO</v>
      </c>
      <c r="AC204" s="87" t="e">
        <f ca="1">_xlfn.CONCAT(Tabela1[[#This Row],[Selecione o Usuário]]," - ",TEXT(Tabela1[[#This Row],[Informe a data]],"dd-mm-aa"))</f>
        <v>#NAME?</v>
      </c>
    </row>
    <row r="205" spans="1:29">
      <c r="A205" s="89">
        <v>46100.859131944446</v>
      </c>
      <c r="B205" s="90" t="s">
        <v>208</v>
      </c>
      <c r="C205" s="90" t="s">
        <v>134</v>
      </c>
      <c r="D205" s="90" t="s">
        <v>209</v>
      </c>
      <c r="E205" s="91">
        <v>46100</v>
      </c>
      <c r="F205" s="92">
        <v>165143</v>
      </c>
      <c r="G205" s="93" t="s">
        <v>828</v>
      </c>
      <c r="H205" s="92">
        <v>165400</v>
      </c>
      <c r="I205" s="93" t="s">
        <v>829</v>
      </c>
      <c r="J205" s="90" t="s">
        <v>830</v>
      </c>
      <c r="K205" s="94"/>
      <c r="L205" s="90" t="s">
        <v>60</v>
      </c>
      <c r="M205" s="94"/>
      <c r="N205" s="94"/>
      <c r="O205" s="94"/>
      <c r="P205" s="94"/>
      <c r="Q205" s="94"/>
      <c r="R205" s="94"/>
      <c r="S205" s="94"/>
      <c r="T205" s="94"/>
      <c r="U205" s="85">
        <f>(Tabela1[[#This Row],[Informe o KM final do dia]]-Tabela1[[#This Row],[Informe o KM inicial do dia]])-Tabela1[[#This Row],[Caso tenha rodado particular alguma parte do trajeto, informe o total de KM a ser deduzido.]]</f>
        <v>257</v>
      </c>
      <c r="V205" s="86">
        <f>IF(Tabela1[[#This Row],[Informe a data]]&lt;DATE(2026,3,16), Tabela1[[#This Row],[KM Rodado]]*1.1, Tabela1[[#This Row],[KM Rodado]]*1.23)</f>
        <v>316.11</v>
      </c>
      <c r="W205" s="86">
        <f>IFERROR(SUBSTITUTE(Tabela1[[#This Row],[Pedágio]],".",",",1)*1,0)</f>
        <v>0</v>
      </c>
      <c r="X205" s="86">
        <f>IFERROR(SUBSTITUTE(Tabela1[[#This Row],[Estacionamento]],".",",",1)*1,0)</f>
        <v>0</v>
      </c>
      <c r="Y205" s="86">
        <f>IFERROR(SUBSTITUTE(Tabela1[[#This Row],[Despesas Diversas 
(Jantar em viagem, Impressões, Etc)]],".",",",1)*1,0)</f>
        <v>0</v>
      </c>
      <c r="Z205" s="86">
        <f>IFERROR(SUBSTITUTE(Tabela1[[#This Row],[Hospedagem]],".",",",1)*1,0)</f>
        <v>0</v>
      </c>
      <c r="AA205" s="56" t="str">
        <f>IF(DAY(Tabela1[[#This Row],[Informe a data]])&lt;=15,"1ª Quinzena","2ª Quinzena")</f>
        <v>2ª Quinzena</v>
      </c>
      <c r="AB205" s="56" t="str">
        <f>UPPER(TEXT(Tabela1[[#This Row],[Informe a data]],"mmmm"))</f>
        <v>MARÇO</v>
      </c>
      <c r="AC205" s="87" t="e">
        <f ca="1">_xlfn.CONCAT(Tabela1[[#This Row],[Selecione o Usuário]]," - ",TEXT(Tabela1[[#This Row],[Informe a data]],"dd-mm-aa"))</f>
        <v>#NAME?</v>
      </c>
    </row>
    <row r="206" spans="1:29">
      <c r="A206" s="49">
        <v>46101.409699074073</v>
      </c>
      <c r="B206" s="50" t="s">
        <v>300</v>
      </c>
      <c r="C206" s="50" t="s">
        <v>250</v>
      </c>
      <c r="D206" s="50" t="s">
        <v>228</v>
      </c>
      <c r="E206" s="51">
        <v>46100</v>
      </c>
      <c r="F206" s="52">
        <v>125235</v>
      </c>
      <c r="G206" s="58" t="s">
        <v>831</v>
      </c>
      <c r="H206" s="52">
        <v>125365</v>
      </c>
      <c r="I206" s="58" t="s">
        <v>832</v>
      </c>
      <c r="J206" s="50" t="s">
        <v>833</v>
      </c>
      <c r="K206" s="53"/>
      <c r="L206" s="50" t="s">
        <v>60</v>
      </c>
      <c r="M206" s="53"/>
      <c r="N206" s="53"/>
      <c r="O206" s="53"/>
      <c r="P206" s="53"/>
      <c r="Q206" s="53"/>
      <c r="R206" s="53"/>
      <c r="S206" s="53"/>
      <c r="T206" s="53"/>
      <c r="U206" s="85">
        <f>(Tabela1[[#This Row],[Informe o KM final do dia]]-Tabela1[[#This Row],[Informe o KM inicial do dia]])-Tabela1[[#This Row],[Caso tenha rodado particular alguma parte do trajeto, informe o total de KM a ser deduzido.]]</f>
        <v>130</v>
      </c>
      <c r="V206" s="86">
        <f>IF(Tabela1[[#This Row],[Informe a data]]&lt;DATE(2026,3,16), Tabela1[[#This Row],[KM Rodado]]*1.1, Tabela1[[#This Row],[KM Rodado]]*1.23)</f>
        <v>159.9</v>
      </c>
      <c r="W206" s="86">
        <f>IFERROR(SUBSTITUTE(Tabela1[[#This Row],[Pedágio]],".",",",1)*1,0)</f>
        <v>0</v>
      </c>
      <c r="X206" s="86">
        <f>IFERROR(SUBSTITUTE(Tabela1[[#This Row],[Estacionamento]],".",",",1)*1,0)</f>
        <v>0</v>
      </c>
      <c r="Y206" s="86">
        <f>IFERROR(SUBSTITUTE(Tabela1[[#This Row],[Despesas Diversas 
(Jantar em viagem, Impressões, Etc)]],".",",",1)*1,0)</f>
        <v>0</v>
      </c>
      <c r="Z206" s="86">
        <f>IFERROR(SUBSTITUTE(Tabela1[[#This Row],[Hospedagem]],".",",",1)*1,0)</f>
        <v>0</v>
      </c>
      <c r="AA206" s="56" t="str">
        <f>IF(DAY(Tabela1[[#This Row],[Informe a data]])&lt;=15,"1ª Quinzena","2ª Quinzena")</f>
        <v>2ª Quinzena</v>
      </c>
      <c r="AB206" s="56" t="str">
        <f>UPPER(TEXT(Tabela1[[#This Row],[Informe a data]],"mmmm"))</f>
        <v>MARÇO</v>
      </c>
      <c r="AC206" s="87" t="e">
        <f ca="1">_xlfn.CONCAT(Tabela1[[#This Row],[Selecione o Usuário]]," - ",TEXT(Tabela1[[#This Row],[Informe a data]],"dd-mm-aa"))</f>
        <v>#NAME?</v>
      </c>
    </row>
    <row r="207" spans="1:29">
      <c r="A207" s="89">
        <v>46101.757662037038</v>
      </c>
      <c r="B207" s="90" t="s">
        <v>140</v>
      </c>
      <c r="C207" s="90" t="s">
        <v>141</v>
      </c>
      <c r="D207" s="90" t="s">
        <v>169</v>
      </c>
      <c r="E207" s="91">
        <v>46100</v>
      </c>
      <c r="F207" s="90">
        <v>64042</v>
      </c>
      <c r="G207" s="93" t="s">
        <v>834</v>
      </c>
      <c r="H207" s="90">
        <v>64108</v>
      </c>
      <c r="I207" s="93" t="s">
        <v>835</v>
      </c>
      <c r="J207" s="90" t="s">
        <v>836</v>
      </c>
      <c r="K207" s="94"/>
      <c r="L207" s="90" t="s">
        <v>60</v>
      </c>
      <c r="M207" s="94"/>
      <c r="N207" s="94"/>
      <c r="O207" s="94"/>
      <c r="P207" s="94"/>
      <c r="Q207" s="94"/>
      <c r="R207" s="94"/>
      <c r="S207" s="94"/>
      <c r="T207" s="94"/>
      <c r="U207" s="85">
        <f>(Tabela1[[#This Row],[Informe o KM final do dia]]-Tabela1[[#This Row],[Informe o KM inicial do dia]])-Tabela1[[#This Row],[Caso tenha rodado particular alguma parte do trajeto, informe o total de KM a ser deduzido.]]</f>
        <v>66</v>
      </c>
      <c r="V207" s="86">
        <f>IF(Tabela1[[#This Row],[Informe a data]]&lt;DATE(2026,3,16), Tabela1[[#This Row],[KM Rodado]]*1.1, Tabela1[[#This Row],[KM Rodado]]*1.23)</f>
        <v>81.179999999999993</v>
      </c>
      <c r="W207" s="86">
        <f>IFERROR(SUBSTITUTE(Tabela1[[#This Row],[Pedágio]],".",",",1)*1,0)</f>
        <v>0</v>
      </c>
      <c r="X207" s="86">
        <f>IFERROR(SUBSTITUTE(Tabela1[[#This Row],[Estacionamento]],".",",",1)*1,0)</f>
        <v>0</v>
      </c>
      <c r="Y207" s="86">
        <f>IFERROR(SUBSTITUTE(Tabela1[[#This Row],[Despesas Diversas 
(Jantar em viagem, Impressões, Etc)]],".",",",1)*1,0)</f>
        <v>0</v>
      </c>
      <c r="Z207" s="86">
        <f>IFERROR(SUBSTITUTE(Tabela1[[#This Row],[Hospedagem]],".",",",1)*1,0)</f>
        <v>0</v>
      </c>
      <c r="AA207" s="56" t="str">
        <f>IF(DAY(Tabela1[[#This Row],[Informe a data]])&lt;=15,"1ª Quinzena","2ª Quinzena")</f>
        <v>2ª Quinzena</v>
      </c>
      <c r="AB207" s="56" t="str">
        <f>UPPER(TEXT(Tabela1[[#This Row],[Informe a data]],"mmmm"))</f>
        <v>MARÇO</v>
      </c>
      <c r="AC207" s="87" t="e">
        <f ca="1">_xlfn.CONCAT(Tabela1[[#This Row],[Selecione o Usuário]]," - ",TEXT(Tabela1[[#This Row],[Informe a data]],"dd-mm-aa"))</f>
        <v>#NAME?</v>
      </c>
    </row>
    <row r="208" spans="1:29">
      <c r="A208" s="89">
        <v>46109.516585648147</v>
      </c>
      <c r="B208" s="90" t="s">
        <v>469</v>
      </c>
      <c r="C208" s="90" t="s">
        <v>559</v>
      </c>
      <c r="D208" s="90" t="s">
        <v>560</v>
      </c>
      <c r="E208" s="91">
        <v>46101</v>
      </c>
      <c r="F208" s="92">
        <v>77152</v>
      </c>
      <c r="G208" s="94"/>
      <c r="H208" s="92">
        <v>77168</v>
      </c>
      <c r="I208" s="94"/>
      <c r="J208" s="90" t="s">
        <v>850</v>
      </c>
      <c r="K208" s="94"/>
      <c r="L208" s="90" t="s">
        <v>60</v>
      </c>
      <c r="M208" s="94"/>
      <c r="N208" s="94"/>
      <c r="O208" s="94"/>
      <c r="P208" s="94"/>
      <c r="Q208" s="94"/>
      <c r="R208" s="94"/>
      <c r="S208" s="94"/>
      <c r="T208" s="94"/>
      <c r="U208" s="85">
        <f>(Tabela1[[#This Row],[Informe o KM final do dia]]-Tabela1[[#This Row],[Informe o KM inicial do dia]])-Tabela1[[#This Row],[Caso tenha rodado particular alguma parte do trajeto, informe o total de KM a ser deduzido.]]</f>
        <v>16</v>
      </c>
      <c r="V208" s="86">
        <f>IF(Tabela1[[#This Row],[Informe a data]]&lt;DATE(2026,3,16), Tabela1[[#This Row],[KM Rodado]]*1.1, Tabela1[[#This Row],[KM Rodado]]*1.23)</f>
        <v>19.68</v>
      </c>
      <c r="W208" s="86">
        <f>IFERROR(SUBSTITUTE(Tabela1[[#This Row],[Pedágio]],".",",",1)*1,0)</f>
        <v>0</v>
      </c>
      <c r="X208" s="86">
        <f>IFERROR(SUBSTITUTE(Tabela1[[#This Row],[Estacionamento]],".",",",1)*1,0)</f>
        <v>0</v>
      </c>
      <c r="Y208" s="86">
        <f>IFERROR(SUBSTITUTE(Tabela1[[#This Row],[Despesas Diversas 
(Jantar em viagem, Impressões, Etc)]],".",",",1)*1,0)</f>
        <v>0</v>
      </c>
      <c r="Z208" s="86">
        <f>IFERROR(SUBSTITUTE(Tabela1[[#This Row],[Hospedagem]],".",",",1)*1,0)</f>
        <v>0</v>
      </c>
      <c r="AA208" s="56" t="str">
        <f>IF(DAY(Tabela1[[#This Row],[Informe a data]])&lt;=15,"1ª Quinzena","2ª Quinzena")</f>
        <v>2ª Quinzena</v>
      </c>
      <c r="AB208" s="56" t="str">
        <f>UPPER(TEXT(Tabela1[[#This Row],[Informe a data]],"mmmm"))</f>
        <v>MARÇO</v>
      </c>
      <c r="AC208" s="87" t="e">
        <f ca="1">_xlfn.CONCAT(Tabela1[[#This Row],[Selecione o Usuário]]," - ",TEXT(Tabela1[[#This Row],[Informe a data]],"dd-mm-aa"))</f>
        <v>#NAME?</v>
      </c>
    </row>
    <row r="209" spans="1:29">
      <c r="A209" s="89">
        <v>46101.810740740744</v>
      </c>
      <c r="B209" s="90" t="s">
        <v>131</v>
      </c>
      <c r="C209" s="90" t="s">
        <v>132</v>
      </c>
      <c r="D209" s="90" t="s">
        <v>133</v>
      </c>
      <c r="E209" s="91">
        <v>46101</v>
      </c>
      <c r="F209" s="92">
        <v>190369</v>
      </c>
      <c r="G209" s="93" t="s">
        <v>837</v>
      </c>
      <c r="H209" s="92">
        <v>190436</v>
      </c>
      <c r="I209" s="93" t="s">
        <v>838</v>
      </c>
      <c r="J209" s="90" t="s">
        <v>839</v>
      </c>
      <c r="K209" s="94"/>
      <c r="L209" s="90" t="s">
        <v>61</v>
      </c>
      <c r="M209" s="94"/>
      <c r="N209" s="94"/>
      <c r="O209" s="94"/>
      <c r="P209" s="94"/>
      <c r="Q209" s="90" t="s">
        <v>840</v>
      </c>
      <c r="R209" s="90" t="s">
        <v>841</v>
      </c>
      <c r="S209" s="94"/>
      <c r="T209" s="94"/>
      <c r="U209" s="85">
        <f>(Tabela1[[#This Row],[Informe o KM final do dia]]-Tabela1[[#This Row],[Informe o KM inicial do dia]])-Tabela1[[#This Row],[Caso tenha rodado particular alguma parte do trajeto, informe o total de KM a ser deduzido.]]</f>
        <v>67</v>
      </c>
      <c r="V209" s="86">
        <f>IF(Tabela1[[#This Row],[Informe a data]]&lt;DATE(2026,3,16), Tabela1[[#This Row],[KM Rodado]]*1.1, Tabela1[[#This Row],[KM Rodado]]*1.23)</f>
        <v>82.41</v>
      </c>
      <c r="W209" s="86">
        <f>IFERROR(SUBSTITUTE(Tabela1[[#This Row],[Pedágio]],".",",",1)*1,0)</f>
        <v>0</v>
      </c>
      <c r="X209" s="86">
        <f>IFERROR(SUBSTITUTE(Tabela1[[#This Row],[Estacionamento]],".",",",1)*1,0)</f>
        <v>0</v>
      </c>
      <c r="Y209" s="86">
        <f>IFERROR(SUBSTITUTE(Tabela1[[#This Row],[Despesas Diversas 
(Jantar em viagem, Impressões, Etc)]],".",",",1)*1,0)</f>
        <v>14.25</v>
      </c>
      <c r="Z209" s="86">
        <f>IFERROR(SUBSTITUTE(Tabela1[[#This Row],[Hospedagem]],".",",",1)*1,0)</f>
        <v>0</v>
      </c>
      <c r="AA209" s="56" t="str">
        <f>IF(DAY(Tabela1[[#This Row],[Informe a data]])&lt;=15,"1ª Quinzena","2ª Quinzena")</f>
        <v>2ª Quinzena</v>
      </c>
      <c r="AB209" s="56" t="str">
        <f>UPPER(TEXT(Tabela1[[#This Row],[Informe a data]],"mmmm"))</f>
        <v>MARÇO</v>
      </c>
      <c r="AC209" s="87" t="e">
        <f ca="1">_xlfn.CONCAT(Tabela1[[#This Row],[Selecione o Usuário]]," - ",TEXT(Tabela1[[#This Row],[Informe a data]],"dd-mm-aa"))</f>
        <v>#NAME?</v>
      </c>
    </row>
    <row r="210" spans="1:29">
      <c r="A210" s="49">
        <v>46101.94127314815</v>
      </c>
      <c r="B210" s="50" t="s">
        <v>208</v>
      </c>
      <c r="C210" s="50" t="s">
        <v>134</v>
      </c>
      <c r="D210" s="50" t="s">
        <v>209</v>
      </c>
      <c r="E210" s="51">
        <v>46101</v>
      </c>
      <c r="F210" s="52">
        <v>165400</v>
      </c>
      <c r="G210" s="58" t="s">
        <v>842</v>
      </c>
      <c r="H210" s="52">
        <v>165648</v>
      </c>
      <c r="I210" s="58" t="s">
        <v>843</v>
      </c>
      <c r="J210" s="50" t="s">
        <v>844</v>
      </c>
      <c r="K210" s="53"/>
      <c r="L210" s="50" t="s">
        <v>60</v>
      </c>
      <c r="M210" s="53"/>
      <c r="N210" s="53"/>
      <c r="O210" s="53"/>
      <c r="P210" s="53"/>
      <c r="Q210" s="53"/>
      <c r="R210" s="53"/>
      <c r="S210" s="53"/>
      <c r="T210" s="53"/>
      <c r="U210" s="85">
        <f>(Tabela1[[#This Row],[Informe o KM final do dia]]-Tabela1[[#This Row],[Informe o KM inicial do dia]])-Tabela1[[#This Row],[Caso tenha rodado particular alguma parte do trajeto, informe o total de KM a ser deduzido.]]</f>
        <v>248</v>
      </c>
      <c r="V210" s="86">
        <f>IF(Tabela1[[#This Row],[Informe a data]]&lt;DATE(2026,3,16), Tabela1[[#This Row],[KM Rodado]]*1.1, Tabela1[[#This Row],[KM Rodado]]*1.23)</f>
        <v>305.04000000000002</v>
      </c>
      <c r="W210" s="86">
        <f>IFERROR(SUBSTITUTE(Tabela1[[#This Row],[Pedágio]],".",",",1)*1,0)</f>
        <v>0</v>
      </c>
      <c r="X210" s="86">
        <f>IFERROR(SUBSTITUTE(Tabela1[[#This Row],[Estacionamento]],".",",",1)*1,0)</f>
        <v>0</v>
      </c>
      <c r="Y210" s="86">
        <f>IFERROR(SUBSTITUTE(Tabela1[[#This Row],[Despesas Diversas 
(Jantar em viagem, Impressões, Etc)]],".",",",1)*1,0)</f>
        <v>0</v>
      </c>
      <c r="Z210" s="86">
        <f>IFERROR(SUBSTITUTE(Tabela1[[#This Row],[Hospedagem]],".",",",1)*1,0)</f>
        <v>0</v>
      </c>
      <c r="AA210" s="56" t="str">
        <f>IF(DAY(Tabela1[[#This Row],[Informe a data]])&lt;=15,"1ª Quinzena","2ª Quinzena")</f>
        <v>2ª Quinzena</v>
      </c>
      <c r="AB210" s="56" t="str">
        <f>UPPER(TEXT(Tabela1[[#This Row],[Informe a data]],"mmmm"))</f>
        <v>MARÇO</v>
      </c>
      <c r="AC210" s="87" t="e">
        <f ca="1">_xlfn.CONCAT(Tabela1[[#This Row],[Selecione o Usuário]]," - ",TEXT(Tabela1[[#This Row],[Informe a data]],"dd-mm-aa"))</f>
        <v>#NAME?</v>
      </c>
    </row>
    <row r="211" spans="1:29">
      <c r="A211" s="89">
        <v>46102.487164351849</v>
      </c>
      <c r="B211" s="90" t="s">
        <v>504</v>
      </c>
      <c r="C211" s="90" t="s">
        <v>505</v>
      </c>
      <c r="D211" s="90" t="s">
        <v>551</v>
      </c>
      <c r="E211" s="91">
        <v>46101</v>
      </c>
      <c r="F211" s="92">
        <v>101902</v>
      </c>
      <c r="G211" s="93" t="s">
        <v>845</v>
      </c>
      <c r="H211" s="92">
        <v>102020</v>
      </c>
      <c r="I211" s="93" t="s">
        <v>846</v>
      </c>
      <c r="J211" s="90" t="s">
        <v>847</v>
      </c>
      <c r="K211" s="94"/>
      <c r="L211" s="90" t="s">
        <v>60</v>
      </c>
      <c r="M211" s="94"/>
      <c r="N211" s="94"/>
      <c r="O211" s="94"/>
      <c r="P211" s="94"/>
      <c r="Q211" s="94"/>
      <c r="R211" s="94"/>
      <c r="S211" s="94"/>
      <c r="T211" s="94"/>
      <c r="U211" s="85">
        <f>(Tabela1[[#This Row],[Informe o KM final do dia]]-Tabela1[[#This Row],[Informe o KM inicial do dia]])-Tabela1[[#This Row],[Caso tenha rodado particular alguma parte do trajeto, informe o total de KM a ser deduzido.]]</f>
        <v>118</v>
      </c>
      <c r="V211" s="86">
        <f>IF(Tabela1[[#This Row],[Informe a data]]&lt;DATE(2026,3,16), Tabela1[[#This Row],[KM Rodado]]*1.1, Tabela1[[#This Row],[KM Rodado]]*1.23)</f>
        <v>145.13999999999999</v>
      </c>
      <c r="W211" s="86">
        <f>IFERROR(SUBSTITUTE(Tabela1[[#This Row],[Pedágio]],".",",",1)*1,0)</f>
        <v>0</v>
      </c>
      <c r="X211" s="86">
        <f>IFERROR(SUBSTITUTE(Tabela1[[#This Row],[Estacionamento]],".",",",1)*1,0)</f>
        <v>0</v>
      </c>
      <c r="Y211" s="86">
        <f>IFERROR(SUBSTITUTE(Tabela1[[#This Row],[Despesas Diversas 
(Jantar em viagem, Impressões, Etc)]],".",",",1)*1,0)</f>
        <v>0</v>
      </c>
      <c r="Z211" s="86">
        <f>IFERROR(SUBSTITUTE(Tabela1[[#This Row],[Hospedagem]],".",",",1)*1,0)</f>
        <v>0</v>
      </c>
      <c r="AA211" s="56" t="str">
        <f>IF(DAY(Tabela1[[#This Row],[Informe a data]])&lt;=15,"1ª Quinzena","2ª Quinzena")</f>
        <v>2ª Quinzena</v>
      </c>
      <c r="AB211" s="56" t="str">
        <f>UPPER(TEXT(Tabela1[[#This Row],[Informe a data]],"mmmm"))</f>
        <v>MARÇO</v>
      </c>
      <c r="AC211" s="87" t="e">
        <f ca="1">_xlfn.CONCAT(Tabela1[[#This Row],[Selecione o Usuário]]," - ",TEXT(Tabela1[[#This Row],[Informe a data]],"dd-mm-aa"))</f>
        <v>#NAME?</v>
      </c>
    </row>
    <row r="212" spans="1:29">
      <c r="A212" s="49">
        <v>46111.405775462961</v>
      </c>
      <c r="B212" s="50" t="s">
        <v>176</v>
      </c>
      <c r="C212" s="50" t="s">
        <v>136</v>
      </c>
      <c r="D212" s="50" t="s">
        <v>177</v>
      </c>
      <c r="E212" s="51">
        <v>46101</v>
      </c>
      <c r="F212" s="52">
        <v>170970</v>
      </c>
      <c r="G212" s="58" t="s">
        <v>918</v>
      </c>
      <c r="H212" s="52">
        <v>170998</v>
      </c>
      <c r="I212" s="58" t="s">
        <v>919</v>
      </c>
      <c r="J212" s="50" t="s">
        <v>920</v>
      </c>
      <c r="K212" s="53"/>
      <c r="L212" s="50" t="s">
        <v>60</v>
      </c>
      <c r="M212" s="53"/>
      <c r="N212" s="53"/>
      <c r="O212" s="53"/>
      <c r="P212" s="53"/>
      <c r="Q212" s="53"/>
      <c r="R212" s="53"/>
      <c r="S212" s="53"/>
      <c r="T212" s="53"/>
      <c r="U212" s="85">
        <f>(Tabela1[[#This Row],[Informe o KM final do dia]]-Tabela1[[#This Row],[Informe o KM inicial do dia]])-Tabela1[[#This Row],[Caso tenha rodado particular alguma parte do trajeto, informe o total de KM a ser deduzido.]]</f>
        <v>28</v>
      </c>
      <c r="V212" s="86">
        <f>IF(Tabela1[[#This Row],[Informe a data]]&lt;DATE(2026,3,16), Tabela1[[#This Row],[KM Rodado]]*1.1, Tabela1[[#This Row],[KM Rodado]]*1.23)</f>
        <v>34.44</v>
      </c>
      <c r="W212" s="86">
        <f>IFERROR(SUBSTITUTE(Tabela1[[#This Row],[Pedágio]],".",",",1)*1,0)</f>
        <v>0</v>
      </c>
      <c r="X212" s="86">
        <f>IFERROR(SUBSTITUTE(Tabela1[[#This Row],[Estacionamento]],".",",",1)*1,0)</f>
        <v>0</v>
      </c>
      <c r="Y212" s="86">
        <f>IFERROR(SUBSTITUTE(Tabela1[[#This Row],[Despesas Diversas 
(Jantar em viagem, Impressões, Etc)]],".",",",1)*1,0)</f>
        <v>0</v>
      </c>
      <c r="Z212" s="86">
        <f>IFERROR(SUBSTITUTE(Tabela1[[#This Row],[Hospedagem]],".",",",1)*1,0)</f>
        <v>0</v>
      </c>
      <c r="AA212" s="56" t="str">
        <f>IF(DAY(Tabela1[[#This Row],[Informe a data]])&lt;=15,"1ª Quinzena","2ª Quinzena")</f>
        <v>2ª Quinzena</v>
      </c>
      <c r="AB212" s="56" t="str">
        <f>UPPER(TEXT(Tabela1[[#This Row],[Informe a data]],"mmmm"))</f>
        <v>MARÇO</v>
      </c>
      <c r="AC212" s="87" t="e">
        <f ca="1">_xlfn.CONCAT(Tabela1[[#This Row],[Selecione o Usuário]]," - ",TEXT(Tabela1[[#This Row],[Informe a data]],"dd-mm-aa"))</f>
        <v>#NAME?</v>
      </c>
    </row>
    <row r="213" spans="1:29">
      <c r="A213" s="49">
        <v>46105.762650462966</v>
      </c>
      <c r="B213" s="50" t="s">
        <v>140</v>
      </c>
      <c r="C213" s="50" t="s">
        <v>141</v>
      </c>
      <c r="D213" s="50" t="s">
        <v>169</v>
      </c>
      <c r="E213" s="51">
        <v>46101</v>
      </c>
      <c r="F213" s="50">
        <v>64136</v>
      </c>
      <c r="G213" s="53"/>
      <c r="H213" s="50">
        <v>64188</v>
      </c>
      <c r="I213" s="53"/>
      <c r="J213" s="50" t="s">
        <v>848</v>
      </c>
      <c r="K213" s="53"/>
      <c r="L213" s="50" t="s">
        <v>61</v>
      </c>
      <c r="M213" s="53"/>
      <c r="N213" s="53"/>
      <c r="O213" s="52">
        <v>25</v>
      </c>
      <c r="P213" s="58" t="s">
        <v>849</v>
      </c>
      <c r="Q213" s="53"/>
      <c r="R213" s="53"/>
      <c r="S213" s="53"/>
      <c r="T213" s="53"/>
      <c r="U213" s="85">
        <f>(Tabela1[[#This Row],[Informe o KM final do dia]]-Tabela1[[#This Row],[Informe o KM inicial do dia]])-Tabela1[[#This Row],[Caso tenha rodado particular alguma parte do trajeto, informe o total de KM a ser deduzido.]]</f>
        <v>52</v>
      </c>
      <c r="V213" s="86">
        <f>IF(Tabela1[[#This Row],[Informe a data]]&lt;DATE(2026,3,16), Tabela1[[#This Row],[KM Rodado]]*1.1, Tabela1[[#This Row],[KM Rodado]]*1.23)</f>
        <v>63.96</v>
      </c>
      <c r="W213" s="86">
        <f>IFERROR(SUBSTITUTE(Tabela1[[#This Row],[Pedágio]],".",",",1)*1,0)</f>
        <v>0</v>
      </c>
      <c r="X213" s="86">
        <f>IFERROR(SUBSTITUTE(Tabela1[[#This Row],[Estacionamento]],".",",",1)*1,0)</f>
        <v>25</v>
      </c>
      <c r="Y213" s="86">
        <f>IFERROR(SUBSTITUTE(Tabela1[[#This Row],[Despesas Diversas 
(Jantar em viagem, Impressões, Etc)]],".",",",1)*1,0)</f>
        <v>0</v>
      </c>
      <c r="Z213" s="86">
        <f>IFERROR(SUBSTITUTE(Tabela1[[#This Row],[Hospedagem]],".",",",1)*1,0)</f>
        <v>0</v>
      </c>
      <c r="AA213" s="56" t="str">
        <f>IF(DAY(Tabela1[[#This Row],[Informe a data]])&lt;=15,"1ª Quinzena","2ª Quinzena")</f>
        <v>2ª Quinzena</v>
      </c>
      <c r="AB213" s="56" t="str">
        <f>UPPER(TEXT(Tabela1[[#This Row],[Informe a data]],"mmmm"))</f>
        <v>MARÇO</v>
      </c>
      <c r="AC213" s="87" t="e">
        <f ca="1">_xlfn.CONCAT(Tabela1[[#This Row],[Selecione o Usuário]]," - ",TEXT(Tabela1[[#This Row],[Informe a data]],"dd-mm-aa"))</f>
        <v>#NAME?</v>
      </c>
    </row>
    <row r="214" spans="1:29">
      <c r="A214" s="49">
        <v>46105.360208333332</v>
      </c>
      <c r="B214" s="50" t="s">
        <v>131</v>
      </c>
      <c r="C214" s="50" t="s">
        <v>132</v>
      </c>
      <c r="D214" s="50" t="s">
        <v>133</v>
      </c>
      <c r="E214" s="51">
        <v>46102</v>
      </c>
      <c r="F214" s="52">
        <v>190485</v>
      </c>
      <c r="G214" s="58" t="s">
        <v>851</v>
      </c>
      <c r="H214" s="52">
        <v>190547</v>
      </c>
      <c r="I214" s="58" t="s">
        <v>852</v>
      </c>
      <c r="J214" s="50" t="s">
        <v>853</v>
      </c>
      <c r="K214" s="53"/>
      <c r="L214" s="50" t="s">
        <v>60</v>
      </c>
      <c r="M214" s="53"/>
      <c r="N214" s="53"/>
      <c r="O214" s="53"/>
      <c r="P214" s="53"/>
      <c r="Q214" s="53"/>
      <c r="R214" s="53"/>
      <c r="S214" s="53"/>
      <c r="T214" s="53"/>
      <c r="U214" s="85">
        <f>(Tabela1[[#This Row],[Informe o KM final do dia]]-Tabela1[[#This Row],[Informe o KM inicial do dia]])-Tabela1[[#This Row],[Caso tenha rodado particular alguma parte do trajeto, informe o total de KM a ser deduzido.]]</f>
        <v>62</v>
      </c>
      <c r="V214" s="86">
        <f>IF(Tabela1[[#This Row],[Informe a data]]&lt;DATE(2026,3,16), Tabela1[[#This Row],[KM Rodado]]*1.1, Tabela1[[#This Row],[KM Rodado]]*1.23)</f>
        <v>76.260000000000005</v>
      </c>
      <c r="W214" s="86">
        <f>IFERROR(SUBSTITUTE(Tabela1[[#This Row],[Pedágio]],".",",",1)*1,0)</f>
        <v>0</v>
      </c>
      <c r="X214" s="86">
        <f>IFERROR(SUBSTITUTE(Tabela1[[#This Row],[Estacionamento]],".",",",1)*1,0)</f>
        <v>0</v>
      </c>
      <c r="Y214" s="86">
        <f>IFERROR(SUBSTITUTE(Tabela1[[#This Row],[Despesas Diversas 
(Jantar em viagem, Impressões, Etc)]],".",",",1)*1,0)</f>
        <v>0</v>
      </c>
      <c r="Z214" s="86">
        <f>IFERROR(SUBSTITUTE(Tabela1[[#This Row],[Hospedagem]],".",",",1)*1,0)</f>
        <v>0</v>
      </c>
      <c r="AA214" s="56" t="str">
        <f>IF(DAY(Tabela1[[#This Row],[Informe a data]])&lt;=15,"1ª Quinzena","2ª Quinzena")</f>
        <v>2ª Quinzena</v>
      </c>
      <c r="AB214" s="56" t="str">
        <f>UPPER(TEXT(Tabela1[[#This Row],[Informe a data]],"mmmm"))</f>
        <v>MARÇO</v>
      </c>
      <c r="AC214" s="87" t="e">
        <f ca="1">_xlfn.CONCAT(Tabela1[[#This Row],[Selecione o Usuário]]," - ",TEXT(Tabela1[[#This Row],[Informe a data]],"dd-mm-aa"))</f>
        <v>#NAME?</v>
      </c>
    </row>
    <row r="215" spans="1:29">
      <c r="A215" s="89">
        <v>46104.762962962966</v>
      </c>
      <c r="B215" s="90" t="s">
        <v>208</v>
      </c>
      <c r="C215" s="90" t="s">
        <v>134</v>
      </c>
      <c r="D215" s="90" t="s">
        <v>209</v>
      </c>
      <c r="E215" s="91">
        <v>46104</v>
      </c>
      <c r="F215" s="92">
        <v>165652</v>
      </c>
      <c r="G215" s="94"/>
      <c r="H215" s="92">
        <v>165874</v>
      </c>
      <c r="I215" s="94"/>
      <c r="J215" s="90" t="s">
        <v>854</v>
      </c>
      <c r="K215" s="94"/>
      <c r="L215" s="90" t="s">
        <v>60</v>
      </c>
      <c r="M215" s="94"/>
      <c r="N215" s="94"/>
      <c r="O215" s="94"/>
      <c r="P215" s="94"/>
      <c r="Q215" s="94"/>
      <c r="R215" s="94"/>
      <c r="S215" s="94"/>
      <c r="T215" s="94"/>
      <c r="U215" s="85">
        <f>(Tabela1[[#This Row],[Informe o KM final do dia]]-Tabela1[[#This Row],[Informe o KM inicial do dia]])-Tabela1[[#This Row],[Caso tenha rodado particular alguma parte do trajeto, informe o total de KM a ser deduzido.]]</f>
        <v>222</v>
      </c>
      <c r="V215" s="86">
        <f>IF(Tabela1[[#This Row],[Informe a data]]&lt;DATE(2026,3,16), Tabela1[[#This Row],[KM Rodado]]*1.1, Tabela1[[#This Row],[KM Rodado]]*1.23)</f>
        <v>273.06</v>
      </c>
      <c r="W215" s="86">
        <f>IFERROR(SUBSTITUTE(Tabela1[[#This Row],[Pedágio]],".",",",1)*1,0)</f>
        <v>0</v>
      </c>
      <c r="X215" s="86">
        <f>IFERROR(SUBSTITUTE(Tabela1[[#This Row],[Estacionamento]],".",",",1)*1,0)</f>
        <v>0</v>
      </c>
      <c r="Y215" s="86">
        <f>IFERROR(SUBSTITUTE(Tabela1[[#This Row],[Despesas Diversas 
(Jantar em viagem, Impressões, Etc)]],".",",",1)*1,0)</f>
        <v>0</v>
      </c>
      <c r="Z215" s="86">
        <f>IFERROR(SUBSTITUTE(Tabela1[[#This Row],[Hospedagem]],".",",",1)*1,0)</f>
        <v>0</v>
      </c>
      <c r="AA215" s="56" t="str">
        <f>IF(DAY(Tabela1[[#This Row],[Informe a data]])&lt;=15,"1ª Quinzena","2ª Quinzena")</f>
        <v>2ª Quinzena</v>
      </c>
      <c r="AB215" s="56" t="str">
        <f>UPPER(TEXT(Tabela1[[#This Row],[Informe a data]],"mmmm"))</f>
        <v>MARÇO</v>
      </c>
      <c r="AC215" s="87" t="e">
        <f ca="1">_xlfn.CONCAT(Tabela1[[#This Row],[Selecione o Usuário]]," - ",TEXT(Tabela1[[#This Row],[Informe a data]],"dd-mm-aa"))</f>
        <v>#NAME?</v>
      </c>
    </row>
    <row r="216" spans="1:29">
      <c r="A216" s="49">
        <v>46105.359166666669</v>
      </c>
      <c r="B216" s="50" t="s">
        <v>300</v>
      </c>
      <c r="C216" s="50" t="s">
        <v>250</v>
      </c>
      <c r="D216" s="50" t="s">
        <v>228</v>
      </c>
      <c r="E216" s="51">
        <v>46104</v>
      </c>
      <c r="F216" s="52">
        <v>125562</v>
      </c>
      <c r="G216" s="58" t="s">
        <v>855</v>
      </c>
      <c r="H216" s="52">
        <v>125660</v>
      </c>
      <c r="I216" s="58" t="s">
        <v>856</v>
      </c>
      <c r="J216" s="50" t="s">
        <v>857</v>
      </c>
      <c r="K216" s="53"/>
      <c r="L216" s="50" t="s">
        <v>60</v>
      </c>
      <c r="M216" s="53"/>
      <c r="N216" s="53"/>
      <c r="O216" s="53"/>
      <c r="P216" s="53"/>
      <c r="Q216" s="53"/>
      <c r="R216" s="53"/>
      <c r="S216" s="53"/>
      <c r="T216" s="53"/>
      <c r="U216" s="85">
        <f>(Tabela1[[#This Row],[Informe o KM final do dia]]-Tabela1[[#This Row],[Informe o KM inicial do dia]])-Tabela1[[#This Row],[Caso tenha rodado particular alguma parte do trajeto, informe o total de KM a ser deduzido.]]</f>
        <v>98</v>
      </c>
      <c r="V216" s="86">
        <f>IF(Tabela1[[#This Row],[Informe a data]]&lt;DATE(2026,3,16), Tabela1[[#This Row],[KM Rodado]]*1.1, Tabela1[[#This Row],[KM Rodado]]*1.23)</f>
        <v>120.53999999999999</v>
      </c>
      <c r="W216" s="86">
        <f>IFERROR(SUBSTITUTE(Tabela1[[#This Row],[Pedágio]],".",",",1)*1,0)</f>
        <v>0</v>
      </c>
      <c r="X216" s="86">
        <f>IFERROR(SUBSTITUTE(Tabela1[[#This Row],[Estacionamento]],".",",",1)*1,0)</f>
        <v>0</v>
      </c>
      <c r="Y216" s="86">
        <f>IFERROR(SUBSTITUTE(Tabela1[[#This Row],[Despesas Diversas 
(Jantar em viagem, Impressões, Etc)]],".",",",1)*1,0)</f>
        <v>0</v>
      </c>
      <c r="Z216" s="86">
        <f>IFERROR(SUBSTITUTE(Tabela1[[#This Row],[Hospedagem]],".",",",1)*1,0)</f>
        <v>0</v>
      </c>
      <c r="AA216" s="56" t="str">
        <f>IF(DAY(Tabela1[[#This Row],[Informe a data]])&lt;=15,"1ª Quinzena","2ª Quinzena")</f>
        <v>2ª Quinzena</v>
      </c>
      <c r="AB216" s="56" t="str">
        <f>UPPER(TEXT(Tabela1[[#This Row],[Informe a data]],"mmmm"))</f>
        <v>MARÇO</v>
      </c>
      <c r="AC216" s="87" t="e">
        <f ca="1">_xlfn.CONCAT(Tabela1[[#This Row],[Selecione o Usuário]]," - ",TEXT(Tabela1[[#This Row],[Informe a data]],"dd-mm-aa"))</f>
        <v>#NAME?</v>
      </c>
    </row>
    <row r="217" spans="1:29">
      <c r="A217" s="89">
        <v>46109.518634259257</v>
      </c>
      <c r="B217" s="90" t="s">
        <v>469</v>
      </c>
      <c r="C217" s="90" t="s">
        <v>559</v>
      </c>
      <c r="D217" s="90" t="s">
        <v>560</v>
      </c>
      <c r="E217" s="91">
        <v>46105</v>
      </c>
      <c r="F217" s="92">
        <v>77168</v>
      </c>
      <c r="G217" s="94"/>
      <c r="H217" s="92">
        <v>77300</v>
      </c>
      <c r="I217" s="94"/>
      <c r="J217" s="90" t="s">
        <v>868</v>
      </c>
      <c r="K217" s="94"/>
      <c r="L217" s="90" t="s">
        <v>60</v>
      </c>
      <c r="M217" s="94"/>
      <c r="N217" s="94"/>
      <c r="O217" s="94"/>
      <c r="P217" s="94"/>
      <c r="Q217" s="94"/>
      <c r="R217" s="94"/>
      <c r="S217" s="94"/>
      <c r="T217" s="94"/>
      <c r="U217" s="85">
        <f>(Tabela1[[#This Row],[Informe o KM final do dia]]-Tabela1[[#This Row],[Informe o KM inicial do dia]])-Tabela1[[#This Row],[Caso tenha rodado particular alguma parte do trajeto, informe o total de KM a ser deduzido.]]</f>
        <v>132</v>
      </c>
      <c r="V217" s="86">
        <f>IF(Tabela1[[#This Row],[Informe a data]]&lt;DATE(2026,3,16), Tabela1[[#This Row],[KM Rodado]]*1.1, Tabela1[[#This Row],[KM Rodado]]*1.23)</f>
        <v>162.35999999999999</v>
      </c>
      <c r="W217" s="86">
        <f>IFERROR(SUBSTITUTE(Tabela1[[#This Row],[Pedágio]],".",",",1)*1,0)</f>
        <v>0</v>
      </c>
      <c r="X217" s="86">
        <f>IFERROR(SUBSTITUTE(Tabela1[[#This Row],[Estacionamento]],".",",",1)*1,0)</f>
        <v>0</v>
      </c>
      <c r="Y217" s="86">
        <f>IFERROR(SUBSTITUTE(Tabela1[[#This Row],[Despesas Diversas 
(Jantar em viagem, Impressões, Etc)]],".",",",1)*1,0)</f>
        <v>0</v>
      </c>
      <c r="Z217" s="86">
        <f>IFERROR(SUBSTITUTE(Tabela1[[#This Row],[Hospedagem]],".",",",1)*1,0)</f>
        <v>0</v>
      </c>
      <c r="AA217" s="56" t="str">
        <f>IF(DAY(Tabela1[[#This Row],[Informe a data]])&lt;=15,"1ª Quinzena","2ª Quinzena")</f>
        <v>2ª Quinzena</v>
      </c>
      <c r="AB217" s="56" t="str">
        <f>UPPER(TEXT(Tabela1[[#This Row],[Informe a data]],"mmmm"))</f>
        <v>MARÇO</v>
      </c>
      <c r="AC217" s="87" t="e">
        <f ca="1">_xlfn.CONCAT(Tabela1[[#This Row],[Selecione o Usuário]]," - ",TEXT(Tabela1[[#This Row],[Informe a data]],"dd-mm-aa"))</f>
        <v>#NAME?</v>
      </c>
    </row>
    <row r="218" spans="1:29">
      <c r="A218" s="49">
        <v>46106.455740740741</v>
      </c>
      <c r="B218" s="50" t="s">
        <v>131</v>
      </c>
      <c r="C218" s="50" t="s">
        <v>132</v>
      </c>
      <c r="D218" s="50" t="s">
        <v>133</v>
      </c>
      <c r="E218" s="51">
        <v>46105</v>
      </c>
      <c r="F218" s="52">
        <v>190547</v>
      </c>
      <c r="G218" s="58" t="s">
        <v>859</v>
      </c>
      <c r="H218" s="52">
        <v>190713</v>
      </c>
      <c r="I218" s="58" t="s">
        <v>860</v>
      </c>
      <c r="J218" s="50" t="s">
        <v>758</v>
      </c>
      <c r="K218" s="53"/>
      <c r="L218" s="50" t="s">
        <v>61</v>
      </c>
      <c r="M218" s="50" t="s">
        <v>128</v>
      </c>
      <c r="N218" s="58" t="s">
        <v>861</v>
      </c>
      <c r="O218" s="53"/>
      <c r="P218" s="53"/>
      <c r="Q218" s="53"/>
      <c r="R218" s="53"/>
      <c r="S218" s="53"/>
      <c r="T218" s="53"/>
      <c r="U218" s="85">
        <f>(Tabela1[[#This Row],[Informe o KM final do dia]]-Tabela1[[#This Row],[Informe o KM inicial do dia]])-Tabela1[[#This Row],[Caso tenha rodado particular alguma parte do trajeto, informe o total de KM a ser deduzido.]]</f>
        <v>166</v>
      </c>
      <c r="V218" s="86">
        <f>IF(Tabela1[[#This Row],[Informe a data]]&lt;DATE(2026,3,16), Tabela1[[#This Row],[KM Rodado]]*1.1, Tabela1[[#This Row],[KM Rodado]]*1.23)</f>
        <v>204.18</v>
      </c>
      <c r="W218" s="86">
        <f>IFERROR(SUBSTITUTE(Tabela1[[#This Row],[Pedágio]],".",",",1)*1,0)</f>
        <v>11.4</v>
      </c>
      <c r="X218" s="86">
        <f>IFERROR(SUBSTITUTE(Tabela1[[#This Row],[Estacionamento]],".",",",1)*1,0)</f>
        <v>0</v>
      </c>
      <c r="Y218" s="86">
        <f>IFERROR(SUBSTITUTE(Tabela1[[#This Row],[Despesas Diversas 
(Jantar em viagem, Impressões, Etc)]],".",",",1)*1,0)</f>
        <v>0</v>
      </c>
      <c r="Z218" s="86">
        <f>IFERROR(SUBSTITUTE(Tabela1[[#This Row],[Hospedagem]],".",",",1)*1,0)</f>
        <v>0</v>
      </c>
      <c r="AA218" s="56" t="str">
        <f>IF(DAY(Tabela1[[#This Row],[Informe a data]])&lt;=15,"1ª Quinzena","2ª Quinzena")</f>
        <v>2ª Quinzena</v>
      </c>
      <c r="AB218" s="56" t="str">
        <f>UPPER(TEXT(Tabela1[[#This Row],[Informe a data]],"mmmm"))</f>
        <v>MARÇO</v>
      </c>
      <c r="AC218" s="87" t="e">
        <f ca="1">_xlfn.CONCAT(Tabela1[[#This Row],[Selecione o Usuário]]," - ",TEXT(Tabela1[[#This Row],[Informe a data]],"dd-mm-aa"))</f>
        <v>#NAME?</v>
      </c>
    </row>
    <row r="219" spans="1:29">
      <c r="A219" s="89">
        <v>46106.357951388891</v>
      </c>
      <c r="B219" s="90" t="s">
        <v>497</v>
      </c>
      <c r="C219" s="90" t="s">
        <v>498</v>
      </c>
      <c r="D219" s="90" t="s">
        <v>499</v>
      </c>
      <c r="E219" s="91">
        <v>46105</v>
      </c>
      <c r="F219" s="92">
        <v>304443</v>
      </c>
      <c r="G219" s="93" t="s">
        <v>862</v>
      </c>
      <c r="H219" s="92">
        <v>304506</v>
      </c>
      <c r="I219" s="93" t="s">
        <v>863</v>
      </c>
      <c r="J219" s="90" t="s">
        <v>864</v>
      </c>
      <c r="K219" s="94"/>
      <c r="L219" s="90" t="s">
        <v>60</v>
      </c>
      <c r="M219" s="94"/>
      <c r="N219" s="94"/>
      <c r="O219" s="94"/>
      <c r="P219" s="94"/>
      <c r="Q219" s="94"/>
      <c r="R219" s="94"/>
      <c r="S219" s="94"/>
      <c r="T219" s="94"/>
      <c r="U219" s="85">
        <f>(Tabela1[[#This Row],[Informe o KM final do dia]]-Tabela1[[#This Row],[Informe o KM inicial do dia]])-Tabela1[[#This Row],[Caso tenha rodado particular alguma parte do trajeto, informe o total de KM a ser deduzido.]]</f>
        <v>63</v>
      </c>
      <c r="V219" s="86">
        <f>IF(Tabela1[[#This Row],[Informe a data]]&lt;DATE(2026,3,16), Tabela1[[#This Row],[KM Rodado]]*1.1, Tabela1[[#This Row],[KM Rodado]]*1.23)</f>
        <v>77.489999999999995</v>
      </c>
      <c r="W219" s="86">
        <f>IFERROR(SUBSTITUTE(Tabela1[[#This Row],[Pedágio]],".",",",1)*1,0)</f>
        <v>0</v>
      </c>
      <c r="X219" s="86">
        <f>IFERROR(SUBSTITUTE(Tabela1[[#This Row],[Estacionamento]],".",",",1)*1,0)</f>
        <v>0</v>
      </c>
      <c r="Y219" s="86">
        <f>IFERROR(SUBSTITUTE(Tabela1[[#This Row],[Despesas Diversas 
(Jantar em viagem, Impressões, Etc)]],".",",",1)*1,0)</f>
        <v>0</v>
      </c>
      <c r="Z219" s="86">
        <f>IFERROR(SUBSTITUTE(Tabela1[[#This Row],[Hospedagem]],".",",",1)*1,0)</f>
        <v>0</v>
      </c>
      <c r="AA219" s="56" t="str">
        <f>IF(DAY(Tabela1[[#This Row],[Informe a data]])&lt;=15,"1ª Quinzena","2ª Quinzena")</f>
        <v>2ª Quinzena</v>
      </c>
      <c r="AB219" s="56" t="str">
        <f>UPPER(TEXT(Tabela1[[#This Row],[Informe a data]],"mmmm"))</f>
        <v>MARÇO</v>
      </c>
      <c r="AC219" s="87" t="e">
        <f ca="1">_xlfn.CONCAT(Tabela1[[#This Row],[Selecione o Usuário]]," - ",TEXT(Tabela1[[#This Row],[Informe a data]],"dd-mm-aa"))</f>
        <v>#NAME?</v>
      </c>
    </row>
    <row r="220" spans="1:29">
      <c r="A220" s="49">
        <v>46109.554293981484</v>
      </c>
      <c r="B220" s="50" t="s">
        <v>504</v>
      </c>
      <c r="C220" s="50" t="s">
        <v>505</v>
      </c>
      <c r="D220" s="50" t="s">
        <v>506</v>
      </c>
      <c r="E220" s="51">
        <v>46105</v>
      </c>
      <c r="F220" s="52">
        <v>102051</v>
      </c>
      <c r="G220" s="58" t="s">
        <v>869</v>
      </c>
      <c r="H220" s="52">
        <v>102119</v>
      </c>
      <c r="I220" s="58" t="s">
        <v>870</v>
      </c>
      <c r="J220" s="50" t="s">
        <v>871</v>
      </c>
      <c r="K220" s="53"/>
      <c r="L220" s="50" t="s">
        <v>60</v>
      </c>
      <c r="M220" s="53"/>
      <c r="N220" s="53"/>
      <c r="O220" s="53"/>
      <c r="P220" s="53"/>
      <c r="Q220" s="53"/>
      <c r="R220" s="53"/>
      <c r="S220" s="53"/>
      <c r="T220" s="53"/>
      <c r="U220" s="85">
        <f>(Tabela1[[#This Row],[Informe o KM final do dia]]-Tabela1[[#This Row],[Informe o KM inicial do dia]])-Tabela1[[#This Row],[Caso tenha rodado particular alguma parte do trajeto, informe o total de KM a ser deduzido.]]</f>
        <v>68</v>
      </c>
      <c r="V220" s="86">
        <f>IF(Tabela1[[#This Row],[Informe a data]]&lt;DATE(2026,3,16), Tabela1[[#This Row],[KM Rodado]]*1.1, Tabela1[[#This Row],[KM Rodado]]*1.23)</f>
        <v>83.64</v>
      </c>
      <c r="W220" s="86">
        <f>IFERROR(SUBSTITUTE(Tabela1[[#This Row],[Pedágio]],".",",",1)*1,0)</f>
        <v>0</v>
      </c>
      <c r="X220" s="86">
        <f>IFERROR(SUBSTITUTE(Tabela1[[#This Row],[Estacionamento]],".",",",1)*1,0)</f>
        <v>0</v>
      </c>
      <c r="Y220" s="86">
        <f>IFERROR(SUBSTITUTE(Tabela1[[#This Row],[Despesas Diversas 
(Jantar em viagem, Impressões, Etc)]],".",",",1)*1,0)</f>
        <v>0</v>
      </c>
      <c r="Z220" s="86">
        <f>IFERROR(SUBSTITUTE(Tabela1[[#This Row],[Hospedagem]],".",",",1)*1,0)</f>
        <v>0</v>
      </c>
      <c r="AA220" s="56" t="str">
        <f>IF(DAY(Tabela1[[#This Row],[Informe a data]])&lt;=15,"1ª Quinzena","2ª Quinzena")</f>
        <v>2ª Quinzena</v>
      </c>
      <c r="AB220" s="56" t="str">
        <f>UPPER(TEXT(Tabela1[[#This Row],[Informe a data]],"mmmm"))</f>
        <v>MARÇO</v>
      </c>
      <c r="AC220" s="87" t="e">
        <f ca="1">_xlfn.CONCAT(Tabela1[[#This Row],[Selecione o Usuário]]," - ",TEXT(Tabela1[[#This Row],[Informe a data]],"dd-mm-aa"))</f>
        <v>#NAME?</v>
      </c>
    </row>
    <row r="221" spans="1:29">
      <c r="A221" s="49">
        <v>46106.360706018517</v>
      </c>
      <c r="B221" s="50" t="s">
        <v>300</v>
      </c>
      <c r="C221" s="50" t="s">
        <v>250</v>
      </c>
      <c r="D221" s="50" t="s">
        <v>228</v>
      </c>
      <c r="E221" s="51">
        <v>46105</v>
      </c>
      <c r="F221" s="52">
        <v>125675</v>
      </c>
      <c r="G221" s="58" t="s">
        <v>865</v>
      </c>
      <c r="H221" s="52">
        <v>125745</v>
      </c>
      <c r="I221" s="58" t="s">
        <v>866</v>
      </c>
      <c r="J221" s="50" t="s">
        <v>867</v>
      </c>
      <c r="K221" s="53"/>
      <c r="L221" s="50" t="s">
        <v>60</v>
      </c>
      <c r="M221" s="53"/>
      <c r="N221" s="53"/>
      <c r="O221" s="53"/>
      <c r="P221" s="53"/>
      <c r="Q221" s="53"/>
      <c r="R221" s="53"/>
      <c r="S221" s="53"/>
      <c r="T221" s="53"/>
      <c r="U221" s="85">
        <f>(Tabela1[[#This Row],[Informe o KM final do dia]]-Tabela1[[#This Row],[Informe o KM inicial do dia]])-Tabela1[[#This Row],[Caso tenha rodado particular alguma parte do trajeto, informe o total de KM a ser deduzido.]]</f>
        <v>70</v>
      </c>
      <c r="V221" s="86">
        <f>IF(Tabela1[[#This Row],[Informe a data]]&lt;DATE(2026,3,16), Tabela1[[#This Row],[KM Rodado]]*1.1, Tabela1[[#This Row],[KM Rodado]]*1.23)</f>
        <v>86.1</v>
      </c>
      <c r="W221" s="86">
        <f>IFERROR(SUBSTITUTE(Tabela1[[#This Row],[Pedágio]],".",",",1)*1,0)</f>
        <v>0</v>
      </c>
      <c r="X221" s="86">
        <f>IFERROR(SUBSTITUTE(Tabela1[[#This Row],[Estacionamento]],".",",",1)*1,0)</f>
        <v>0</v>
      </c>
      <c r="Y221" s="86">
        <f>IFERROR(SUBSTITUTE(Tabela1[[#This Row],[Despesas Diversas 
(Jantar em viagem, Impressões, Etc)]],".",",",1)*1,0)</f>
        <v>0</v>
      </c>
      <c r="Z221" s="86">
        <f>IFERROR(SUBSTITUTE(Tabela1[[#This Row],[Hospedagem]],".",",",1)*1,0)</f>
        <v>0</v>
      </c>
      <c r="AA221" s="56" t="str">
        <f>IF(DAY(Tabela1[[#This Row],[Informe a data]])&lt;=15,"1ª Quinzena","2ª Quinzena")</f>
        <v>2ª Quinzena</v>
      </c>
      <c r="AB221" s="56" t="str">
        <f>UPPER(TEXT(Tabela1[[#This Row],[Informe a data]],"mmmm"))</f>
        <v>MARÇO</v>
      </c>
      <c r="AC221" s="87" t="e">
        <f ca="1">_xlfn.CONCAT(Tabela1[[#This Row],[Selecione o Usuário]]," - ",TEXT(Tabela1[[#This Row],[Informe a data]],"dd-mm-aa"))</f>
        <v>#NAME?</v>
      </c>
    </row>
    <row r="222" spans="1:29">
      <c r="A222" s="89">
        <v>46111.407557870371</v>
      </c>
      <c r="B222" s="90" t="s">
        <v>176</v>
      </c>
      <c r="C222" s="90" t="s">
        <v>136</v>
      </c>
      <c r="D222" s="90" t="s">
        <v>177</v>
      </c>
      <c r="E222" s="91">
        <v>46105</v>
      </c>
      <c r="F222" s="92">
        <v>171010</v>
      </c>
      <c r="G222" s="93" t="s">
        <v>921</v>
      </c>
      <c r="H222" s="92">
        <v>171214</v>
      </c>
      <c r="I222" s="93" t="s">
        <v>922</v>
      </c>
      <c r="J222" s="90" t="s">
        <v>923</v>
      </c>
      <c r="K222" s="94"/>
      <c r="L222" s="90" t="s">
        <v>60</v>
      </c>
      <c r="M222" s="94"/>
      <c r="N222" s="94"/>
      <c r="O222" s="94"/>
      <c r="P222" s="94"/>
      <c r="Q222" s="94"/>
      <c r="R222" s="94"/>
      <c r="S222" s="94"/>
      <c r="T222" s="94"/>
      <c r="U222" s="85">
        <f>(Tabela1[[#This Row],[Informe o KM final do dia]]-Tabela1[[#This Row],[Informe o KM inicial do dia]])-Tabela1[[#This Row],[Caso tenha rodado particular alguma parte do trajeto, informe o total de KM a ser deduzido.]]</f>
        <v>204</v>
      </c>
      <c r="V222" s="86">
        <f>IF(Tabela1[[#This Row],[Informe a data]]&lt;DATE(2026,3,16), Tabela1[[#This Row],[KM Rodado]]*1.1, Tabela1[[#This Row],[KM Rodado]]*1.23)</f>
        <v>250.92</v>
      </c>
      <c r="W222" s="86">
        <f>IFERROR(SUBSTITUTE(Tabela1[[#This Row],[Pedágio]],".",",",1)*1,0)</f>
        <v>0</v>
      </c>
      <c r="X222" s="86">
        <f>IFERROR(SUBSTITUTE(Tabela1[[#This Row],[Estacionamento]],".",",",1)*1,0)</f>
        <v>0</v>
      </c>
      <c r="Y222" s="86">
        <f>IFERROR(SUBSTITUTE(Tabela1[[#This Row],[Despesas Diversas 
(Jantar em viagem, Impressões, Etc)]],".",",",1)*1,0)</f>
        <v>0</v>
      </c>
      <c r="Z222" s="86">
        <f>IFERROR(SUBSTITUTE(Tabela1[[#This Row],[Hospedagem]],".",",",1)*1,0)</f>
        <v>0</v>
      </c>
      <c r="AA222" s="56" t="str">
        <f>IF(DAY(Tabela1[[#This Row],[Informe a data]])&lt;=15,"1ª Quinzena","2ª Quinzena")</f>
        <v>2ª Quinzena</v>
      </c>
      <c r="AB222" s="56" t="str">
        <f>UPPER(TEXT(Tabela1[[#This Row],[Informe a data]],"mmmm"))</f>
        <v>MARÇO</v>
      </c>
      <c r="AC222" s="87" t="e">
        <f ca="1">_xlfn.CONCAT(Tabela1[[#This Row],[Selecione o Usuário]]," - ",TEXT(Tabela1[[#This Row],[Informe a data]],"dd-mm-aa"))</f>
        <v>#NAME?</v>
      </c>
    </row>
    <row r="223" spans="1:29">
      <c r="A223" s="89">
        <v>46105.766111111108</v>
      </c>
      <c r="B223" s="90" t="s">
        <v>140</v>
      </c>
      <c r="C223" s="90" t="s">
        <v>141</v>
      </c>
      <c r="D223" s="90" t="s">
        <v>169</v>
      </c>
      <c r="E223" s="91">
        <v>46105</v>
      </c>
      <c r="F223" s="90">
        <v>64240</v>
      </c>
      <c r="G223" s="94"/>
      <c r="H223" s="90">
        <v>64305</v>
      </c>
      <c r="I223" s="94"/>
      <c r="J223" s="90" t="s">
        <v>858</v>
      </c>
      <c r="K223" s="94"/>
      <c r="L223" s="90" t="s">
        <v>60</v>
      </c>
      <c r="M223" s="94"/>
      <c r="N223" s="94"/>
      <c r="O223" s="94"/>
      <c r="P223" s="94"/>
      <c r="Q223" s="94"/>
      <c r="R223" s="94"/>
      <c r="S223" s="94"/>
      <c r="T223" s="94"/>
      <c r="U223" s="85">
        <f>(Tabela1[[#This Row],[Informe o KM final do dia]]-Tabela1[[#This Row],[Informe o KM inicial do dia]])-Tabela1[[#This Row],[Caso tenha rodado particular alguma parte do trajeto, informe o total de KM a ser deduzido.]]</f>
        <v>65</v>
      </c>
      <c r="V223" s="86">
        <f>IF(Tabela1[[#This Row],[Informe a data]]&lt;DATE(2026,3,16), Tabela1[[#This Row],[KM Rodado]]*1.1, Tabela1[[#This Row],[KM Rodado]]*1.23)</f>
        <v>79.95</v>
      </c>
      <c r="W223" s="86">
        <f>IFERROR(SUBSTITUTE(Tabela1[[#This Row],[Pedágio]],".",",",1)*1,0)</f>
        <v>0</v>
      </c>
      <c r="X223" s="86">
        <f>IFERROR(SUBSTITUTE(Tabela1[[#This Row],[Estacionamento]],".",",",1)*1,0)</f>
        <v>0</v>
      </c>
      <c r="Y223" s="86">
        <f>IFERROR(SUBSTITUTE(Tabela1[[#This Row],[Despesas Diversas 
(Jantar em viagem, Impressões, Etc)]],".",",",1)*1,0)</f>
        <v>0</v>
      </c>
      <c r="Z223" s="86">
        <f>IFERROR(SUBSTITUTE(Tabela1[[#This Row],[Hospedagem]],".",",",1)*1,0)</f>
        <v>0</v>
      </c>
      <c r="AA223" s="56" t="str">
        <f>IF(DAY(Tabela1[[#This Row],[Informe a data]])&lt;=15,"1ª Quinzena","2ª Quinzena")</f>
        <v>2ª Quinzena</v>
      </c>
      <c r="AB223" s="56" t="str">
        <f>UPPER(TEXT(Tabela1[[#This Row],[Informe a data]],"mmmm"))</f>
        <v>MARÇO</v>
      </c>
      <c r="AC223" s="87" t="e">
        <f ca="1">_xlfn.CONCAT(Tabela1[[#This Row],[Selecione o Usuário]]," - ",TEXT(Tabela1[[#This Row],[Informe a data]],"dd-mm-aa"))</f>
        <v>#NAME?</v>
      </c>
    </row>
    <row r="224" spans="1:29">
      <c r="A224" s="89">
        <v>46106.835416666669</v>
      </c>
      <c r="B224" s="90" t="s">
        <v>131</v>
      </c>
      <c r="C224" s="90" t="s">
        <v>132</v>
      </c>
      <c r="D224" s="90" t="s">
        <v>133</v>
      </c>
      <c r="E224" s="91">
        <v>46106</v>
      </c>
      <c r="F224" s="92">
        <v>190719</v>
      </c>
      <c r="G224" s="93" t="s">
        <v>872</v>
      </c>
      <c r="H224" s="92">
        <v>190719</v>
      </c>
      <c r="I224" s="93" t="s">
        <v>873</v>
      </c>
      <c r="J224" s="90" t="s">
        <v>874</v>
      </c>
      <c r="K224" s="94"/>
      <c r="L224" s="90" t="s">
        <v>60</v>
      </c>
      <c r="M224" s="94"/>
      <c r="N224" s="94"/>
      <c r="O224" s="94"/>
      <c r="P224" s="94"/>
      <c r="Q224" s="94"/>
      <c r="R224" s="94"/>
      <c r="S224" s="94"/>
      <c r="T224" s="94"/>
      <c r="U224" s="85">
        <f>(Tabela1[[#This Row],[Informe o KM final do dia]]-Tabela1[[#This Row],[Informe o KM inicial do dia]])-Tabela1[[#This Row],[Caso tenha rodado particular alguma parte do trajeto, informe o total de KM a ser deduzido.]]</f>
        <v>0</v>
      </c>
      <c r="V224" s="86">
        <f>IF(Tabela1[[#This Row],[Informe a data]]&lt;DATE(2026,3,16), Tabela1[[#This Row],[KM Rodado]]*1.1, Tabela1[[#This Row],[KM Rodado]]*1.23)</f>
        <v>0</v>
      </c>
      <c r="W224" s="86">
        <f>IFERROR(SUBSTITUTE(Tabela1[[#This Row],[Pedágio]],".",",",1)*1,0)</f>
        <v>0</v>
      </c>
      <c r="X224" s="86">
        <f>IFERROR(SUBSTITUTE(Tabela1[[#This Row],[Estacionamento]],".",",",1)*1,0)</f>
        <v>0</v>
      </c>
      <c r="Y224" s="86">
        <f>IFERROR(SUBSTITUTE(Tabela1[[#This Row],[Despesas Diversas 
(Jantar em viagem, Impressões, Etc)]],".",",",1)*1,0)</f>
        <v>0</v>
      </c>
      <c r="Z224" s="86">
        <f>IFERROR(SUBSTITUTE(Tabela1[[#This Row],[Hospedagem]],".",",",1)*1,0)</f>
        <v>0</v>
      </c>
      <c r="AA224" s="56" t="str">
        <f>IF(DAY(Tabela1[[#This Row],[Informe a data]])&lt;=15,"1ª Quinzena","2ª Quinzena")</f>
        <v>2ª Quinzena</v>
      </c>
      <c r="AB224" s="56" t="str">
        <f>UPPER(TEXT(Tabela1[[#This Row],[Informe a data]],"mmmm"))</f>
        <v>MARÇO</v>
      </c>
      <c r="AC224" s="87" t="e">
        <f ca="1">_xlfn.CONCAT(Tabela1[[#This Row],[Selecione o Usuário]]," - ",TEXT(Tabela1[[#This Row],[Informe a data]],"dd-mm-aa"))</f>
        <v>#NAME?</v>
      </c>
    </row>
    <row r="225" spans="1:29">
      <c r="A225" s="49">
        <v>46107.302465277775</v>
      </c>
      <c r="B225" s="50" t="s">
        <v>497</v>
      </c>
      <c r="C225" s="50" t="s">
        <v>498</v>
      </c>
      <c r="D225" s="50" t="s">
        <v>875</v>
      </c>
      <c r="E225" s="51">
        <v>46106</v>
      </c>
      <c r="F225" s="52">
        <v>304506</v>
      </c>
      <c r="G225" s="58" t="s">
        <v>876</v>
      </c>
      <c r="H225" s="52">
        <v>304538</v>
      </c>
      <c r="I225" s="58" t="s">
        <v>877</v>
      </c>
      <c r="J225" s="50" t="s">
        <v>878</v>
      </c>
      <c r="K225" s="53"/>
      <c r="L225" s="50" t="s">
        <v>60</v>
      </c>
      <c r="M225" s="53"/>
      <c r="N225" s="53"/>
      <c r="O225" s="53"/>
      <c r="P225" s="53"/>
      <c r="Q225" s="53"/>
      <c r="R225" s="53"/>
      <c r="S225" s="53"/>
      <c r="T225" s="53"/>
      <c r="U225" s="85">
        <f>(Tabela1[[#This Row],[Informe o KM final do dia]]-Tabela1[[#This Row],[Informe o KM inicial do dia]])-Tabela1[[#This Row],[Caso tenha rodado particular alguma parte do trajeto, informe o total de KM a ser deduzido.]]</f>
        <v>32</v>
      </c>
      <c r="V225" s="86">
        <f>IF(Tabela1[[#This Row],[Informe a data]]&lt;DATE(2026,3,16), Tabela1[[#This Row],[KM Rodado]]*1.1, Tabela1[[#This Row],[KM Rodado]]*1.23)</f>
        <v>39.36</v>
      </c>
      <c r="W225" s="86">
        <f>IFERROR(SUBSTITUTE(Tabela1[[#This Row],[Pedágio]],".",",",1)*1,0)</f>
        <v>0</v>
      </c>
      <c r="X225" s="86">
        <f>IFERROR(SUBSTITUTE(Tabela1[[#This Row],[Estacionamento]],".",",",1)*1,0)</f>
        <v>0</v>
      </c>
      <c r="Y225" s="86">
        <f>IFERROR(SUBSTITUTE(Tabela1[[#This Row],[Despesas Diversas 
(Jantar em viagem, Impressões, Etc)]],".",",",1)*1,0)</f>
        <v>0</v>
      </c>
      <c r="Z225" s="86">
        <f>IFERROR(SUBSTITUTE(Tabela1[[#This Row],[Hospedagem]],".",",",1)*1,0)</f>
        <v>0</v>
      </c>
      <c r="AA225" s="56" t="str">
        <f>IF(DAY(Tabela1[[#This Row],[Informe a data]])&lt;=15,"1ª Quinzena","2ª Quinzena")</f>
        <v>2ª Quinzena</v>
      </c>
      <c r="AB225" s="56" t="str">
        <f>UPPER(TEXT(Tabela1[[#This Row],[Informe a data]],"mmmm"))</f>
        <v>MARÇO</v>
      </c>
      <c r="AC225" s="87" t="e">
        <f ca="1">_xlfn.CONCAT(Tabela1[[#This Row],[Selecione o Usuário]]," - ",TEXT(Tabela1[[#This Row],[Informe a data]],"dd-mm-aa"))</f>
        <v>#NAME?</v>
      </c>
    </row>
    <row r="226" spans="1:29">
      <c r="A226" s="49">
        <v>46111.409201388888</v>
      </c>
      <c r="B226" s="50" t="s">
        <v>176</v>
      </c>
      <c r="C226" s="50" t="s">
        <v>136</v>
      </c>
      <c r="D226" s="50" t="s">
        <v>177</v>
      </c>
      <c r="E226" s="51">
        <v>46106</v>
      </c>
      <c r="F226" s="52">
        <v>171225</v>
      </c>
      <c r="G226" s="58" t="s">
        <v>924</v>
      </c>
      <c r="H226" s="52">
        <v>171245</v>
      </c>
      <c r="I226" s="58" t="s">
        <v>925</v>
      </c>
      <c r="J226" s="50" t="s">
        <v>926</v>
      </c>
      <c r="K226" s="53"/>
      <c r="L226" s="50" t="s">
        <v>60</v>
      </c>
      <c r="M226" s="53"/>
      <c r="N226" s="53"/>
      <c r="O226" s="53"/>
      <c r="P226" s="53"/>
      <c r="Q226" s="53"/>
      <c r="R226" s="53"/>
      <c r="S226" s="53"/>
      <c r="T226" s="53"/>
      <c r="U226" s="85">
        <f>(Tabela1[[#This Row],[Informe o KM final do dia]]-Tabela1[[#This Row],[Informe o KM inicial do dia]])-Tabela1[[#This Row],[Caso tenha rodado particular alguma parte do trajeto, informe o total de KM a ser deduzido.]]</f>
        <v>20</v>
      </c>
      <c r="V226" s="86">
        <f>IF(Tabela1[[#This Row],[Informe a data]]&lt;DATE(2026,3,16), Tabela1[[#This Row],[KM Rodado]]*1.1, Tabela1[[#This Row],[KM Rodado]]*1.23)</f>
        <v>24.6</v>
      </c>
      <c r="W226" s="86">
        <f>IFERROR(SUBSTITUTE(Tabela1[[#This Row],[Pedágio]],".",",",1)*1,0)</f>
        <v>0</v>
      </c>
      <c r="X226" s="86">
        <f>IFERROR(SUBSTITUTE(Tabela1[[#This Row],[Estacionamento]],".",",",1)*1,0)</f>
        <v>0</v>
      </c>
      <c r="Y226" s="86">
        <f>IFERROR(SUBSTITUTE(Tabela1[[#This Row],[Despesas Diversas 
(Jantar em viagem, Impressões, Etc)]],".",",",1)*1,0)</f>
        <v>0</v>
      </c>
      <c r="Z226" s="86">
        <f>IFERROR(SUBSTITUTE(Tabela1[[#This Row],[Hospedagem]],".",",",1)*1,0)</f>
        <v>0</v>
      </c>
      <c r="AA226" s="56" t="str">
        <f>IF(DAY(Tabela1[[#This Row],[Informe a data]])&lt;=15,"1ª Quinzena","2ª Quinzena")</f>
        <v>2ª Quinzena</v>
      </c>
      <c r="AB226" s="56" t="str">
        <f>UPPER(TEXT(Tabela1[[#This Row],[Informe a data]],"mmmm"))</f>
        <v>MARÇO</v>
      </c>
      <c r="AC226" s="87" t="e">
        <f ca="1">_xlfn.CONCAT(Tabela1[[#This Row],[Selecione o Usuário]]," - ",TEXT(Tabela1[[#This Row],[Informe a data]],"dd-mm-aa"))</f>
        <v>#NAME?</v>
      </c>
    </row>
    <row r="227" spans="1:29">
      <c r="A227" s="89">
        <v>46107.380416666667</v>
      </c>
      <c r="B227" s="90" t="s">
        <v>140</v>
      </c>
      <c r="C227" s="90" t="s">
        <v>141</v>
      </c>
      <c r="D227" s="90" t="s">
        <v>169</v>
      </c>
      <c r="E227" s="91">
        <v>46106</v>
      </c>
      <c r="F227" s="90">
        <v>64305</v>
      </c>
      <c r="G227" s="94"/>
      <c r="H227" s="90">
        <v>64385</v>
      </c>
      <c r="I227" s="94"/>
      <c r="J227" s="90" t="s">
        <v>879</v>
      </c>
      <c r="K227" s="94"/>
      <c r="L227" s="90" t="s">
        <v>60</v>
      </c>
      <c r="M227" s="94"/>
      <c r="N227" s="94"/>
      <c r="O227" s="94"/>
      <c r="P227" s="94"/>
      <c r="Q227" s="94"/>
      <c r="R227" s="94"/>
      <c r="S227" s="94"/>
      <c r="T227" s="94"/>
      <c r="U227" s="85">
        <f>(Tabela1[[#This Row],[Informe o KM final do dia]]-Tabela1[[#This Row],[Informe o KM inicial do dia]])-Tabela1[[#This Row],[Caso tenha rodado particular alguma parte do trajeto, informe o total de KM a ser deduzido.]]</f>
        <v>80</v>
      </c>
      <c r="V227" s="86">
        <f>IF(Tabela1[[#This Row],[Informe a data]]&lt;DATE(2026,3,16), Tabela1[[#This Row],[KM Rodado]]*1.1, Tabela1[[#This Row],[KM Rodado]]*1.23)</f>
        <v>98.4</v>
      </c>
      <c r="W227" s="86">
        <f>IFERROR(SUBSTITUTE(Tabela1[[#This Row],[Pedágio]],".",",",1)*1,0)</f>
        <v>0</v>
      </c>
      <c r="X227" s="86">
        <f>IFERROR(SUBSTITUTE(Tabela1[[#This Row],[Estacionamento]],".",",",1)*1,0)</f>
        <v>0</v>
      </c>
      <c r="Y227" s="86">
        <f>IFERROR(SUBSTITUTE(Tabela1[[#This Row],[Despesas Diversas 
(Jantar em viagem, Impressões, Etc)]],".",",",1)*1,0)</f>
        <v>0</v>
      </c>
      <c r="Z227" s="86">
        <f>IFERROR(SUBSTITUTE(Tabela1[[#This Row],[Hospedagem]],".",",",1)*1,0)</f>
        <v>0</v>
      </c>
      <c r="AA227" s="56" t="str">
        <f>IF(DAY(Tabela1[[#This Row],[Informe a data]])&lt;=15,"1ª Quinzena","2ª Quinzena")</f>
        <v>2ª Quinzena</v>
      </c>
      <c r="AB227" s="56" t="str">
        <f>UPPER(TEXT(Tabela1[[#This Row],[Informe a data]],"mmmm"))</f>
        <v>MARÇO</v>
      </c>
      <c r="AC227" s="87" t="e">
        <f ca="1">_xlfn.CONCAT(Tabela1[[#This Row],[Selecione o Usuário]]," - ",TEXT(Tabela1[[#This Row],[Informe a data]],"dd-mm-aa"))</f>
        <v>#NAME?</v>
      </c>
    </row>
    <row r="228" spans="1:29">
      <c r="A228" s="89">
        <v>46108.385451388887</v>
      </c>
      <c r="B228" s="90" t="s">
        <v>131</v>
      </c>
      <c r="C228" s="90" t="s">
        <v>132</v>
      </c>
      <c r="D228" s="90" t="s">
        <v>133</v>
      </c>
      <c r="E228" s="91">
        <v>46107</v>
      </c>
      <c r="F228" s="92">
        <v>190780</v>
      </c>
      <c r="G228" s="93" t="s">
        <v>885</v>
      </c>
      <c r="H228" s="92">
        <v>190808</v>
      </c>
      <c r="I228" s="93" t="s">
        <v>886</v>
      </c>
      <c r="J228" s="90" t="s">
        <v>887</v>
      </c>
      <c r="K228" s="94"/>
      <c r="L228" s="90" t="s">
        <v>61</v>
      </c>
      <c r="M228" s="94"/>
      <c r="N228" s="94"/>
      <c r="O228" s="90" t="s">
        <v>359</v>
      </c>
      <c r="P228" s="93" t="s">
        <v>888</v>
      </c>
      <c r="Q228" s="94"/>
      <c r="R228" s="94"/>
      <c r="S228" s="94"/>
      <c r="T228" s="94"/>
      <c r="U228" s="85">
        <f>(Tabela1[[#This Row],[Informe o KM final do dia]]-Tabela1[[#This Row],[Informe o KM inicial do dia]])-Tabela1[[#This Row],[Caso tenha rodado particular alguma parte do trajeto, informe o total de KM a ser deduzido.]]</f>
        <v>28</v>
      </c>
      <c r="V228" s="86">
        <f>IF(Tabela1[[#This Row],[Informe a data]]&lt;DATE(2026,3,16), Tabela1[[#This Row],[KM Rodado]]*1.1, Tabela1[[#This Row],[KM Rodado]]*1.23)</f>
        <v>34.44</v>
      </c>
      <c r="W228" s="86">
        <f>IFERROR(SUBSTITUTE(Tabela1[[#This Row],[Pedágio]],".",",",1)*1,0)</f>
        <v>0</v>
      </c>
      <c r="X228" s="86">
        <f>IFERROR(SUBSTITUTE(Tabela1[[#This Row],[Estacionamento]],".",",",1)*1,0)</f>
        <v>10</v>
      </c>
      <c r="Y228" s="86">
        <f>IFERROR(SUBSTITUTE(Tabela1[[#This Row],[Despesas Diversas 
(Jantar em viagem, Impressões, Etc)]],".",",",1)*1,0)</f>
        <v>0</v>
      </c>
      <c r="Z228" s="86">
        <f>IFERROR(SUBSTITUTE(Tabela1[[#This Row],[Hospedagem]],".",",",1)*1,0)</f>
        <v>0</v>
      </c>
      <c r="AA228" s="56" t="str">
        <f>IF(DAY(Tabela1[[#This Row],[Informe a data]])&lt;=15,"1ª Quinzena","2ª Quinzena")</f>
        <v>2ª Quinzena</v>
      </c>
      <c r="AB228" s="56" t="str">
        <f>UPPER(TEXT(Tabela1[[#This Row],[Informe a data]],"mmmm"))</f>
        <v>MARÇO</v>
      </c>
      <c r="AC228" s="87" t="e">
        <f ca="1">_xlfn.CONCAT(Tabela1[[#This Row],[Selecione o Usuário]]," - ",TEXT(Tabela1[[#This Row],[Informe a data]],"dd-mm-aa"))</f>
        <v>#NAME?</v>
      </c>
    </row>
    <row r="229" spans="1:29">
      <c r="A229" s="49">
        <v>46107.656400462962</v>
      </c>
      <c r="B229" s="50" t="s">
        <v>497</v>
      </c>
      <c r="C229" s="50" t="s">
        <v>498</v>
      </c>
      <c r="D229" s="50" t="s">
        <v>875</v>
      </c>
      <c r="E229" s="51">
        <v>46107</v>
      </c>
      <c r="F229" s="52">
        <v>304538</v>
      </c>
      <c r="G229" s="58" t="s">
        <v>880</v>
      </c>
      <c r="H229" s="52">
        <v>304780</v>
      </c>
      <c r="I229" s="58" t="s">
        <v>881</v>
      </c>
      <c r="J229" s="50" t="s">
        <v>882</v>
      </c>
      <c r="K229" s="53"/>
      <c r="L229" s="50" t="s">
        <v>61</v>
      </c>
      <c r="M229" s="50" t="s">
        <v>883</v>
      </c>
      <c r="N229" s="50" t="s">
        <v>884</v>
      </c>
      <c r="O229" s="53"/>
      <c r="P229" s="53"/>
      <c r="Q229" s="53"/>
      <c r="R229" s="53"/>
      <c r="S229" s="53"/>
      <c r="T229" s="53"/>
      <c r="U229" s="85">
        <f>(Tabela1[[#This Row],[Informe o KM final do dia]]-Tabela1[[#This Row],[Informe o KM inicial do dia]])-Tabela1[[#This Row],[Caso tenha rodado particular alguma parte do trajeto, informe o total de KM a ser deduzido.]]</f>
        <v>242</v>
      </c>
      <c r="V229" s="86">
        <f>IF(Tabela1[[#This Row],[Informe a data]]&lt;DATE(2026,3,16), Tabela1[[#This Row],[KM Rodado]]*1.1, Tabela1[[#This Row],[KM Rodado]]*1.23)</f>
        <v>297.65999999999997</v>
      </c>
      <c r="W229" s="86">
        <f>IFERROR(SUBSTITUTE(Tabela1[[#This Row],[Pedágio]],".",",",1)*1,0)</f>
        <v>16.399999999999999</v>
      </c>
      <c r="X229" s="86">
        <f>IFERROR(SUBSTITUTE(Tabela1[[#This Row],[Estacionamento]],".",",",1)*1,0)</f>
        <v>0</v>
      </c>
      <c r="Y229" s="86">
        <f>IFERROR(SUBSTITUTE(Tabela1[[#This Row],[Despesas Diversas 
(Jantar em viagem, Impressões, Etc)]],".",",",1)*1,0)</f>
        <v>0</v>
      </c>
      <c r="Z229" s="86">
        <f>IFERROR(SUBSTITUTE(Tabela1[[#This Row],[Hospedagem]],".",",",1)*1,0)</f>
        <v>0</v>
      </c>
      <c r="AA229" s="56" t="str">
        <f>IF(DAY(Tabela1[[#This Row],[Informe a data]])&lt;=15,"1ª Quinzena","2ª Quinzena")</f>
        <v>2ª Quinzena</v>
      </c>
      <c r="AB229" s="56" t="str">
        <f>UPPER(TEXT(Tabela1[[#This Row],[Informe a data]],"mmmm"))</f>
        <v>MARÇO</v>
      </c>
      <c r="AC229" s="87" t="e">
        <f ca="1">_xlfn.CONCAT(Tabela1[[#This Row],[Selecione o Usuário]]," - ",TEXT(Tabela1[[#This Row],[Informe a data]],"dd-mm-aa"))</f>
        <v>#NAME?</v>
      </c>
    </row>
    <row r="230" spans="1:29">
      <c r="A230" s="89">
        <v>46109.55574074074</v>
      </c>
      <c r="B230" s="90" t="s">
        <v>504</v>
      </c>
      <c r="C230" s="90" t="s">
        <v>505</v>
      </c>
      <c r="D230" s="90" t="s">
        <v>506</v>
      </c>
      <c r="E230" s="91">
        <v>46107</v>
      </c>
      <c r="F230" s="92">
        <v>102145</v>
      </c>
      <c r="G230" s="93" t="s">
        <v>892</v>
      </c>
      <c r="H230" s="92">
        <v>102262</v>
      </c>
      <c r="I230" s="93" t="s">
        <v>893</v>
      </c>
      <c r="J230" s="90" t="s">
        <v>894</v>
      </c>
      <c r="K230" s="94"/>
      <c r="L230" s="90" t="s">
        <v>60</v>
      </c>
      <c r="M230" s="94"/>
      <c r="N230" s="94"/>
      <c r="O230" s="94"/>
      <c r="P230" s="94"/>
      <c r="Q230" s="94"/>
      <c r="R230" s="94"/>
      <c r="S230" s="94"/>
      <c r="T230" s="94"/>
      <c r="U230" s="85">
        <f>(Tabela1[[#This Row],[Informe o KM final do dia]]-Tabela1[[#This Row],[Informe o KM inicial do dia]])-Tabela1[[#This Row],[Caso tenha rodado particular alguma parte do trajeto, informe o total de KM a ser deduzido.]]</f>
        <v>117</v>
      </c>
      <c r="V230" s="86">
        <f>IF(Tabela1[[#This Row],[Informe a data]]&lt;DATE(2026,3,16), Tabela1[[#This Row],[KM Rodado]]*1.1, Tabela1[[#This Row],[KM Rodado]]*1.23)</f>
        <v>143.91</v>
      </c>
      <c r="W230" s="86">
        <f>IFERROR(SUBSTITUTE(Tabela1[[#This Row],[Pedágio]],".",",",1)*1,0)</f>
        <v>0</v>
      </c>
      <c r="X230" s="86">
        <f>IFERROR(SUBSTITUTE(Tabela1[[#This Row],[Estacionamento]],".",",",1)*1,0)</f>
        <v>0</v>
      </c>
      <c r="Y230" s="86">
        <f>IFERROR(SUBSTITUTE(Tabela1[[#This Row],[Despesas Diversas 
(Jantar em viagem, Impressões, Etc)]],".",",",1)*1,0)</f>
        <v>0</v>
      </c>
      <c r="Z230" s="86">
        <f>IFERROR(SUBSTITUTE(Tabela1[[#This Row],[Hospedagem]],".",",",1)*1,0)</f>
        <v>0</v>
      </c>
      <c r="AA230" s="56" t="str">
        <f>IF(DAY(Tabela1[[#This Row],[Informe a data]])&lt;=15,"1ª Quinzena","2ª Quinzena")</f>
        <v>2ª Quinzena</v>
      </c>
      <c r="AB230" s="56" t="str">
        <f>UPPER(TEXT(Tabela1[[#This Row],[Informe a data]],"mmmm"))</f>
        <v>MARÇO</v>
      </c>
      <c r="AC230" s="87" t="e">
        <f ca="1">_xlfn.CONCAT(Tabela1[[#This Row],[Selecione o Usuário]]," - ",TEXT(Tabela1[[#This Row],[Informe a data]],"dd-mm-aa"))</f>
        <v>#NAME?</v>
      </c>
    </row>
    <row r="231" spans="1:29">
      <c r="A231" s="49">
        <v>46108.360949074071</v>
      </c>
      <c r="B231" s="50" t="s">
        <v>140</v>
      </c>
      <c r="C231" s="50" t="s">
        <v>141</v>
      </c>
      <c r="D231" s="50" t="s">
        <v>169</v>
      </c>
      <c r="E231" s="51">
        <v>46107</v>
      </c>
      <c r="F231" s="52">
        <v>59557</v>
      </c>
      <c r="G231" s="58" t="s">
        <v>889</v>
      </c>
      <c r="H231" s="52">
        <v>59723</v>
      </c>
      <c r="I231" s="58" t="s">
        <v>890</v>
      </c>
      <c r="J231" s="50" t="s">
        <v>891</v>
      </c>
      <c r="K231" s="52">
        <v>73</v>
      </c>
      <c r="L231" s="50" t="s">
        <v>60</v>
      </c>
      <c r="M231" s="53"/>
      <c r="N231" s="53"/>
      <c r="O231" s="53"/>
      <c r="P231" s="53"/>
      <c r="Q231" s="53"/>
      <c r="R231" s="53"/>
      <c r="S231" s="53"/>
      <c r="T231" s="53"/>
      <c r="U231" s="85">
        <f>(Tabela1[[#This Row],[Informe o KM final do dia]]-Tabela1[[#This Row],[Informe o KM inicial do dia]])-Tabela1[[#This Row],[Caso tenha rodado particular alguma parte do trajeto, informe o total de KM a ser deduzido.]]</f>
        <v>93</v>
      </c>
      <c r="V231" s="86">
        <f>IF(Tabela1[[#This Row],[Informe a data]]&lt;DATE(2026,3,16), Tabela1[[#This Row],[KM Rodado]]*1.1, Tabela1[[#This Row],[KM Rodado]]*1.23)</f>
        <v>114.39</v>
      </c>
      <c r="W231" s="86">
        <f>IFERROR(SUBSTITUTE(Tabela1[[#This Row],[Pedágio]],".",",",1)*1,0)</f>
        <v>0</v>
      </c>
      <c r="X231" s="86">
        <f>IFERROR(SUBSTITUTE(Tabela1[[#This Row],[Estacionamento]],".",",",1)*1,0)</f>
        <v>0</v>
      </c>
      <c r="Y231" s="86">
        <f>IFERROR(SUBSTITUTE(Tabela1[[#This Row],[Despesas Diversas 
(Jantar em viagem, Impressões, Etc)]],".",",",1)*1,0)</f>
        <v>0</v>
      </c>
      <c r="Z231" s="86">
        <f>IFERROR(SUBSTITUTE(Tabela1[[#This Row],[Hospedagem]],".",",",1)*1,0)</f>
        <v>0</v>
      </c>
      <c r="AA231" s="56" t="str">
        <f>IF(DAY(Tabela1[[#This Row],[Informe a data]])&lt;=15,"1ª Quinzena","2ª Quinzena")</f>
        <v>2ª Quinzena</v>
      </c>
      <c r="AB231" s="56" t="str">
        <f>UPPER(TEXT(Tabela1[[#This Row],[Informe a data]],"mmmm"))</f>
        <v>MARÇO</v>
      </c>
      <c r="AC231" s="87" t="e">
        <f ca="1">_xlfn.CONCAT(Tabela1[[#This Row],[Selecione o Usuário]]," - ",TEXT(Tabela1[[#This Row],[Informe a data]],"dd-mm-aa"))</f>
        <v>#NAME?</v>
      </c>
    </row>
    <row r="232" spans="1:29">
      <c r="A232" s="113">
        <v>46109.519965277781</v>
      </c>
      <c r="B232" s="114" t="s">
        <v>469</v>
      </c>
      <c r="C232" s="114" t="s">
        <v>559</v>
      </c>
      <c r="D232" s="114" t="s">
        <v>560</v>
      </c>
      <c r="E232" s="115">
        <v>46108</v>
      </c>
      <c r="F232" s="116">
        <v>77361</v>
      </c>
      <c r="G232" s="118"/>
      <c r="H232" s="116">
        <v>77397</v>
      </c>
      <c r="I232" s="118"/>
      <c r="J232" s="114" t="s">
        <v>901</v>
      </c>
      <c r="K232" s="118"/>
      <c r="L232" s="114" t="s">
        <v>60</v>
      </c>
      <c r="M232" s="118"/>
      <c r="N232" s="118"/>
      <c r="O232" s="118"/>
      <c r="P232" s="118"/>
      <c r="Q232" s="118"/>
      <c r="R232" s="118"/>
      <c r="S232" s="118"/>
      <c r="T232" s="118"/>
      <c r="U232" s="95">
        <f>(Tabela1[[#This Row],[Informe o KM final do dia]]-Tabela1[[#This Row],[Informe o KM inicial do dia]])-Tabela1[[#This Row],[Caso tenha rodado particular alguma parte do trajeto, informe o total de KM a ser deduzido.]]</f>
        <v>36</v>
      </c>
      <c r="V232" s="97">
        <f>IF(Tabela1[[#This Row],[Informe a data]]&lt;DATE(2026,3,16), Tabela1[[#This Row],[KM Rodado]]*1.1, Tabela1[[#This Row],[KM Rodado]]*1.23)</f>
        <v>44.28</v>
      </c>
      <c r="W232" s="97">
        <f>IFERROR(SUBSTITUTE(Tabela1[[#This Row],[Pedágio]],".",",",1)*1,0)</f>
        <v>0</v>
      </c>
      <c r="X232" s="97">
        <f>IFERROR(SUBSTITUTE(Tabela1[[#This Row],[Estacionamento]],".",",",1)*1,0)</f>
        <v>0</v>
      </c>
      <c r="Y232" s="97">
        <f>IFERROR(SUBSTITUTE(Tabela1[[#This Row],[Despesas Diversas 
(Jantar em viagem, Impressões, Etc)]],".",",",1)*1,0)</f>
        <v>0</v>
      </c>
      <c r="Z232" s="97">
        <f>IFERROR(SUBSTITUTE(Tabela1[[#This Row],[Hospedagem]],".",",",1)*1,0)</f>
        <v>0</v>
      </c>
      <c r="AA232" s="98" t="str">
        <f>IF(DAY(Tabela1[[#This Row],[Informe a data]])&lt;=15,"1ª Quinzena","2ª Quinzena")</f>
        <v>2ª Quinzena</v>
      </c>
      <c r="AB232" s="98" t="str">
        <f>UPPER(TEXT(Tabela1[[#This Row],[Informe a data]],"mmmm"))</f>
        <v>MARÇO</v>
      </c>
      <c r="AC232" s="99" t="e">
        <f ca="1">_xlfn.CONCAT(Tabela1[[#This Row],[Selecione o Usuário]]," - ",TEXT(Tabela1[[#This Row],[Informe a data]],"dd-mm-aa"))</f>
        <v>#NAME?</v>
      </c>
    </row>
    <row r="233" spans="1:29">
      <c r="A233" s="49">
        <v>46108.860694444447</v>
      </c>
      <c r="B233" s="50" t="s">
        <v>131</v>
      </c>
      <c r="C233" s="50" t="s">
        <v>132</v>
      </c>
      <c r="D233" s="50" t="s">
        <v>133</v>
      </c>
      <c r="E233" s="51">
        <v>46108</v>
      </c>
      <c r="F233" s="52">
        <v>190808</v>
      </c>
      <c r="G233" s="58" t="s">
        <v>895</v>
      </c>
      <c r="H233" s="52">
        <v>190842</v>
      </c>
      <c r="I233" s="58" t="s">
        <v>896</v>
      </c>
      <c r="J233" s="50" t="s">
        <v>897</v>
      </c>
      <c r="K233" s="53"/>
      <c r="L233" s="50" t="s">
        <v>61</v>
      </c>
      <c r="M233" s="53"/>
      <c r="N233" s="53"/>
      <c r="O233" s="53"/>
      <c r="P233" s="53"/>
      <c r="Q233" s="50" t="s">
        <v>898</v>
      </c>
      <c r="R233" s="58" t="s">
        <v>899</v>
      </c>
      <c r="S233" s="53"/>
      <c r="T233" s="53" t="s">
        <v>900</v>
      </c>
      <c r="U233" s="85">
        <f>(Tabela1[[#This Row],[Informe o KM final do dia]]-Tabela1[[#This Row],[Informe o KM inicial do dia]])-Tabela1[[#This Row],[Caso tenha rodado particular alguma parte do trajeto, informe o total de KM a ser deduzido.]]</f>
        <v>34</v>
      </c>
      <c r="V233" s="86">
        <f>IF(Tabela1[[#This Row],[Informe a data]]&lt;DATE(2026,3,16), Tabela1[[#This Row],[KM Rodado]]*1.1, Tabela1[[#This Row],[KM Rodado]]*1.23)</f>
        <v>41.82</v>
      </c>
      <c r="W233" s="86">
        <f>IFERROR(SUBSTITUTE(Tabela1[[#This Row],[Pedágio]],".",",",1)*1,0)</f>
        <v>0</v>
      </c>
      <c r="X233" s="86">
        <f>IFERROR(SUBSTITUTE(Tabela1[[#This Row],[Estacionamento]],".",",",1)*1,0)</f>
        <v>0</v>
      </c>
      <c r="Y233" s="86">
        <f>IFERROR(SUBSTITUTE(Tabela1[[#This Row],[Despesas Diversas 
(Jantar em viagem, Impressões, Etc)]],".",",",1)*1,0)</f>
        <v>25.47</v>
      </c>
      <c r="Z233" s="86">
        <f>IFERROR(SUBSTITUTE(Tabela1[[#This Row],[Hospedagem]],".",",",1)*1,0)</f>
        <v>0</v>
      </c>
      <c r="AA233" s="56" t="str">
        <f>IF(DAY(Tabela1[[#This Row],[Informe a data]])&lt;=15,"1ª Quinzena","2ª Quinzena")</f>
        <v>2ª Quinzena</v>
      </c>
      <c r="AB233" s="56" t="str">
        <f>UPPER(TEXT(Tabela1[[#This Row],[Informe a data]],"mmmm"))</f>
        <v>MARÇO</v>
      </c>
      <c r="AC233" s="87" t="e">
        <f ca="1">_xlfn.CONCAT(Tabela1[[#This Row],[Selecione o Usuário]]," - ",TEXT(Tabela1[[#This Row],[Informe a data]],"dd-mm-aa"))</f>
        <v>#NAME?</v>
      </c>
    </row>
    <row r="234" spans="1:29">
      <c r="A234" s="89">
        <v>46111.411087962966</v>
      </c>
      <c r="B234" s="90" t="s">
        <v>176</v>
      </c>
      <c r="C234" s="90" t="s">
        <v>136</v>
      </c>
      <c r="D234" s="90" t="s">
        <v>177</v>
      </c>
      <c r="E234" s="91">
        <v>46108</v>
      </c>
      <c r="F234" s="92">
        <v>171245</v>
      </c>
      <c r="G234" s="93" t="s">
        <v>927</v>
      </c>
      <c r="H234" s="92">
        <v>171421</v>
      </c>
      <c r="I234" s="93" t="s">
        <v>928</v>
      </c>
      <c r="J234" s="90" t="s">
        <v>929</v>
      </c>
      <c r="K234" s="94"/>
      <c r="L234" s="90" t="s">
        <v>60</v>
      </c>
      <c r="M234" s="94"/>
      <c r="N234" s="94"/>
      <c r="O234" s="94"/>
      <c r="P234" s="94"/>
      <c r="Q234" s="94"/>
      <c r="R234" s="94"/>
      <c r="S234" s="94"/>
      <c r="T234" s="94"/>
      <c r="U234" s="85">
        <f>(Tabela1[[#This Row],[Informe o KM final do dia]]-Tabela1[[#This Row],[Informe o KM inicial do dia]])-Tabela1[[#This Row],[Caso tenha rodado particular alguma parte do trajeto, informe o total de KM a ser deduzido.]]</f>
        <v>176</v>
      </c>
      <c r="V234" s="86">
        <f>IF(Tabela1[[#This Row],[Informe a data]]&lt;DATE(2026,3,16), Tabela1[[#This Row],[KM Rodado]]*1.1, Tabela1[[#This Row],[KM Rodado]]*1.23)</f>
        <v>216.48</v>
      </c>
      <c r="W234" s="86">
        <f>IFERROR(SUBSTITUTE(Tabela1[[#This Row],[Pedágio]],".",",",1)*1,0)</f>
        <v>0</v>
      </c>
      <c r="X234" s="86">
        <f>IFERROR(SUBSTITUTE(Tabela1[[#This Row],[Estacionamento]],".",",",1)*1,0)</f>
        <v>0</v>
      </c>
      <c r="Y234" s="86">
        <f>IFERROR(SUBSTITUTE(Tabela1[[#This Row],[Despesas Diversas 
(Jantar em viagem, Impressões, Etc)]],".",",",1)*1,0)</f>
        <v>0</v>
      </c>
      <c r="Z234" s="86">
        <f>IFERROR(SUBSTITUTE(Tabela1[[#This Row],[Hospedagem]],".",",",1)*1,0)</f>
        <v>0</v>
      </c>
      <c r="AA234" s="56" t="str">
        <f>IF(DAY(Tabela1[[#This Row],[Informe a data]])&lt;=15,"1ª Quinzena","2ª Quinzena")</f>
        <v>2ª Quinzena</v>
      </c>
      <c r="AB234" s="56" t="str">
        <f>UPPER(TEXT(Tabela1[[#This Row],[Informe a data]],"mmmm"))</f>
        <v>MARÇO</v>
      </c>
      <c r="AC234" s="87" t="e">
        <f ca="1">_xlfn.CONCAT(Tabela1[[#This Row],[Selecione o Usuário]]," - ",TEXT(Tabela1[[#This Row],[Informe a data]],"dd-mm-aa"))</f>
        <v>#NAME?</v>
      </c>
    </row>
    <row r="235" spans="1:29">
      <c r="A235" s="49">
        <v>46111.583611111113</v>
      </c>
      <c r="B235" s="50" t="s">
        <v>140</v>
      </c>
      <c r="C235" s="50" t="s">
        <v>141</v>
      </c>
      <c r="D235" s="50" t="s">
        <v>169</v>
      </c>
      <c r="E235" s="51">
        <v>46108</v>
      </c>
      <c r="F235" s="52">
        <v>59784</v>
      </c>
      <c r="G235" s="53"/>
      <c r="H235" s="52">
        <v>59831</v>
      </c>
      <c r="I235" s="53"/>
      <c r="J235" s="50" t="s">
        <v>930</v>
      </c>
      <c r="K235" s="53"/>
      <c r="L235" s="50" t="s">
        <v>60</v>
      </c>
      <c r="M235" s="53"/>
      <c r="N235" s="53"/>
      <c r="O235" s="53"/>
      <c r="P235" s="53"/>
      <c r="Q235" s="53"/>
      <c r="R235" s="53"/>
      <c r="S235" s="53"/>
      <c r="T235" s="53"/>
      <c r="U235" s="85">
        <f>(Tabela1[[#This Row],[Informe o KM final do dia]]-Tabela1[[#This Row],[Informe o KM inicial do dia]])-Tabela1[[#This Row],[Caso tenha rodado particular alguma parte do trajeto, informe o total de KM a ser deduzido.]]</f>
        <v>47</v>
      </c>
      <c r="V235" s="86">
        <f>IF(Tabela1[[#This Row],[Informe a data]]&lt;DATE(2026,3,16), Tabela1[[#This Row],[KM Rodado]]*1.1, Tabela1[[#This Row],[KM Rodado]]*1.23)</f>
        <v>57.81</v>
      </c>
      <c r="W235" s="86">
        <f>IFERROR(SUBSTITUTE(Tabela1[[#This Row],[Pedágio]],".",",",1)*1,0)</f>
        <v>0</v>
      </c>
      <c r="X235" s="86">
        <f>IFERROR(SUBSTITUTE(Tabela1[[#This Row],[Estacionamento]],".",",",1)*1,0)</f>
        <v>0</v>
      </c>
      <c r="Y235" s="86">
        <f>IFERROR(SUBSTITUTE(Tabela1[[#This Row],[Despesas Diversas 
(Jantar em viagem, Impressões, Etc)]],".",",",1)*1,0)</f>
        <v>0</v>
      </c>
      <c r="Z235" s="86">
        <f>IFERROR(SUBSTITUTE(Tabela1[[#This Row],[Hospedagem]],".",",",1)*1,0)</f>
        <v>0</v>
      </c>
      <c r="AA235" s="56" t="str">
        <f>IF(DAY(Tabela1[[#This Row],[Informe a data]])&lt;=15,"1ª Quinzena","2ª Quinzena")</f>
        <v>2ª Quinzena</v>
      </c>
      <c r="AB235" s="56" t="str">
        <f>UPPER(TEXT(Tabela1[[#This Row],[Informe a data]],"mmmm"))</f>
        <v>MARÇO</v>
      </c>
      <c r="AC235" s="87" t="e">
        <f ca="1">_xlfn.CONCAT(Tabela1[[#This Row],[Selecione o Usuário]]," - ",TEXT(Tabela1[[#This Row],[Informe a data]],"dd-mm-aa"))</f>
        <v>#NAME?</v>
      </c>
    </row>
    <row r="236" spans="1:29">
      <c r="A236" s="49">
        <v>46109.520960648151</v>
      </c>
      <c r="B236" s="50" t="s">
        <v>469</v>
      </c>
      <c r="C236" s="50" t="s">
        <v>559</v>
      </c>
      <c r="D236" s="50" t="s">
        <v>560</v>
      </c>
      <c r="E236" s="51">
        <v>46109</v>
      </c>
      <c r="F236" s="52">
        <v>77397</v>
      </c>
      <c r="G236" s="53"/>
      <c r="H236" s="52">
        <v>77415</v>
      </c>
      <c r="I236" s="53"/>
      <c r="J236" s="50" t="s">
        <v>902</v>
      </c>
      <c r="K236" s="53"/>
      <c r="L236" s="50" t="s">
        <v>60</v>
      </c>
      <c r="M236" s="53"/>
      <c r="N236" s="53"/>
      <c r="O236" s="53"/>
      <c r="P236" s="53"/>
      <c r="Q236" s="53"/>
      <c r="R236" s="53"/>
      <c r="S236" s="53"/>
      <c r="T236" s="53"/>
      <c r="U236" s="85">
        <f>(Tabela1[[#This Row],[Informe o KM final do dia]]-Tabela1[[#This Row],[Informe o KM inicial do dia]])-Tabela1[[#This Row],[Caso tenha rodado particular alguma parte do trajeto, informe o total de KM a ser deduzido.]]</f>
        <v>18</v>
      </c>
      <c r="V236" s="86">
        <f>IF(Tabela1[[#This Row],[Informe a data]]&lt;DATE(2026,3,16), Tabela1[[#This Row],[KM Rodado]]*1.1, Tabela1[[#This Row],[KM Rodado]]*1.23)</f>
        <v>22.14</v>
      </c>
      <c r="W236" s="86">
        <f>IFERROR(SUBSTITUTE(Tabela1[[#This Row],[Pedágio]],".",",",1)*1,0)</f>
        <v>0</v>
      </c>
      <c r="X236" s="86">
        <f>IFERROR(SUBSTITUTE(Tabela1[[#This Row],[Estacionamento]],".",",",1)*1,0)</f>
        <v>0</v>
      </c>
      <c r="Y236" s="86">
        <f>IFERROR(SUBSTITUTE(Tabela1[[#This Row],[Despesas Diversas 
(Jantar em viagem, Impressões, Etc)]],".",",",1)*1,0)</f>
        <v>0</v>
      </c>
      <c r="Z236" s="86">
        <f>IFERROR(SUBSTITUTE(Tabela1[[#This Row],[Hospedagem]],".",",",1)*1,0)</f>
        <v>0</v>
      </c>
      <c r="AA236" s="56" t="str">
        <f>IF(DAY(Tabela1[[#This Row],[Informe a data]])&lt;=15,"1ª Quinzena","2ª Quinzena")</f>
        <v>2ª Quinzena</v>
      </c>
      <c r="AB236" s="56" t="str">
        <f>UPPER(TEXT(Tabela1[[#This Row],[Informe a data]],"mmmm"))</f>
        <v>MARÇO</v>
      </c>
      <c r="AC236" s="87" t="e">
        <f ca="1">_xlfn.CONCAT(Tabela1[[#This Row],[Selecione o Usuário]]," - ",TEXT(Tabela1[[#This Row],[Informe a data]],"dd-mm-aa"))</f>
        <v>#NAME?</v>
      </c>
    </row>
    <row r="237" spans="1:29">
      <c r="A237" s="49">
        <v>46109.566111111111</v>
      </c>
      <c r="B237" s="50" t="s">
        <v>131</v>
      </c>
      <c r="C237" s="50" t="s">
        <v>132</v>
      </c>
      <c r="D237" s="50" t="s">
        <v>133</v>
      </c>
      <c r="E237" s="51">
        <v>46109</v>
      </c>
      <c r="F237" s="52">
        <v>190842</v>
      </c>
      <c r="G237" s="58" t="s">
        <v>906</v>
      </c>
      <c r="H237" s="52">
        <v>190880</v>
      </c>
      <c r="I237" s="58" t="s">
        <v>907</v>
      </c>
      <c r="J237" s="50" t="s">
        <v>908</v>
      </c>
      <c r="K237" s="53"/>
      <c r="L237" s="50" t="s">
        <v>60</v>
      </c>
      <c r="M237" s="53"/>
      <c r="N237" s="53"/>
      <c r="O237" s="53"/>
      <c r="P237" s="53"/>
      <c r="Q237" s="53"/>
      <c r="R237" s="53"/>
      <c r="S237" s="53"/>
      <c r="T237" s="53"/>
      <c r="U237" s="85">
        <f>(Tabela1[[#This Row],[Informe o KM final do dia]]-Tabela1[[#This Row],[Informe o KM inicial do dia]])-Tabela1[[#This Row],[Caso tenha rodado particular alguma parte do trajeto, informe o total de KM a ser deduzido.]]</f>
        <v>38</v>
      </c>
      <c r="V237" s="86">
        <f>IF(Tabela1[[#This Row],[Informe a data]]&lt;DATE(2026,3,16), Tabela1[[#This Row],[KM Rodado]]*1.1, Tabela1[[#This Row],[KM Rodado]]*1.23)</f>
        <v>46.74</v>
      </c>
      <c r="W237" s="86">
        <f>IFERROR(SUBSTITUTE(Tabela1[[#This Row],[Pedágio]],".",",",1)*1,0)</f>
        <v>0</v>
      </c>
      <c r="X237" s="86">
        <f>IFERROR(SUBSTITUTE(Tabela1[[#This Row],[Estacionamento]],".",",",1)*1,0)</f>
        <v>0</v>
      </c>
      <c r="Y237" s="86">
        <f>IFERROR(SUBSTITUTE(Tabela1[[#This Row],[Despesas Diversas 
(Jantar em viagem, Impressões, Etc)]],".",",",1)*1,0)</f>
        <v>0</v>
      </c>
      <c r="Z237" s="86">
        <f>IFERROR(SUBSTITUTE(Tabela1[[#This Row],[Hospedagem]],".",",",1)*1,0)</f>
        <v>0</v>
      </c>
      <c r="AA237" s="56" t="str">
        <f>IF(DAY(Tabela1[[#This Row],[Informe a data]])&lt;=15,"1ª Quinzena","2ª Quinzena")</f>
        <v>2ª Quinzena</v>
      </c>
      <c r="AB237" s="56" t="str">
        <f>UPPER(TEXT(Tabela1[[#This Row],[Informe a data]],"mmmm"))</f>
        <v>MARÇO</v>
      </c>
      <c r="AC237" s="87" t="e">
        <f ca="1">_xlfn.CONCAT(Tabela1[[#This Row],[Selecione o Usuário]]," - ",TEXT(Tabela1[[#This Row],[Informe a data]],"dd-mm-aa"))</f>
        <v>#NAME?</v>
      </c>
    </row>
    <row r="238" spans="1:29">
      <c r="A238" s="89">
        <v>46109.557696759257</v>
      </c>
      <c r="B238" s="90" t="s">
        <v>504</v>
      </c>
      <c r="C238" s="90" t="s">
        <v>505</v>
      </c>
      <c r="D238" s="90" t="s">
        <v>506</v>
      </c>
      <c r="E238" s="91">
        <v>46109</v>
      </c>
      <c r="F238" s="92">
        <v>102274</v>
      </c>
      <c r="G238" s="93" t="s">
        <v>903</v>
      </c>
      <c r="H238" s="92">
        <v>102344</v>
      </c>
      <c r="I238" s="93" t="s">
        <v>904</v>
      </c>
      <c r="J238" s="90" t="s">
        <v>905</v>
      </c>
      <c r="K238" s="94"/>
      <c r="L238" s="90" t="s">
        <v>60</v>
      </c>
      <c r="M238" s="94"/>
      <c r="N238" s="94"/>
      <c r="O238" s="94"/>
      <c r="P238" s="94"/>
      <c r="Q238" s="94"/>
      <c r="R238" s="94"/>
      <c r="S238" s="94"/>
      <c r="T238" s="94"/>
      <c r="U238" s="85">
        <f>(Tabela1[[#This Row],[Informe o KM final do dia]]-Tabela1[[#This Row],[Informe o KM inicial do dia]])-Tabela1[[#This Row],[Caso tenha rodado particular alguma parte do trajeto, informe o total de KM a ser deduzido.]]</f>
        <v>70</v>
      </c>
      <c r="V238" s="86">
        <f>IF(Tabela1[[#This Row],[Informe a data]]&lt;DATE(2026,3,16), Tabela1[[#This Row],[KM Rodado]]*1.1, Tabela1[[#This Row],[KM Rodado]]*1.23)</f>
        <v>86.1</v>
      </c>
      <c r="W238" s="86">
        <f>IFERROR(SUBSTITUTE(Tabela1[[#This Row],[Pedágio]],".",",",1)*1,0)</f>
        <v>0</v>
      </c>
      <c r="X238" s="86">
        <f>IFERROR(SUBSTITUTE(Tabela1[[#This Row],[Estacionamento]],".",",",1)*1,0)</f>
        <v>0</v>
      </c>
      <c r="Y238" s="86">
        <f>IFERROR(SUBSTITUTE(Tabela1[[#This Row],[Despesas Diversas 
(Jantar em viagem, Impressões, Etc)]],".",",",1)*1,0)</f>
        <v>0</v>
      </c>
      <c r="Z238" s="86">
        <f>IFERROR(SUBSTITUTE(Tabela1[[#This Row],[Hospedagem]],".",",",1)*1,0)</f>
        <v>0</v>
      </c>
      <c r="AA238" s="56" t="str">
        <f>IF(DAY(Tabela1[[#This Row],[Informe a data]])&lt;=15,"1ª Quinzena","2ª Quinzena")</f>
        <v>2ª Quinzena</v>
      </c>
      <c r="AB238" s="56" t="str">
        <f>UPPER(TEXT(Tabela1[[#This Row],[Informe a data]],"mmmm"))</f>
        <v>MARÇO</v>
      </c>
      <c r="AC238" s="87" t="e">
        <f ca="1">_xlfn.CONCAT(Tabela1[[#This Row],[Selecione o Usuário]]," - ",TEXT(Tabela1[[#This Row],[Informe a data]],"dd-mm-aa"))</f>
        <v>#NAME?</v>
      </c>
    </row>
    <row r="239" spans="1:29">
      <c r="A239" s="89">
        <v>46112.680833333332</v>
      </c>
      <c r="B239" s="90" t="s">
        <v>504</v>
      </c>
      <c r="C239" s="90" t="s">
        <v>505</v>
      </c>
      <c r="D239" s="90" t="s">
        <v>551</v>
      </c>
      <c r="E239" s="91">
        <v>46111</v>
      </c>
      <c r="F239" s="92">
        <v>102357</v>
      </c>
      <c r="G239" s="93" t="s">
        <v>935</v>
      </c>
      <c r="H239" s="92">
        <v>102375</v>
      </c>
      <c r="I239" s="93" t="s">
        <v>936</v>
      </c>
      <c r="J239" s="90" t="s">
        <v>937</v>
      </c>
      <c r="K239" s="94"/>
      <c r="L239" s="90" t="s">
        <v>60</v>
      </c>
      <c r="M239" s="94"/>
      <c r="N239" s="94"/>
      <c r="O239" s="94"/>
      <c r="P239" s="94"/>
      <c r="Q239" s="94"/>
      <c r="R239" s="94"/>
      <c r="S239" s="94"/>
      <c r="T239" s="94"/>
      <c r="U239" s="85">
        <f>(Tabela1[[#This Row],[Informe o KM final do dia]]-Tabela1[[#This Row],[Informe o KM inicial do dia]])-Tabela1[[#This Row],[Caso tenha rodado particular alguma parte do trajeto, informe o total de KM a ser deduzido.]]</f>
        <v>18</v>
      </c>
      <c r="V239" s="86">
        <f>IF(Tabela1[[#This Row],[Informe a data]]&lt;DATE(2026,3,16), Tabela1[[#This Row],[KM Rodado]]*1.1, Tabela1[[#This Row],[KM Rodado]]*1.23)</f>
        <v>22.14</v>
      </c>
      <c r="W239" s="86">
        <f>IFERROR(SUBSTITUTE(Tabela1[[#This Row],[Pedágio]],".",",",1)*1,0)</f>
        <v>0</v>
      </c>
      <c r="X239" s="86">
        <f>IFERROR(SUBSTITUTE(Tabela1[[#This Row],[Estacionamento]],".",",",1)*1,0)</f>
        <v>0</v>
      </c>
      <c r="Y239" s="86">
        <f>IFERROR(SUBSTITUTE(Tabela1[[#This Row],[Despesas Diversas 
(Jantar em viagem, Impressões, Etc)]],".",",",1)*1,0)</f>
        <v>0</v>
      </c>
      <c r="Z239" s="86">
        <f>IFERROR(SUBSTITUTE(Tabela1[[#This Row],[Hospedagem]],".",",",1)*1,0)</f>
        <v>0</v>
      </c>
      <c r="AA239" s="56" t="str">
        <f>IF(DAY(Tabela1[[#This Row],[Informe a data]])&lt;=15,"1ª Quinzena","2ª Quinzena")</f>
        <v>2ª Quinzena</v>
      </c>
      <c r="AB239" s="56" t="str">
        <f>UPPER(TEXT(Tabela1[[#This Row],[Informe a data]],"mmmm"))</f>
        <v>MARÇO</v>
      </c>
      <c r="AC239" s="87" t="e">
        <f ca="1">_xlfn.CONCAT(Tabela1[[#This Row],[Selecione o Usuário]]," - ",TEXT(Tabela1[[#This Row],[Informe a data]],"dd-mm-aa"))</f>
        <v>#NAME?</v>
      </c>
    </row>
    <row r="240" spans="1:29">
      <c r="A240" s="89">
        <v>46111.585243055553</v>
      </c>
      <c r="B240" s="90" t="s">
        <v>140</v>
      </c>
      <c r="C240" s="90" t="s">
        <v>141</v>
      </c>
      <c r="D240" s="90" t="s">
        <v>169</v>
      </c>
      <c r="E240" s="91">
        <v>46111</v>
      </c>
      <c r="F240" s="92">
        <v>59845</v>
      </c>
      <c r="G240" s="94"/>
      <c r="H240" s="92">
        <v>59877</v>
      </c>
      <c r="I240" s="94"/>
      <c r="J240" s="90" t="s">
        <v>931</v>
      </c>
      <c r="K240" s="94"/>
      <c r="L240" s="90" t="s">
        <v>60</v>
      </c>
      <c r="M240" s="94"/>
      <c r="N240" s="94"/>
      <c r="O240" s="94"/>
      <c r="P240" s="94"/>
      <c r="Q240" s="94"/>
      <c r="R240" s="94"/>
      <c r="S240" s="94"/>
      <c r="T240" s="94"/>
      <c r="U240" s="85">
        <f>(Tabela1[[#This Row],[Informe o KM final do dia]]-Tabela1[[#This Row],[Informe o KM inicial do dia]])-Tabela1[[#This Row],[Caso tenha rodado particular alguma parte do trajeto, informe o total de KM a ser deduzido.]]</f>
        <v>32</v>
      </c>
      <c r="V240" s="86">
        <f>IF(Tabela1[[#This Row],[Informe a data]]&lt;DATE(2026,3,16), Tabela1[[#This Row],[KM Rodado]]*1.1, Tabela1[[#This Row],[KM Rodado]]*1.23)</f>
        <v>39.36</v>
      </c>
      <c r="W240" s="86">
        <f>IFERROR(SUBSTITUTE(Tabela1[[#This Row],[Pedágio]],".",",",1)*1,0)</f>
        <v>0</v>
      </c>
      <c r="X240" s="86">
        <f>IFERROR(SUBSTITUTE(Tabela1[[#This Row],[Estacionamento]],".",",",1)*1,0)</f>
        <v>0</v>
      </c>
      <c r="Y240" s="86">
        <f>IFERROR(SUBSTITUTE(Tabela1[[#This Row],[Despesas Diversas 
(Jantar em viagem, Impressões, Etc)]],".",",",1)*1,0)</f>
        <v>0</v>
      </c>
      <c r="Z240" s="86">
        <f>IFERROR(SUBSTITUTE(Tabela1[[#This Row],[Hospedagem]],".",",",1)*1,0)</f>
        <v>0</v>
      </c>
      <c r="AA240" s="56" t="str">
        <f>IF(DAY(Tabela1[[#This Row],[Informe a data]])&lt;=15,"1ª Quinzena","2ª Quinzena")</f>
        <v>2ª Quinzena</v>
      </c>
      <c r="AB240" s="56" t="str">
        <f>UPPER(TEXT(Tabela1[[#This Row],[Informe a data]],"mmmm"))</f>
        <v>MARÇO</v>
      </c>
      <c r="AC240" s="87" t="e">
        <f ca="1">_xlfn.CONCAT(Tabela1[[#This Row],[Selecione o Usuário]]," - ",TEXT(Tabela1[[#This Row],[Informe a data]],"dd-mm-aa"))</f>
        <v>#NAME?</v>
      </c>
    </row>
    <row r="241" spans="1:29">
      <c r="A241" s="89">
        <v>46112.79892361111</v>
      </c>
      <c r="B241" s="90" t="s">
        <v>131</v>
      </c>
      <c r="C241" s="90" t="s">
        <v>132</v>
      </c>
      <c r="D241" s="90" t="s">
        <v>133</v>
      </c>
      <c r="E241" s="91">
        <v>46112</v>
      </c>
      <c r="F241" s="92">
        <v>190880</v>
      </c>
      <c r="G241" s="93" t="s">
        <v>941</v>
      </c>
      <c r="H241" s="92">
        <v>190959</v>
      </c>
      <c r="I241" s="93" t="s">
        <v>942</v>
      </c>
      <c r="J241" s="90" t="s">
        <v>943</v>
      </c>
      <c r="K241" s="94"/>
      <c r="L241" s="90" t="s">
        <v>61</v>
      </c>
      <c r="M241" s="94"/>
      <c r="N241" s="94"/>
      <c r="O241" s="94"/>
      <c r="P241" s="94"/>
      <c r="Q241" s="90" t="s">
        <v>325</v>
      </c>
      <c r="R241" s="93" t="s">
        <v>944</v>
      </c>
      <c r="S241" s="94"/>
      <c r="T241" s="94"/>
      <c r="U241" s="85">
        <f>(Tabela1[[#This Row],[Informe o KM final do dia]]-Tabela1[[#This Row],[Informe o KM inicial do dia]])-Tabela1[[#This Row],[Caso tenha rodado particular alguma parte do trajeto, informe o total de KM a ser deduzido.]]</f>
        <v>79</v>
      </c>
      <c r="V241" s="86">
        <f>IF(Tabela1[[#This Row],[Informe a data]]&lt;DATE(2026,3,16), Tabela1[[#This Row],[KM Rodado]]*1.1, Tabela1[[#This Row],[KM Rodado]]*1.23)</f>
        <v>97.17</v>
      </c>
      <c r="W241" s="86">
        <f>IFERROR(SUBSTITUTE(Tabela1[[#This Row],[Pedágio]],".",",",1)*1,0)</f>
        <v>0</v>
      </c>
      <c r="X241" s="86">
        <f>IFERROR(SUBSTITUTE(Tabela1[[#This Row],[Estacionamento]],".",",",1)*1,0)</f>
        <v>0</v>
      </c>
      <c r="Y241" s="86">
        <f>IFERROR(SUBSTITUTE(Tabela1[[#This Row],[Despesas Diversas 
(Jantar em viagem, Impressões, Etc)]],".",",",1)*1,0)</f>
        <v>9</v>
      </c>
      <c r="Z241" s="86">
        <f>IFERROR(SUBSTITUTE(Tabela1[[#This Row],[Hospedagem]],".",",",1)*1,0)</f>
        <v>0</v>
      </c>
      <c r="AA241" s="56" t="str">
        <f>IF(DAY(Tabela1[[#This Row],[Informe a data]])&lt;=15,"1ª Quinzena","2ª Quinzena")</f>
        <v>2ª Quinzena</v>
      </c>
      <c r="AB241" s="56" t="str">
        <f>UPPER(TEXT(Tabela1[[#This Row],[Informe a data]],"mmmm"))</f>
        <v>MARÇO</v>
      </c>
      <c r="AC241" s="87" t="e">
        <f ca="1">_xlfn.CONCAT(Tabela1[[#This Row],[Selecione o Usuário]]," - ",TEXT(Tabela1[[#This Row],[Informe a data]],"dd-mm-aa"))</f>
        <v>#NAME?</v>
      </c>
    </row>
    <row r="242" spans="1:29">
      <c r="A242" s="49">
        <v>46112.634872685187</v>
      </c>
      <c r="B242" s="50" t="s">
        <v>497</v>
      </c>
      <c r="C242" s="50" t="s">
        <v>498</v>
      </c>
      <c r="D242" s="50" t="s">
        <v>499</v>
      </c>
      <c r="E242" s="51">
        <v>46112</v>
      </c>
      <c r="F242" s="52">
        <v>304780</v>
      </c>
      <c r="G242" s="58" t="s">
        <v>932</v>
      </c>
      <c r="H242" s="52">
        <v>304901</v>
      </c>
      <c r="I242" s="58" t="s">
        <v>933</v>
      </c>
      <c r="J242" s="50" t="s">
        <v>934</v>
      </c>
      <c r="K242" s="53"/>
      <c r="L242" s="50" t="s">
        <v>60</v>
      </c>
      <c r="M242" s="53"/>
      <c r="N242" s="53"/>
      <c r="O242" s="53"/>
      <c r="P242" s="53"/>
      <c r="Q242" s="53"/>
      <c r="R242" s="53"/>
      <c r="S242" s="53"/>
      <c r="T242" s="53"/>
      <c r="U242" s="85">
        <f>(Tabela1[[#This Row],[Informe o KM final do dia]]-Tabela1[[#This Row],[Informe o KM inicial do dia]])-Tabela1[[#This Row],[Caso tenha rodado particular alguma parte do trajeto, informe o total de KM a ser deduzido.]]</f>
        <v>121</v>
      </c>
      <c r="V242" s="86">
        <f>IF(Tabela1[[#This Row],[Informe a data]]&lt;DATE(2026,3,16), Tabela1[[#This Row],[KM Rodado]]*1.1, Tabela1[[#This Row],[KM Rodado]]*1.23)</f>
        <v>148.82999999999998</v>
      </c>
      <c r="W242" s="86">
        <f>IFERROR(SUBSTITUTE(Tabela1[[#This Row],[Pedágio]],".",",",1)*1,0)</f>
        <v>0</v>
      </c>
      <c r="X242" s="86">
        <f>IFERROR(SUBSTITUTE(Tabela1[[#This Row],[Estacionamento]],".",",",1)*1,0)</f>
        <v>0</v>
      </c>
      <c r="Y242" s="86">
        <f>IFERROR(SUBSTITUTE(Tabela1[[#This Row],[Despesas Diversas 
(Jantar em viagem, Impressões, Etc)]],".",",",1)*1,0)</f>
        <v>0</v>
      </c>
      <c r="Z242" s="86">
        <f>IFERROR(SUBSTITUTE(Tabela1[[#This Row],[Hospedagem]],".",",",1)*1,0)</f>
        <v>0</v>
      </c>
      <c r="AA242" s="56" t="str">
        <f>IF(DAY(Tabela1[[#This Row],[Informe a data]])&lt;=15,"1ª Quinzena","2ª Quinzena")</f>
        <v>2ª Quinzena</v>
      </c>
      <c r="AB242" s="56" t="str">
        <f>UPPER(TEXT(Tabela1[[#This Row],[Informe a data]],"mmmm"))</f>
        <v>MARÇO</v>
      </c>
      <c r="AC242" s="87" t="e">
        <f ca="1">_xlfn.CONCAT(Tabela1[[#This Row],[Selecione o Usuário]]," - ",TEXT(Tabela1[[#This Row],[Informe a data]],"dd-mm-aa"))</f>
        <v>#NAME?</v>
      </c>
    </row>
    <row r="243" spans="1:29">
      <c r="A243" s="110">
        <v>46112.682013888887</v>
      </c>
      <c r="B243" s="106" t="s">
        <v>504</v>
      </c>
      <c r="C243" s="106" t="s">
        <v>505</v>
      </c>
      <c r="D243" s="106" t="s">
        <v>551</v>
      </c>
      <c r="E243" s="107">
        <v>46112</v>
      </c>
      <c r="F243" s="108">
        <v>102383</v>
      </c>
      <c r="G243" s="111" t="s">
        <v>938</v>
      </c>
      <c r="H243" s="108">
        <v>102438</v>
      </c>
      <c r="I243" s="111" t="s">
        <v>939</v>
      </c>
      <c r="J243" s="106" t="s">
        <v>940</v>
      </c>
      <c r="K243" s="109"/>
      <c r="L243" s="106" t="s">
        <v>60</v>
      </c>
      <c r="M243" s="109"/>
      <c r="N243" s="109"/>
      <c r="O243" s="109"/>
      <c r="P243" s="109"/>
      <c r="Q243" s="109"/>
      <c r="R243" s="109"/>
      <c r="S243" s="109"/>
      <c r="T243" s="109"/>
      <c r="U243" s="95">
        <f>(Tabela1[[#This Row],[Informe o KM final do dia]]-Tabela1[[#This Row],[Informe o KM inicial do dia]])-Tabela1[[#This Row],[Caso tenha rodado particular alguma parte do trajeto, informe o total de KM a ser deduzido.]]</f>
        <v>55</v>
      </c>
      <c r="V243" s="97">
        <f>IF(Tabela1[[#This Row],[Informe a data]]&lt;DATE(2026,3,16), Tabela1[[#This Row],[KM Rodado]]*1.1, Tabela1[[#This Row],[KM Rodado]]*1.23)</f>
        <v>67.650000000000006</v>
      </c>
      <c r="W243" s="97">
        <f>IFERROR(SUBSTITUTE(Tabela1[[#This Row],[Pedágio]],".",",",1)*1,0)</f>
        <v>0</v>
      </c>
      <c r="X243" s="97">
        <f>IFERROR(SUBSTITUTE(Tabela1[[#This Row],[Estacionamento]],".",",",1)*1,0)</f>
        <v>0</v>
      </c>
      <c r="Y243" s="97">
        <f>IFERROR(SUBSTITUTE(Tabela1[[#This Row],[Despesas Diversas 
(Jantar em viagem, Impressões, Etc)]],".",",",1)*1,0)</f>
        <v>0</v>
      </c>
      <c r="Z243" s="97">
        <f>IFERROR(SUBSTITUTE(Tabela1[[#This Row],[Hospedagem]],".",",",1)*1,0)</f>
        <v>0</v>
      </c>
      <c r="AA243" s="98" t="str">
        <f>IF(DAY(Tabela1[[#This Row],[Informe a data]])&lt;=15,"1ª Quinzena","2ª Quinzena")</f>
        <v>2ª Quinzena</v>
      </c>
      <c r="AB243" s="98" t="str">
        <f>UPPER(TEXT(Tabela1[[#This Row],[Informe a data]],"mmmm"))</f>
        <v>MARÇO</v>
      </c>
      <c r="AC243" s="99" t="e">
        <f ca="1">_xlfn.CONCAT(Tabela1[[#This Row],[Selecione o Usuário]]," - ",TEXT(Tabela1[[#This Row],[Informe a data]],"dd-mm-aa"))</f>
        <v>#NAME?</v>
      </c>
    </row>
    <row r="244" spans="1:29">
      <c r="A244" s="49">
        <v>46114.346296296295</v>
      </c>
      <c r="B244" s="50" t="s">
        <v>131</v>
      </c>
      <c r="C244" s="50" t="s">
        <v>132</v>
      </c>
      <c r="D244" s="50" t="s">
        <v>133</v>
      </c>
      <c r="E244" s="51">
        <v>46113</v>
      </c>
      <c r="F244" s="52">
        <v>190959</v>
      </c>
      <c r="G244" s="58" t="s">
        <v>952</v>
      </c>
      <c r="H244" s="52">
        <v>191136</v>
      </c>
      <c r="I244" s="58" t="s">
        <v>953</v>
      </c>
      <c r="J244" s="50" t="s">
        <v>758</v>
      </c>
      <c r="K244" s="53"/>
      <c r="L244" s="50" t="s">
        <v>61</v>
      </c>
      <c r="M244" s="50" t="s">
        <v>128</v>
      </c>
      <c r="N244" s="58" t="s">
        <v>954</v>
      </c>
      <c r="O244" s="53"/>
      <c r="P244" s="53"/>
      <c r="Q244" s="53"/>
      <c r="R244" s="53"/>
      <c r="S244" s="53"/>
      <c r="T244" s="53"/>
      <c r="U244" s="85">
        <f>(Tabela1[[#This Row],[Informe o KM final do dia]]-Tabela1[[#This Row],[Informe o KM inicial do dia]])-Tabela1[[#This Row],[Caso tenha rodado particular alguma parte do trajeto, informe o total de KM a ser deduzido.]]</f>
        <v>177</v>
      </c>
      <c r="V244" s="86">
        <f>IF(Tabela1[[#This Row],[Informe a data]]&lt;DATE(2026,3,16), Tabela1[[#This Row],[KM Rodado]]*1.1, Tabela1[[#This Row],[KM Rodado]]*1.23)</f>
        <v>217.71</v>
      </c>
      <c r="W244" s="86">
        <f>IFERROR(SUBSTITUTE(Tabela1[[#This Row],[Pedágio]],".",",",1)*1,0)</f>
        <v>11.4</v>
      </c>
      <c r="X244" s="86">
        <f>IFERROR(SUBSTITUTE(Tabela1[[#This Row],[Estacionamento]],".",",",1)*1,0)</f>
        <v>0</v>
      </c>
      <c r="Y244" s="86">
        <f>IFERROR(SUBSTITUTE(Tabela1[[#This Row],[Despesas Diversas 
(Jantar em viagem, Impressões, Etc)]],".",",",1)*1,0)</f>
        <v>0</v>
      </c>
      <c r="Z244" s="86">
        <f>IFERROR(SUBSTITUTE(Tabela1[[#This Row],[Hospedagem]],".",",",1)*1,0)</f>
        <v>0</v>
      </c>
      <c r="AA244" s="56" t="str">
        <f>IF(DAY(Tabela1[[#This Row],[Informe a data]])&lt;=15,"1ª Quinzena","2ª Quinzena")</f>
        <v>1ª Quinzena</v>
      </c>
      <c r="AB244" s="56" t="str">
        <f>UPPER(TEXT(Tabela1[[#This Row],[Informe a data]],"mmmm"))</f>
        <v>ABRIL</v>
      </c>
      <c r="AC244" s="87" t="e">
        <f ca="1">_xlfn.CONCAT(Tabela1[[#This Row],[Selecione o Usuário]]," - ",TEXT(Tabela1[[#This Row],[Informe a data]],"dd-mm-aa"))</f>
        <v>#NAME?</v>
      </c>
    </row>
    <row r="245" spans="1:29">
      <c r="A245" s="89">
        <v>46113.913449074076</v>
      </c>
      <c r="B245" s="90" t="s">
        <v>208</v>
      </c>
      <c r="C245" s="90" t="s">
        <v>134</v>
      </c>
      <c r="D245" s="90" t="s">
        <v>209</v>
      </c>
      <c r="E245" s="91">
        <v>46113</v>
      </c>
      <c r="F245" s="92">
        <v>166670</v>
      </c>
      <c r="G245" s="93" t="s">
        <v>949</v>
      </c>
      <c r="H245" s="92">
        <v>167047</v>
      </c>
      <c r="I245" s="93" t="s">
        <v>950</v>
      </c>
      <c r="J245" s="90" t="s">
        <v>951</v>
      </c>
      <c r="K245" s="94"/>
      <c r="L245" s="90" t="s">
        <v>60</v>
      </c>
      <c r="M245" s="94"/>
      <c r="N245" s="94"/>
      <c r="O245" s="94"/>
      <c r="P245" s="94"/>
      <c r="Q245" s="94"/>
      <c r="R245" s="94"/>
      <c r="S245" s="94"/>
      <c r="T245" s="94"/>
      <c r="U245" s="85">
        <f>(Tabela1[[#This Row],[Informe o KM final do dia]]-Tabela1[[#This Row],[Informe o KM inicial do dia]])-Tabela1[[#This Row],[Caso tenha rodado particular alguma parte do trajeto, informe o total de KM a ser deduzido.]]</f>
        <v>377</v>
      </c>
      <c r="V245" s="86">
        <f>IF(Tabela1[[#This Row],[Informe a data]]&lt;DATE(2026,3,16), Tabela1[[#This Row],[KM Rodado]]*1.1, Tabela1[[#This Row],[KM Rodado]]*1.23)</f>
        <v>463.71</v>
      </c>
      <c r="W245" s="86">
        <f>IFERROR(SUBSTITUTE(Tabela1[[#This Row],[Pedágio]],".",",",1)*1,0)</f>
        <v>0</v>
      </c>
      <c r="X245" s="86">
        <f>IFERROR(SUBSTITUTE(Tabela1[[#This Row],[Estacionamento]],".",",",1)*1,0)</f>
        <v>0</v>
      </c>
      <c r="Y245" s="86">
        <f>IFERROR(SUBSTITUTE(Tabela1[[#This Row],[Despesas Diversas 
(Jantar em viagem, Impressões, Etc)]],".",",",1)*1,0)</f>
        <v>0</v>
      </c>
      <c r="Z245" s="86">
        <f>IFERROR(SUBSTITUTE(Tabela1[[#This Row],[Hospedagem]],".",",",1)*1,0)</f>
        <v>0</v>
      </c>
      <c r="AA245" s="56" t="str">
        <f>IF(DAY(Tabela1[[#This Row],[Informe a data]])&lt;=15,"1ª Quinzena","2ª Quinzena")</f>
        <v>1ª Quinzena</v>
      </c>
      <c r="AB245" s="56" t="str">
        <f>UPPER(TEXT(Tabela1[[#This Row],[Informe a data]],"mmmm"))</f>
        <v>ABRIL</v>
      </c>
      <c r="AC245" s="87" t="e">
        <f ca="1">_xlfn.CONCAT(Tabela1[[#This Row],[Selecione o Usuário]]," - ",TEXT(Tabela1[[#This Row],[Informe a data]],"dd-mm-aa"))</f>
        <v>#NAME?</v>
      </c>
    </row>
    <row r="246" spans="1:29">
      <c r="A246" s="89">
        <v>46121.780057870368</v>
      </c>
      <c r="B246" s="90" t="s">
        <v>504</v>
      </c>
      <c r="C246" s="90" t="s">
        <v>505</v>
      </c>
      <c r="D246" s="90" t="s">
        <v>506</v>
      </c>
      <c r="E246" s="91">
        <v>46113</v>
      </c>
      <c r="F246" s="92">
        <v>102415</v>
      </c>
      <c r="G246" s="93" t="s">
        <v>977</v>
      </c>
      <c r="H246" s="92">
        <v>102489</v>
      </c>
      <c r="I246" s="93" t="s">
        <v>978</v>
      </c>
      <c r="J246" s="90" t="s">
        <v>979</v>
      </c>
      <c r="K246" s="94"/>
      <c r="L246" s="90" t="s">
        <v>60</v>
      </c>
      <c r="M246" s="94"/>
      <c r="N246" s="94"/>
      <c r="O246" s="94"/>
      <c r="P246" s="94"/>
      <c r="Q246" s="94"/>
      <c r="R246" s="94"/>
      <c r="S246" s="94"/>
      <c r="T246" s="94"/>
      <c r="U246" s="85">
        <f>(Tabela1[[#This Row],[Informe o KM final do dia]]-Tabela1[[#This Row],[Informe o KM inicial do dia]])-Tabela1[[#This Row],[Caso tenha rodado particular alguma parte do trajeto, informe o total de KM a ser deduzido.]]</f>
        <v>74</v>
      </c>
      <c r="V246" s="86">
        <f>IF(Tabela1[[#This Row],[Informe a data]]&lt;DATE(2026,3,16), Tabela1[[#This Row],[KM Rodado]]*1.1, Tabela1[[#This Row],[KM Rodado]]*1.23)</f>
        <v>91.02</v>
      </c>
      <c r="W246" s="86">
        <f>IFERROR(SUBSTITUTE(Tabela1[[#This Row],[Pedágio]],".",",",1)*1,0)</f>
        <v>0</v>
      </c>
      <c r="X246" s="86">
        <f>IFERROR(SUBSTITUTE(Tabela1[[#This Row],[Estacionamento]],".",",",1)*1,0)</f>
        <v>0</v>
      </c>
      <c r="Y246" s="86">
        <f>IFERROR(SUBSTITUTE(Tabela1[[#This Row],[Despesas Diversas 
(Jantar em viagem, Impressões, Etc)]],".",",",1)*1,0)</f>
        <v>0</v>
      </c>
      <c r="Z246" s="86">
        <f>IFERROR(SUBSTITUTE(Tabela1[[#This Row],[Hospedagem]],".",",",1)*1,0)</f>
        <v>0</v>
      </c>
      <c r="AA246" s="56" t="str">
        <f>IF(DAY(Tabela1[[#This Row],[Informe a data]])&lt;=15,"1ª Quinzena","2ª Quinzena")</f>
        <v>1ª Quinzena</v>
      </c>
      <c r="AB246" s="56" t="str">
        <f>UPPER(TEXT(Tabela1[[#This Row],[Informe a data]],"mmmm"))</f>
        <v>ABRIL</v>
      </c>
      <c r="AC246" s="87" t="e">
        <f ca="1">_xlfn.CONCAT(Tabela1[[#This Row],[Selecione o Usuário]]," - ",TEXT(Tabela1[[#This Row],[Informe a data]],"dd-mm-aa"))</f>
        <v>#NAME?</v>
      </c>
    </row>
    <row r="247" spans="1:29">
      <c r="A247" s="49">
        <v>46113.726550925923</v>
      </c>
      <c r="B247" s="50" t="s">
        <v>300</v>
      </c>
      <c r="C247" s="50" t="s">
        <v>250</v>
      </c>
      <c r="D247" s="50" t="s">
        <v>228</v>
      </c>
      <c r="E247" s="51">
        <v>46113</v>
      </c>
      <c r="F247" s="52">
        <v>126053</v>
      </c>
      <c r="G247" s="58" t="s">
        <v>946</v>
      </c>
      <c r="H247" s="52">
        <v>126161</v>
      </c>
      <c r="I247" s="58" t="s">
        <v>947</v>
      </c>
      <c r="J247" s="50" t="s">
        <v>948</v>
      </c>
      <c r="K247" s="53"/>
      <c r="L247" s="50" t="s">
        <v>60</v>
      </c>
      <c r="M247" s="53"/>
      <c r="N247" s="53"/>
      <c r="O247" s="53"/>
      <c r="P247" s="53"/>
      <c r="Q247" s="53"/>
      <c r="R247" s="53"/>
      <c r="S247" s="53"/>
      <c r="T247" s="53"/>
      <c r="U247" s="85">
        <f>(Tabela1[[#This Row],[Informe o KM final do dia]]-Tabela1[[#This Row],[Informe o KM inicial do dia]])-Tabela1[[#This Row],[Caso tenha rodado particular alguma parte do trajeto, informe o total de KM a ser deduzido.]]</f>
        <v>108</v>
      </c>
      <c r="V247" s="86">
        <f>IF(Tabela1[[#This Row],[Informe a data]]&lt;DATE(2026,3,16), Tabela1[[#This Row],[KM Rodado]]*1.1, Tabela1[[#This Row],[KM Rodado]]*1.23)</f>
        <v>132.84</v>
      </c>
      <c r="W247" s="86">
        <f>IFERROR(SUBSTITUTE(Tabela1[[#This Row],[Pedágio]],".",",",1)*1,0)</f>
        <v>0</v>
      </c>
      <c r="X247" s="86">
        <f>IFERROR(SUBSTITUTE(Tabela1[[#This Row],[Estacionamento]],".",",",1)*1,0)</f>
        <v>0</v>
      </c>
      <c r="Y247" s="86">
        <f>IFERROR(SUBSTITUTE(Tabela1[[#This Row],[Despesas Diversas 
(Jantar em viagem, Impressões, Etc)]],".",",",1)*1,0)</f>
        <v>0</v>
      </c>
      <c r="Z247" s="86">
        <f>IFERROR(SUBSTITUTE(Tabela1[[#This Row],[Hospedagem]],".",",",1)*1,0)</f>
        <v>0</v>
      </c>
      <c r="AA247" s="56" t="str">
        <f>IF(DAY(Tabela1[[#This Row],[Informe a data]])&lt;=15,"1ª Quinzena","2ª Quinzena")</f>
        <v>1ª Quinzena</v>
      </c>
      <c r="AB247" s="56" t="str">
        <f>UPPER(TEXT(Tabela1[[#This Row],[Informe a data]],"mmmm"))</f>
        <v>ABRIL</v>
      </c>
      <c r="AC247" s="87" t="e">
        <f ca="1">_xlfn.CONCAT(Tabela1[[#This Row],[Selecione o Usuário]]," - ",TEXT(Tabela1[[#This Row],[Informe a data]],"dd-mm-aa"))</f>
        <v>#NAME?</v>
      </c>
    </row>
    <row r="248" spans="1:29">
      <c r="A248" s="49">
        <v>46128.407268518517</v>
      </c>
      <c r="B248" s="50" t="s">
        <v>176</v>
      </c>
      <c r="C248" s="50" t="s">
        <v>136</v>
      </c>
      <c r="D248" s="50" t="s">
        <v>627</v>
      </c>
      <c r="E248" s="51">
        <v>46113</v>
      </c>
      <c r="F248" s="52">
        <v>166192</v>
      </c>
      <c r="G248" s="58" t="s">
        <v>1042</v>
      </c>
      <c r="H248" s="52">
        <v>166375</v>
      </c>
      <c r="I248" s="58" t="s">
        <v>1043</v>
      </c>
      <c r="J248" s="50" t="s">
        <v>985</v>
      </c>
      <c r="K248" s="53"/>
      <c r="L248" s="50" t="s">
        <v>60</v>
      </c>
      <c r="M248" s="53"/>
      <c r="N248" s="53"/>
      <c r="O248" s="53"/>
      <c r="P248" s="53"/>
      <c r="Q248" s="53"/>
      <c r="R248" s="53"/>
      <c r="S248" s="53"/>
      <c r="T248" s="53"/>
      <c r="U248" s="85">
        <f>(Tabela1[[#This Row],[Informe o KM final do dia]]-Tabela1[[#This Row],[Informe o KM inicial do dia]])-Tabela1[[#This Row],[Caso tenha rodado particular alguma parte do trajeto, informe o total de KM a ser deduzido.]]</f>
        <v>183</v>
      </c>
      <c r="V248" s="86">
        <f>IF(Tabela1[[#This Row],[Informe a data]]&lt;DATE(2026,3,16), Tabela1[[#This Row],[KM Rodado]]*1.1, Tabela1[[#This Row],[KM Rodado]]*1.23)</f>
        <v>225.09</v>
      </c>
      <c r="W248" s="86">
        <f>IFERROR(SUBSTITUTE(Tabela1[[#This Row],[Pedágio]],".",",",1)*1,0)</f>
        <v>0</v>
      </c>
      <c r="X248" s="86">
        <f>IFERROR(SUBSTITUTE(Tabela1[[#This Row],[Estacionamento]],".",",",1)*1,0)</f>
        <v>0</v>
      </c>
      <c r="Y248" s="86">
        <f>IFERROR(SUBSTITUTE(Tabela1[[#This Row],[Despesas Diversas 
(Jantar em viagem, Impressões, Etc)]],".",",",1)*1,0)</f>
        <v>0</v>
      </c>
      <c r="Z248" s="86">
        <f>IFERROR(SUBSTITUTE(Tabela1[[#This Row],[Hospedagem]],".",",",1)*1,0)</f>
        <v>0</v>
      </c>
      <c r="AA248" s="56" t="str">
        <f>IF(DAY(Tabela1[[#This Row],[Informe a data]])&lt;=15,"1ª Quinzena","2ª Quinzena")</f>
        <v>1ª Quinzena</v>
      </c>
      <c r="AB248" s="56" t="str">
        <f>UPPER(TEXT(Tabela1[[#This Row],[Informe a data]],"mmmm"))</f>
        <v>ABRIL</v>
      </c>
      <c r="AC248" s="87" t="e">
        <f ca="1">_xlfn.CONCAT(Tabela1[[#This Row],[Selecione o Usuário]]," - ",TEXT(Tabela1[[#This Row],[Informe a data]],"dd-mm-aa"))</f>
        <v>#NAME?</v>
      </c>
    </row>
    <row r="249" spans="1:29">
      <c r="A249" s="89">
        <v>46118.358449074076</v>
      </c>
      <c r="B249" s="90" t="s">
        <v>140</v>
      </c>
      <c r="C249" s="90" t="s">
        <v>141</v>
      </c>
      <c r="D249" s="90" t="s">
        <v>961</v>
      </c>
      <c r="E249" s="91">
        <v>46113</v>
      </c>
      <c r="F249" s="92">
        <v>59887</v>
      </c>
      <c r="G249" s="94"/>
      <c r="H249" s="92">
        <v>59939</v>
      </c>
      <c r="I249" s="94"/>
      <c r="J249" s="90" t="s">
        <v>962</v>
      </c>
      <c r="K249" s="94"/>
      <c r="L249" s="90" t="s">
        <v>60</v>
      </c>
      <c r="M249" s="94"/>
      <c r="N249" s="94"/>
      <c r="O249" s="94"/>
      <c r="P249" s="94"/>
      <c r="Q249" s="94"/>
      <c r="R249" s="94"/>
      <c r="S249" s="94"/>
      <c r="T249" s="94"/>
      <c r="U249" s="85">
        <f>(Tabela1[[#This Row],[Informe o KM final do dia]]-Tabela1[[#This Row],[Informe o KM inicial do dia]])-Tabela1[[#This Row],[Caso tenha rodado particular alguma parte do trajeto, informe o total de KM a ser deduzido.]]</f>
        <v>52</v>
      </c>
      <c r="V249" s="86">
        <f>IF(Tabela1[[#This Row],[Informe a data]]&lt;DATE(2026,3,16), Tabela1[[#This Row],[KM Rodado]]*1.1, Tabela1[[#This Row],[KM Rodado]]*1.23)</f>
        <v>63.96</v>
      </c>
      <c r="W249" s="86">
        <f>IFERROR(SUBSTITUTE(Tabela1[[#This Row],[Pedágio]],".",",",1)*1,0)</f>
        <v>0</v>
      </c>
      <c r="X249" s="86">
        <f>IFERROR(SUBSTITUTE(Tabela1[[#This Row],[Estacionamento]],".",",",1)*1,0)</f>
        <v>0</v>
      </c>
      <c r="Y249" s="86">
        <f>IFERROR(SUBSTITUTE(Tabela1[[#This Row],[Despesas Diversas 
(Jantar em viagem, Impressões, Etc)]],".",",",1)*1,0)</f>
        <v>0</v>
      </c>
      <c r="Z249" s="86">
        <f>IFERROR(SUBSTITUTE(Tabela1[[#This Row],[Hospedagem]],".",",",1)*1,0)</f>
        <v>0</v>
      </c>
      <c r="AA249" s="56" t="str">
        <f>IF(DAY(Tabela1[[#This Row],[Informe a data]])&lt;=15,"1ª Quinzena","2ª Quinzena")</f>
        <v>1ª Quinzena</v>
      </c>
      <c r="AB249" s="56" t="str">
        <f>UPPER(TEXT(Tabela1[[#This Row],[Informe a data]],"mmmm"))</f>
        <v>ABRIL</v>
      </c>
      <c r="AC249" s="87" t="e">
        <f ca="1">_xlfn.CONCAT(Tabela1[[#This Row],[Selecione o Usuário]]," - ",TEXT(Tabela1[[#This Row],[Informe a data]],"dd-mm-aa"))</f>
        <v>#NAME?</v>
      </c>
    </row>
    <row r="250" spans="1:29">
      <c r="A250" s="89">
        <v>46115.577222222222</v>
      </c>
      <c r="B250" s="90" t="s">
        <v>131</v>
      </c>
      <c r="C250" s="90" t="s">
        <v>132</v>
      </c>
      <c r="D250" s="90" t="s">
        <v>133</v>
      </c>
      <c r="E250" s="91">
        <v>46114</v>
      </c>
      <c r="F250" s="92">
        <v>191136</v>
      </c>
      <c r="G250" s="93" t="s">
        <v>955</v>
      </c>
      <c r="H250" s="92">
        <v>191210</v>
      </c>
      <c r="I250" s="93" t="s">
        <v>956</v>
      </c>
      <c r="J250" s="90" t="s">
        <v>957</v>
      </c>
      <c r="K250" s="94"/>
      <c r="L250" s="90" t="s">
        <v>60</v>
      </c>
      <c r="M250" s="94"/>
      <c r="N250" s="94"/>
      <c r="O250" s="94"/>
      <c r="P250" s="94"/>
      <c r="Q250" s="94"/>
      <c r="R250" s="94"/>
      <c r="S250" s="94"/>
      <c r="T250" s="94"/>
      <c r="U250" s="85">
        <f>(Tabela1[[#This Row],[Informe o KM final do dia]]-Tabela1[[#This Row],[Informe o KM inicial do dia]])-Tabela1[[#This Row],[Caso tenha rodado particular alguma parte do trajeto, informe o total de KM a ser deduzido.]]</f>
        <v>74</v>
      </c>
      <c r="V250" s="86">
        <f>IF(Tabela1[[#This Row],[Informe a data]]&lt;DATE(2026,3,16), Tabela1[[#This Row],[KM Rodado]]*1.1, Tabela1[[#This Row],[KM Rodado]]*1.23)</f>
        <v>91.02</v>
      </c>
      <c r="W250" s="86">
        <f>IFERROR(SUBSTITUTE(Tabela1[[#This Row],[Pedágio]],".",",",1)*1,0)</f>
        <v>0</v>
      </c>
      <c r="X250" s="86">
        <f>IFERROR(SUBSTITUTE(Tabela1[[#This Row],[Estacionamento]],".",",",1)*1,0)</f>
        <v>0</v>
      </c>
      <c r="Y250" s="86">
        <f>IFERROR(SUBSTITUTE(Tabela1[[#This Row],[Despesas Diversas 
(Jantar em viagem, Impressões, Etc)]],".",",",1)*1,0)</f>
        <v>0</v>
      </c>
      <c r="Z250" s="86">
        <f>IFERROR(SUBSTITUTE(Tabela1[[#This Row],[Hospedagem]],".",",",1)*1,0)</f>
        <v>0</v>
      </c>
      <c r="AA250" s="56" t="str">
        <f>IF(DAY(Tabela1[[#This Row],[Informe a data]])&lt;=15,"1ª Quinzena","2ª Quinzena")</f>
        <v>1ª Quinzena</v>
      </c>
      <c r="AB250" s="56" t="str">
        <f>UPPER(TEXT(Tabela1[[#This Row],[Informe a data]],"mmmm"))</f>
        <v>ABRIL</v>
      </c>
      <c r="AC250" s="87" t="e">
        <f ca="1">_xlfn.CONCAT(Tabela1[[#This Row],[Selecione o Usuário]]," - ",TEXT(Tabela1[[#This Row],[Informe a data]],"dd-mm-aa"))</f>
        <v>#NAME?</v>
      </c>
    </row>
    <row r="251" spans="1:29">
      <c r="A251" s="49">
        <v>46121.782870370371</v>
      </c>
      <c r="B251" s="50" t="s">
        <v>504</v>
      </c>
      <c r="C251" s="50" t="s">
        <v>505</v>
      </c>
      <c r="D251" s="50" t="s">
        <v>506</v>
      </c>
      <c r="E251" s="51">
        <v>46114</v>
      </c>
      <c r="F251" s="52">
        <v>102499</v>
      </c>
      <c r="G251" s="58" t="s">
        <v>980</v>
      </c>
      <c r="H251" s="52">
        <v>102566</v>
      </c>
      <c r="I251" s="58" t="s">
        <v>981</v>
      </c>
      <c r="J251" s="50" t="s">
        <v>982</v>
      </c>
      <c r="K251" s="53"/>
      <c r="L251" s="50" t="s">
        <v>60</v>
      </c>
      <c r="M251" s="53"/>
      <c r="N251" s="53"/>
      <c r="O251" s="53"/>
      <c r="P251" s="53"/>
      <c r="Q251" s="53"/>
      <c r="R251" s="53"/>
      <c r="S251" s="53"/>
      <c r="T251" s="53"/>
      <c r="U251" s="85">
        <f>(Tabela1[[#This Row],[Informe o KM final do dia]]-Tabela1[[#This Row],[Informe o KM inicial do dia]])-Tabela1[[#This Row],[Caso tenha rodado particular alguma parte do trajeto, informe o total de KM a ser deduzido.]]</f>
        <v>67</v>
      </c>
      <c r="V251" s="86">
        <f>IF(Tabela1[[#This Row],[Informe a data]]&lt;DATE(2026,3,16), Tabela1[[#This Row],[KM Rodado]]*1.1, Tabela1[[#This Row],[KM Rodado]]*1.23)</f>
        <v>82.41</v>
      </c>
      <c r="W251" s="86">
        <f>IFERROR(SUBSTITUTE(Tabela1[[#This Row],[Pedágio]],".",",",1)*1,0)</f>
        <v>0</v>
      </c>
      <c r="X251" s="86">
        <f>IFERROR(SUBSTITUTE(Tabela1[[#This Row],[Estacionamento]],".",",",1)*1,0)</f>
        <v>0</v>
      </c>
      <c r="Y251" s="86">
        <f>IFERROR(SUBSTITUTE(Tabela1[[#This Row],[Despesas Diversas 
(Jantar em viagem, Impressões, Etc)]],".",",",1)*1,0)</f>
        <v>0</v>
      </c>
      <c r="Z251" s="86">
        <f>IFERROR(SUBSTITUTE(Tabela1[[#This Row],[Hospedagem]],".",",",1)*1,0)</f>
        <v>0</v>
      </c>
      <c r="AA251" s="56" t="str">
        <f>IF(DAY(Tabela1[[#This Row],[Informe a data]])&lt;=15,"1ª Quinzena","2ª Quinzena")</f>
        <v>1ª Quinzena</v>
      </c>
      <c r="AB251" s="56" t="str">
        <f>UPPER(TEXT(Tabela1[[#This Row],[Informe a data]],"mmmm"))</f>
        <v>ABRIL</v>
      </c>
      <c r="AC251" s="87" t="e">
        <f ca="1">_xlfn.CONCAT(Tabela1[[#This Row],[Selecione o Usuário]]," - ",TEXT(Tabela1[[#This Row],[Informe a data]],"dd-mm-aa"))</f>
        <v>#NAME?</v>
      </c>
    </row>
    <row r="252" spans="1:29">
      <c r="A252" s="49">
        <v>46118.360752314817</v>
      </c>
      <c r="B252" s="50" t="s">
        <v>140</v>
      </c>
      <c r="C252" s="50" t="s">
        <v>141</v>
      </c>
      <c r="D252" s="50" t="s">
        <v>169</v>
      </c>
      <c r="E252" s="51">
        <v>46114</v>
      </c>
      <c r="F252" s="52">
        <v>59939</v>
      </c>
      <c r="G252" s="53"/>
      <c r="H252" s="52">
        <v>59988</v>
      </c>
      <c r="I252" s="53"/>
      <c r="J252" s="50" t="s">
        <v>963</v>
      </c>
      <c r="K252" s="53"/>
      <c r="L252" s="50" t="s">
        <v>60</v>
      </c>
      <c r="M252" s="53"/>
      <c r="N252" s="53"/>
      <c r="O252" s="53"/>
      <c r="P252" s="53"/>
      <c r="Q252" s="53"/>
      <c r="R252" s="53"/>
      <c r="S252" s="53"/>
      <c r="T252" s="53"/>
      <c r="U252" s="85">
        <f>(Tabela1[[#This Row],[Informe o KM final do dia]]-Tabela1[[#This Row],[Informe o KM inicial do dia]])-Tabela1[[#This Row],[Caso tenha rodado particular alguma parte do trajeto, informe o total de KM a ser deduzido.]]</f>
        <v>49</v>
      </c>
      <c r="V252" s="86">
        <f>IF(Tabela1[[#This Row],[Informe a data]]&lt;DATE(2026,3,16), Tabela1[[#This Row],[KM Rodado]]*1.1, Tabela1[[#This Row],[KM Rodado]]*1.23)</f>
        <v>60.269999999999996</v>
      </c>
      <c r="W252" s="86">
        <f>IFERROR(SUBSTITUTE(Tabela1[[#This Row],[Pedágio]],".",",",1)*1,0)</f>
        <v>0</v>
      </c>
      <c r="X252" s="86">
        <f>IFERROR(SUBSTITUTE(Tabela1[[#This Row],[Estacionamento]],".",",",1)*1,0)</f>
        <v>0</v>
      </c>
      <c r="Y252" s="86">
        <f>IFERROR(SUBSTITUTE(Tabela1[[#This Row],[Despesas Diversas 
(Jantar em viagem, Impressões, Etc)]],".",",",1)*1,0)</f>
        <v>0</v>
      </c>
      <c r="Z252" s="86">
        <f>IFERROR(SUBSTITUTE(Tabela1[[#This Row],[Hospedagem]],".",",",1)*1,0)</f>
        <v>0</v>
      </c>
      <c r="AA252" s="56" t="str">
        <f>IF(DAY(Tabela1[[#This Row],[Informe a data]])&lt;=15,"1ª Quinzena","2ª Quinzena")</f>
        <v>1ª Quinzena</v>
      </c>
      <c r="AB252" s="56" t="str">
        <f>UPPER(TEXT(Tabela1[[#This Row],[Informe a data]],"mmmm"))</f>
        <v>ABRIL</v>
      </c>
      <c r="AC252" s="87" t="e">
        <f ca="1">_xlfn.CONCAT(Tabela1[[#This Row],[Selecione o Usuário]]," - ",TEXT(Tabela1[[#This Row],[Informe a data]],"dd-mm-aa"))</f>
        <v>#NAME?</v>
      </c>
    </row>
    <row r="253" spans="1:29">
      <c r="A253" s="49">
        <v>46116.528599537036</v>
      </c>
      <c r="B253" s="50" t="s">
        <v>131</v>
      </c>
      <c r="C253" s="50" t="s">
        <v>132</v>
      </c>
      <c r="D253" s="50" t="s">
        <v>133</v>
      </c>
      <c r="E253" s="51">
        <v>46116</v>
      </c>
      <c r="F253" s="52">
        <v>191239</v>
      </c>
      <c r="G253" s="58" t="s">
        <v>958</v>
      </c>
      <c r="H253" s="52">
        <v>191332</v>
      </c>
      <c r="I253" s="58" t="s">
        <v>959</v>
      </c>
      <c r="J253" s="50" t="s">
        <v>960</v>
      </c>
      <c r="K253" s="53"/>
      <c r="L253" s="50" t="s">
        <v>60</v>
      </c>
      <c r="M253" s="53"/>
      <c r="N253" s="53"/>
      <c r="O253" s="53"/>
      <c r="P253" s="53"/>
      <c r="Q253" s="53"/>
      <c r="R253" s="53"/>
      <c r="S253" s="53"/>
      <c r="T253" s="53"/>
      <c r="U253" s="85">
        <f>(Tabela1[[#This Row],[Informe o KM final do dia]]-Tabela1[[#This Row],[Informe o KM inicial do dia]])-Tabela1[[#This Row],[Caso tenha rodado particular alguma parte do trajeto, informe o total de KM a ser deduzido.]]</f>
        <v>93</v>
      </c>
      <c r="V253" s="86">
        <f>IF(Tabela1[[#This Row],[Informe a data]]&lt;DATE(2026,3,16), Tabela1[[#This Row],[KM Rodado]]*1.1, Tabela1[[#This Row],[KM Rodado]]*1.23)</f>
        <v>114.39</v>
      </c>
      <c r="W253" s="86">
        <f>IFERROR(SUBSTITUTE(Tabela1[[#This Row],[Pedágio]],".",",",1)*1,0)</f>
        <v>0</v>
      </c>
      <c r="X253" s="86">
        <f>IFERROR(SUBSTITUTE(Tabela1[[#This Row],[Estacionamento]],".",",",1)*1,0)</f>
        <v>0</v>
      </c>
      <c r="Y253" s="86">
        <f>IFERROR(SUBSTITUTE(Tabela1[[#This Row],[Despesas Diversas 
(Jantar em viagem, Impressões, Etc)]],".",",",1)*1,0)</f>
        <v>0</v>
      </c>
      <c r="Z253" s="86">
        <f>IFERROR(SUBSTITUTE(Tabela1[[#This Row],[Hospedagem]],".",",",1)*1,0)</f>
        <v>0</v>
      </c>
      <c r="AA253" s="56" t="str">
        <f>IF(DAY(Tabela1[[#This Row],[Informe a data]])&lt;=15,"1ª Quinzena","2ª Quinzena")</f>
        <v>1ª Quinzena</v>
      </c>
      <c r="AB253" s="56" t="str">
        <f>UPPER(TEXT(Tabela1[[#This Row],[Informe a data]],"mmmm"))</f>
        <v>ABRIL</v>
      </c>
      <c r="AC253" s="87" t="e">
        <f ca="1">_xlfn.CONCAT(Tabela1[[#This Row],[Selecione o Usuário]]," - ",TEXT(Tabela1[[#This Row],[Informe a data]],"dd-mm-aa"))</f>
        <v>#NAME?</v>
      </c>
    </row>
    <row r="254" spans="1:29">
      <c r="A254" s="89">
        <v>46119.36042824074</v>
      </c>
      <c r="B254" s="90" t="s">
        <v>131</v>
      </c>
      <c r="C254" s="90" t="s">
        <v>132</v>
      </c>
      <c r="D254" s="90" t="s">
        <v>133</v>
      </c>
      <c r="E254" s="91">
        <v>46118</v>
      </c>
      <c r="F254" s="92">
        <v>191347</v>
      </c>
      <c r="G254" s="93" t="s">
        <v>964</v>
      </c>
      <c r="H254" s="92">
        <v>191428</v>
      </c>
      <c r="I254" s="93" t="s">
        <v>965</v>
      </c>
      <c r="J254" s="90" t="s">
        <v>966</v>
      </c>
      <c r="K254" s="94"/>
      <c r="L254" s="90" t="s">
        <v>60</v>
      </c>
      <c r="M254" s="94"/>
      <c r="N254" s="94"/>
      <c r="O254" s="94"/>
      <c r="P254" s="94"/>
      <c r="Q254" s="94"/>
      <c r="R254" s="94"/>
      <c r="S254" s="94"/>
      <c r="T254" s="94"/>
      <c r="U254" s="85">
        <f>(Tabela1[[#This Row],[Informe o KM final do dia]]-Tabela1[[#This Row],[Informe o KM inicial do dia]])-Tabela1[[#This Row],[Caso tenha rodado particular alguma parte do trajeto, informe o total de KM a ser deduzido.]]</f>
        <v>81</v>
      </c>
      <c r="V254" s="86">
        <f>IF(Tabela1[[#This Row],[Informe a data]]&lt;DATE(2026,3,16), Tabela1[[#This Row],[KM Rodado]]*1.1, Tabela1[[#This Row],[KM Rodado]]*1.23)</f>
        <v>99.63</v>
      </c>
      <c r="W254" s="86">
        <f>IFERROR(SUBSTITUTE(Tabela1[[#This Row],[Pedágio]],".",",",1)*1,0)</f>
        <v>0</v>
      </c>
      <c r="X254" s="86">
        <f>IFERROR(SUBSTITUTE(Tabela1[[#This Row],[Estacionamento]],".",",",1)*1,0)</f>
        <v>0</v>
      </c>
      <c r="Y254" s="86">
        <f>IFERROR(SUBSTITUTE(Tabela1[[#This Row],[Despesas Diversas 
(Jantar em viagem, Impressões, Etc)]],".",",",1)*1,0)</f>
        <v>0</v>
      </c>
      <c r="Z254" s="86">
        <f>IFERROR(SUBSTITUTE(Tabela1[[#This Row],[Hospedagem]],".",",",1)*1,0)</f>
        <v>0</v>
      </c>
      <c r="AA254" s="56" t="str">
        <f>IF(DAY(Tabela1[[#This Row],[Informe a data]])&lt;=15,"1ª Quinzena","2ª Quinzena")</f>
        <v>1ª Quinzena</v>
      </c>
      <c r="AB254" s="56" t="str">
        <f>UPPER(TEXT(Tabela1[[#This Row],[Informe a data]],"mmmm"))</f>
        <v>ABRIL</v>
      </c>
      <c r="AC254" s="87" t="e">
        <f ca="1">_xlfn.CONCAT(Tabela1[[#This Row],[Selecione o Usuário]]," - ",TEXT(Tabela1[[#This Row],[Informe a data]],"dd-mm-aa"))</f>
        <v>#NAME?</v>
      </c>
    </row>
    <row r="255" spans="1:29">
      <c r="A255" s="89">
        <v>46121.793726851851</v>
      </c>
      <c r="B255" s="90" t="s">
        <v>504</v>
      </c>
      <c r="C255" s="90" t="s">
        <v>505</v>
      </c>
      <c r="D255" s="90" t="s">
        <v>506</v>
      </c>
      <c r="E255" s="91">
        <v>46118</v>
      </c>
      <c r="F255" s="92">
        <v>102603</v>
      </c>
      <c r="G255" s="93" t="s">
        <v>983</v>
      </c>
      <c r="H255" s="92">
        <v>102610</v>
      </c>
      <c r="I255" s="93" t="s">
        <v>984</v>
      </c>
      <c r="J255" s="90" t="s">
        <v>985</v>
      </c>
      <c r="K255" s="94"/>
      <c r="L255" s="90" t="s">
        <v>61</v>
      </c>
      <c r="M255" s="94"/>
      <c r="N255" s="94"/>
      <c r="O255" s="94"/>
      <c r="P255" s="94"/>
      <c r="Q255" s="90"/>
      <c r="R255" s="93"/>
      <c r="S255" s="94"/>
      <c r="T255" s="94"/>
      <c r="U255" s="85">
        <f>(Tabela1[[#This Row],[Informe o KM final do dia]]-Tabela1[[#This Row],[Informe o KM inicial do dia]])-Tabela1[[#This Row],[Caso tenha rodado particular alguma parte do trajeto, informe o total de KM a ser deduzido.]]</f>
        <v>7</v>
      </c>
      <c r="V255" s="86">
        <f>IF(Tabela1[[#This Row],[Informe a data]]&lt;DATE(2026,3,16), Tabela1[[#This Row],[KM Rodado]]*1.1, Tabela1[[#This Row],[KM Rodado]]*1.23)</f>
        <v>8.61</v>
      </c>
      <c r="W255" s="86">
        <f>IFERROR(SUBSTITUTE(Tabela1[[#This Row],[Pedágio]],".",",",1)*1,0)</f>
        <v>0</v>
      </c>
      <c r="X255" s="86">
        <f>IFERROR(SUBSTITUTE(Tabela1[[#This Row],[Estacionamento]],".",",",1)*1,0)</f>
        <v>0</v>
      </c>
      <c r="Y255" s="86">
        <f>IFERROR(SUBSTITUTE(Tabela1[[#This Row],[Despesas Diversas 
(Jantar em viagem, Impressões, Etc)]],".",",",1)*1,0)</f>
        <v>0</v>
      </c>
      <c r="Z255" s="86">
        <f>IFERROR(SUBSTITUTE(Tabela1[[#This Row],[Hospedagem]],".",",",1)*1,0)</f>
        <v>0</v>
      </c>
      <c r="AA255" s="56" t="str">
        <f>IF(DAY(Tabela1[[#This Row],[Informe a data]])&lt;=15,"1ª Quinzena","2ª Quinzena")</f>
        <v>1ª Quinzena</v>
      </c>
      <c r="AB255" s="56" t="str">
        <f>UPPER(TEXT(Tabela1[[#This Row],[Informe a data]],"mmmm"))</f>
        <v>ABRIL</v>
      </c>
      <c r="AC255" s="87" t="e">
        <f ca="1">_xlfn.CONCAT(Tabela1[[#This Row],[Selecione o Usuário]]," - ",TEXT(Tabela1[[#This Row],[Informe a data]],"dd-mm-aa"))</f>
        <v>#NAME?</v>
      </c>
    </row>
    <row r="256" spans="1:29">
      <c r="A256" s="89">
        <v>46123.406539351854</v>
      </c>
      <c r="B256" s="90" t="s">
        <v>140</v>
      </c>
      <c r="C256" s="90" t="s">
        <v>141</v>
      </c>
      <c r="D256" s="90" t="s">
        <v>169</v>
      </c>
      <c r="E256" s="91">
        <v>46118</v>
      </c>
      <c r="F256" s="119">
        <v>60039</v>
      </c>
      <c r="G256" s="94"/>
      <c r="H256" s="119">
        <v>60069</v>
      </c>
      <c r="I256" s="94"/>
      <c r="J256" s="90" t="s">
        <v>995</v>
      </c>
      <c r="K256" s="94"/>
      <c r="L256" s="90" t="s">
        <v>60</v>
      </c>
      <c r="M256" s="94"/>
      <c r="N256" s="94"/>
      <c r="O256" s="94"/>
      <c r="P256" s="94"/>
      <c r="Q256" s="94"/>
      <c r="R256" s="94"/>
      <c r="S256" s="94"/>
      <c r="T256" s="94"/>
      <c r="U256" s="85">
        <f>(Tabela1[[#This Row],[Informe o KM final do dia]]-Tabela1[[#This Row],[Informe o KM inicial do dia]])-Tabela1[[#This Row],[Caso tenha rodado particular alguma parte do trajeto, informe o total de KM a ser deduzido.]]</f>
        <v>30</v>
      </c>
      <c r="V256" s="86">
        <f>IF(Tabela1[[#This Row],[Informe a data]]&lt;DATE(2026,3,16), Tabela1[[#This Row],[KM Rodado]]*1.1, Tabela1[[#This Row],[KM Rodado]]*1.23)</f>
        <v>36.9</v>
      </c>
      <c r="W256" s="86">
        <f>IFERROR(SUBSTITUTE(Tabela1[[#This Row],[Pedágio]],".",",",1)*1,0)</f>
        <v>0</v>
      </c>
      <c r="X256" s="86">
        <f>IFERROR(SUBSTITUTE(Tabela1[[#This Row],[Estacionamento]],".",",",1)*1,0)</f>
        <v>0</v>
      </c>
      <c r="Y256" s="86">
        <f>IFERROR(SUBSTITUTE(Tabela1[[#This Row],[Despesas Diversas 
(Jantar em viagem, Impressões, Etc)]],".",",",1)*1,0)</f>
        <v>0</v>
      </c>
      <c r="Z256" s="86">
        <f>IFERROR(SUBSTITUTE(Tabela1[[#This Row],[Hospedagem]],".",",",1)*1,0)</f>
        <v>0</v>
      </c>
      <c r="AA256" s="56" t="str">
        <f>IF(DAY(Tabela1[[#This Row],[Informe a data]])&lt;=15,"1ª Quinzena","2ª Quinzena")</f>
        <v>1ª Quinzena</v>
      </c>
      <c r="AB256" s="56" t="str">
        <f>UPPER(TEXT(Tabela1[[#This Row],[Informe a data]],"mmmm"))</f>
        <v>ABRIL</v>
      </c>
      <c r="AC256" s="87" t="e">
        <f ca="1">_xlfn.CONCAT(Tabela1[[#This Row],[Selecione o Usuário]]," - ",TEXT(Tabela1[[#This Row],[Informe a data]],"dd-mm-aa"))</f>
        <v>#NAME?</v>
      </c>
    </row>
    <row r="257" spans="1:29">
      <c r="A257" s="89">
        <v>46120.361030092594</v>
      </c>
      <c r="B257" s="90" t="s">
        <v>131</v>
      </c>
      <c r="C257" s="90" t="s">
        <v>132</v>
      </c>
      <c r="D257" s="90" t="s">
        <v>133</v>
      </c>
      <c r="E257" s="91">
        <v>46119</v>
      </c>
      <c r="F257" s="92">
        <v>191428</v>
      </c>
      <c r="G257" s="93" t="s">
        <v>970</v>
      </c>
      <c r="H257" s="92">
        <v>191478</v>
      </c>
      <c r="I257" s="93" t="s">
        <v>971</v>
      </c>
      <c r="J257" s="90" t="s">
        <v>972</v>
      </c>
      <c r="K257" s="94"/>
      <c r="L257" s="90" t="s">
        <v>60</v>
      </c>
      <c r="M257" s="94"/>
      <c r="N257" s="94"/>
      <c r="O257" s="94"/>
      <c r="P257" s="94"/>
      <c r="Q257" s="94"/>
      <c r="R257" s="94"/>
      <c r="S257" s="94"/>
      <c r="T257" s="94"/>
      <c r="U257" s="85">
        <f>(Tabela1[[#This Row],[Informe o KM final do dia]]-Tabela1[[#This Row],[Informe o KM inicial do dia]])-Tabela1[[#This Row],[Caso tenha rodado particular alguma parte do trajeto, informe o total de KM a ser deduzido.]]</f>
        <v>50</v>
      </c>
      <c r="V257" s="86">
        <f>IF(Tabela1[[#This Row],[Informe a data]]&lt;DATE(2026,3,16), Tabela1[[#This Row],[KM Rodado]]*1.1, Tabela1[[#This Row],[KM Rodado]]*1.23)</f>
        <v>61.5</v>
      </c>
      <c r="W257" s="86">
        <f>IFERROR(SUBSTITUTE(Tabela1[[#This Row],[Pedágio]],".",",",1)*1,0)</f>
        <v>0</v>
      </c>
      <c r="X257" s="86">
        <f>IFERROR(SUBSTITUTE(Tabela1[[#This Row],[Estacionamento]],".",",",1)*1,0)</f>
        <v>0</v>
      </c>
      <c r="Y257" s="86">
        <f>IFERROR(SUBSTITUTE(Tabela1[[#This Row],[Despesas Diversas 
(Jantar em viagem, Impressões, Etc)]],".",",",1)*1,0)</f>
        <v>0</v>
      </c>
      <c r="Z257" s="86">
        <f>IFERROR(SUBSTITUTE(Tabela1[[#This Row],[Hospedagem]],".",",",1)*1,0)</f>
        <v>0</v>
      </c>
      <c r="AA257" s="56" t="str">
        <f>IF(DAY(Tabela1[[#This Row],[Informe a data]])&lt;=15,"1ª Quinzena","2ª Quinzena")</f>
        <v>1ª Quinzena</v>
      </c>
      <c r="AB257" s="56" t="str">
        <f>UPPER(TEXT(Tabela1[[#This Row],[Informe a data]],"mmmm"))</f>
        <v>ABRIL</v>
      </c>
      <c r="AC257" s="87" t="e">
        <f ca="1">_xlfn.CONCAT(Tabela1[[#This Row],[Selecione o Usuário]]," - ",TEXT(Tabela1[[#This Row],[Informe a data]],"dd-mm-aa"))</f>
        <v>#NAME?</v>
      </c>
    </row>
    <row r="258" spans="1:29">
      <c r="A258" s="49">
        <v>46119.70789351852</v>
      </c>
      <c r="B258" s="50" t="s">
        <v>497</v>
      </c>
      <c r="C258" s="50" t="s">
        <v>498</v>
      </c>
      <c r="D258" s="50" t="s">
        <v>499</v>
      </c>
      <c r="E258" s="51">
        <v>46119</v>
      </c>
      <c r="F258" s="52">
        <v>305088</v>
      </c>
      <c r="G258" s="58" t="s">
        <v>967</v>
      </c>
      <c r="H258" s="52">
        <v>305156</v>
      </c>
      <c r="I258" s="58" t="s">
        <v>968</v>
      </c>
      <c r="J258" s="50" t="s">
        <v>969</v>
      </c>
      <c r="K258" s="53"/>
      <c r="L258" s="50" t="s">
        <v>60</v>
      </c>
      <c r="M258" s="53"/>
      <c r="N258" s="53"/>
      <c r="O258" s="53"/>
      <c r="P258" s="53"/>
      <c r="Q258" s="53"/>
      <c r="R258" s="53"/>
      <c r="S258" s="53"/>
      <c r="T258" s="53"/>
      <c r="U258" s="85">
        <f>(Tabela1[[#This Row],[Informe o KM final do dia]]-Tabela1[[#This Row],[Informe o KM inicial do dia]])-Tabela1[[#This Row],[Caso tenha rodado particular alguma parte do trajeto, informe o total de KM a ser deduzido.]]</f>
        <v>68</v>
      </c>
      <c r="V258" s="86">
        <f>IF(Tabela1[[#This Row],[Informe a data]]&lt;DATE(2026,3,16), Tabela1[[#This Row],[KM Rodado]]*1.1, Tabela1[[#This Row],[KM Rodado]]*1.23)</f>
        <v>83.64</v>
      </c>
      <c r="W258" s="86">
        <f>IFERROR(SUBSTITUTE(Tabela1[[#This Row],[Pedágio]],".",",",1)*1,0)</f>
        <v>0</v>
      </c>
      <c r="X258" s="86">
        <f>IFERROR(SUBSTITUTE(Tabela1[[#This Row],[Estacionamento]],".",",",1)*1,0)</f>
        <v>0</v>
      </c>
      <c r="Y258" s="86">
        <f>IFERROR(SUBSTITUTE(Tabela1[[#This Row],[Despesas Diversas 
(Jantar em viagem, Impressões, Etc)]],".",",",1)*1,0)</f>
        <v>0</v>
      </c>
      <c r="Z258" s="86">
        <f>IFERROR(SUBSTITUTE(Tabela1[[#This Row],[Hospedagem]],".",",",1)*1,0)</f>
        <v>0</v>
      </c>
      <c r="AA258" s="56" t="str">
        <f>IF(DAY(Tabela1[[#This Row],[Informe a data]])&lt;=15,"1ª Quinzena","2ª Quinzena")</f>
        <v>1ª Quinzena</v>
      </c>
      <c r="AB258" s="56" t="str">
        <f>UPPER(TEXT(Tabela1[[#This Row],[Informe a data]],"mmmm"))</f>
        <v>ABRIL</v>
      </c>
      <c r="AC258" s="87" t="e">
        <f ca="1">_xlfn.CONCAT(Tabela1[[#This Row],[Selecione o Usuário]]," - ",TEXT(Tabela1[[#This Row],[Informe a data]],"dd-mm-aa"))</f>
        <v>#NAME?</v>
      </c>
    </row>
    <row r="259" spans="1:29">
      <c r="A259" s="49">
        <v>46121.788888888892</v>
      </c>
      <c r="B259" s="50" t="s">
        <v>504</v>
      </c>
      <c r="C259" s="50" t="s">
        <v>505</v>
      </c>
      <c r="D259" s="50" t="s">
        <v>506</v>
      </c>
      <c r="E259" s="51">
        <v>46119</v>
      </c>
      <c r="F259" s="52">
        <v>102622</v>
      </c>
      <c r="G259" s="58" t="s">
        <v>986</v>
      </c>
      <c r="H259" s="52">
        <v>102660</v>
      </c>
      <c r="I259" s="58" t="s">
        <v>987</v>
      </c>
      <c r="J259" s="50" t="s">
        <v>988</v>
      </c>
      <c r="K259" s="53"/>
      <c r="L259" s="50" t="s">
        <v>60</v>
      </c>
      <c r="M259" s="53"/>
      <c r="N259" s="53"/>
      <c r="O259" s="53"/>
      <c r="P259" s="53"/>
      <c r="Q259" s="53"/>
      <c r="R259" s="53"/>
      <c r="S259" s="53"/>
      <c r="T259" s="53"/>
      <c r="U259" s="85">
        <f>(Tabela1[[#This Row],[Informe o KM final do dia]]-Tabela1[[#This Row],[Informe o KM inicial do dia]])-Tabela1[[#This Row],[Caso tenha rodado particular alguma parte do trajeto, informe o total de KM a ser deduzido.]]</f>
        <v>38</v>
      </c>
      <c r="V259" s="86">
        <f>IF(Tabela1[[#This Row],[Informe a data]]&lt;DATE(2026,3,16), Tabela1[[#This Row],[KM Rodado]]*1.1, Tabela1[[#This Row],[KM Rodado]]*1.23)</f>
        <v>46.74</v>
      </c>
      <c r="W259" s="86">
        <f>IFERROR(SUBSTITUTE(Tabela1[[#This Row],[Pedágio]],".",",",1)*1,0)</f>
        <v>0</v>
      </c>
      <c r="X259" s="86">
        <f>IFERROR(SUBSTITUTE(Tabela1[[#This Row],[Estacionamento]],".",",",1)*1,0)</f>
        <v>0</v>
      </c>
      <c r="Y259" s="86">
        <f>IFERROR(SUBSTITUTE(Tabela1[[#This Row],[Despesas Diversas 
(Jantar em viagem, Impressões, Etc)]],".",",",1)*1,0)</f>
        <v>0</v>
      </c>
      <c r="Z259" s="86">
        <f>IFERROR(SUBSTITUTE(Tabela1[[#This Row],[Hospedagem]],".",",",1)*1,0)</f>
        <v>0</v>
      </c>
      <c r="AA259" s="56" t="str">
        <f>IF(DAY(Tabela1[[#This Row],[Informe a data]])&lt;=15,"1ª Quinzena","2ª Quinzena")</f>
        <v>1ª Quinzena</v>
      </c>
      <c r="AB259" s="56" t="str">
        <f>UPPER(TEXT(Tabela1[[#This Row],[Informe a data]],"mmmm"))</f>
        <v>ABRIL</v>
      </c>
      <c r="AC259" s="87" t="e">
        <f ca="1">_xlfn.CONCAT(Tabela1[[#This Row],[Selecione o Usuário]]," - ",TEXT(Tabela1[[#This Row],[Informe a data]],"dd-mm-aa"))</f>
        <v>#NAME?</v>
      </c>
    </row>
    <row r="260" spans="1:29">
      <c r="A260" s="89">
        <v>46128.412268518521</v>
      </c>
      <c r="B260" s="90" t="s">
        <v>176</v>
      </c>
      <c r="C260" s="90" t="s">
        <v>136</v>
      </c>
      <c r="D260" s="90" t="s">
        <v>177</v>
      </c>
      <c r="E260" s="91">
        <v>46119</v>
      </c>
      <c r="F260" s="92">
        <v>171450</v>
      </c>
      <c r="G260" s="93" t="s">
        <v>1044</v>
      </c>
      <c r="H260" s="92">
        <v>171626</v>
      </c>
      <c r="I260" s="93" t="s">
        <v>1045</v>
      </c>
      <c r="J260" s="90" t="s">
        <v>1046</v>
      </c>
      <c r="K260" s="94"/>
      <c r="L260" s="90" t="s">
        <v>60</v>
      </c>
      <c r="M260" s="94"/>
      <c r="N260" s="94"/>
      <c r="O260" s="94"/>
      <c r="P260" s="94"/>
      <c r="Q260" s="94"/>
      <c r="R260" s="94"/>
      <c r="S260" s="94"/>
      <c r="T260" s="94"/>
      <c r="U260" s="85">
        <f>(Tabela1[[#This Row],[Informe o KM final do dia]]-Tabela1[[#This Row],[Informe o KM inicial do dia]])-Tabela1[[#This Row],[Caso tenha rodado particular alguma parte do trajeto, informe o total de KM a ser deduzido.]]</f>
        <v>176</v>
      </c>
      <c r="V260" s="86">
        <f>IF(Tabela1[[#This Row],[Informe a data]]&lt;DATE(2026,3,16), Tabela1[[#This Row],[KM Rodado]]*1.1, Tabela1[[#This Row],[KM Rodado]]*1.23)</f>
        <v>216.48</v>
      </c>
      <c r="W260" s="86">
        <f>IFERROR(SUBSTITUTE(Tabela1[[#This Row],[Pedágio]],".",",",1)*1,0)</f>
        <v>0</v>
      </c>
      <c r="X260" s="86">
        <f>IFERROR(SUBSTITUTE(Tabela1[[#This Row],[Estacionamento]],".",",",1)*1,0)</f>
        <v>0</v>
      </c>
      <c r="Y260" s="86">
        <f>IFERROR(SUBSTITUTE(Tabela1[[#This Row],[Despesas Diversas 
(Jantar em viagem, Impressões, Etc)]],".",",",1)*1,0)</f>
        <v>0</v>
      </c>
      <c r="Z260" s="86">
        <f>IFERROR(SUBSTITUTE(Tabela1[[#This Row],[Hospedagem]],".",",",1)*1,0)</f>
        <v>0</v>
      </c>
      <c r="AA260" s="56" t="str">
        <f>IF(DAY(Tabela1[[#This Row],[Informe a data]])&lt;=15,"1ª Quinzena","2ª Quinzena")</f>
        <v>1ª Quinzena</v>
      </c>
      <c r="AB260" s="56" t="str">
        <f>UPPER(TEXT(Tabela1[[#This Row],[Informe a data]],"mmmm"))</f>
        <v>ABRIL</v>
      </c>
      <c r="AC260" s="87" t="e">
        <f ca="1">_xlfn.CONCAT(Tabela1[[#This Row],[Selecione o Usuário]]," - ",TEXT(Tabela1[[#This Row],[Informe a data]],"dd-mm-aa"))</f>
        <v>#NAME?</v>
      </c>
    </row>
    <row r="261" spans="1:29">
      <c r="A261" s="49">
        <v>46123.407557870371</v>
      </c>
      <c r="B261" s="50" t="s">
        <v>140</v>
      </c>
      <c r="C261" s="50" t="s">
        <v>141</v>
      </c>
      <c r="D261" s="50" t="s">
        <v>169</v>
      </c>
      <c r="E261" s="51">
        <v>46119</v>
      </c>
      <c r="F261" s="120">
        <v>60069</v>
      </c>
      <c r="G261" s="53"/>
      <c r="H261" s="120">
        <v>60104</v>
      </c>
      <c r="I261" s="53"/>
      <c r="J261" s="50" t="s">
        <v>996</v>
      </c>
      <c r="K261" s="53"/>
      <c r="L261" s="50" t="s">
        <v>60</v>
      </c>
      <c r="M261" s="53"/>
      <c r="N261" s="53"/>
      <c r="O261" s="53"/>
      <c r="P261" s="53"/>
      <c r="Q261" s="53"/>
      <c r="R261" s="53"/>
      <c r="S261" s="53"/>
      <c r="T261" s="53"/>
      <c r="U261" s="85">
        <f>(Tabela1[[#This Row],[Informe o KM final do dia]]-Tabela1[[#This Row],[Informe o KM inicial do dia]])-Tabela1[[#This Row],[Caso tenha rodado particular alguma parte do trajeto, informe o total de KM a ser deduzido.]]</f>
        <v>35</v>
      </c>
      <c r="V261" s="86">
        <f>IF(Tabela1[[#This Row],[Informe a data]]&lt;DATE(2026,3,16), Tabela1[[#This Row],[KM Rodado]]*1.1, Tabela1[[#This Row],[KM Rodado]]*1.23)</f>
        <v>43.05</v>
      </c>
      <c r="W261" s="86">
        <f>IFERROR(SUBSTITUTE(Tabela1[[#This Row],[Pedágio]],".",",",1)*1,0)</f>
        <v>0</v>
      </c>
      <c r="X261" s="86">
        <f>IFERROR(SUBSTITUTE(Tabela1[[#This Row],[Estacionamento]],".",",",1)*1,0)</f>
        <v>0</v>
      </c>
      <c r="Y261" s="86">
        <f>IFERROR(SUBSTITUTE(Tabela1[[#This Row],[Despesas Diversas 
(Jantar em viagem, Impressões, Etc)]],".",",",1)*1,0)</f>
        <v>0</v>
      </c>
      <c r="Z261" s="86">
        <f>IFERROR(SUBSTITUTE(Tabela1[[#This Row],[Hospedagem]],".",",",1)*1,0)</f>
        <v>0</v>
      </c>
      <c r="AA261" s="56" t="str">
        <f>IF(DAY(Tabela1[[#This Row],[Informe a data]])&lt;=15,"1ª Quinzena","2ª Quinzena")</f>
        <v>1ª Quinzena</v>
      </c>
      <c r="AB261" s="56" t="str">
        <f>UPPER(TEXT(Tabela1[[#This Row],[Informe a data]],"mmmm"))</f>
        <v>ABRIL</v>
      </c>
      <c r="AC261" s="87" t="e">
        <f ca="1">_xlfn.CONCAT(Tabela1[[#This Row],[Selecione o Usuário]]," - ",TEXT(Tabela1[[#This Row],[Informe a data]],"dd-mm-aa"))</f>
        <v>#NAME?</v>
      </c>
    </row>
    <row r="262" spans="1:29">
      <c r="A262" s="49">
        <v>46120.953981481478</v>
      </c>
      <c r="B262" s="50" t="s">
        <v>131</v>
      </c>
      <c r="C262" s="50" t="s">
        <v>132</v>
      </c>
      <c r="D262" s="50" t="s">
        <v>133</v>
      </c>
      <c r="E262" s="51">
        <v>46120</v>
      </c>
      <c r="F262" s="52">
        <v>191478</v>
      </c>
      <c r="G262" s="58" t="s">
        <v>973</v>
      </c>
      <c r="H262" s="52">
        <v>191538</v>
      </c>
      <c r="I262" s="58" t="s">
        <v>974</v>
      </c>
      <c r="J262" s="50" t="s">
        <v>972</v>
      </c>
      <c r="K262" s="53"/>
      <c r="L262" s="50" t="s">
        <v>61</v>
      </c>
      <c r="M262" s="53"/>
      <c r="N262" s="53"/>
      <c r="O262" s="53"/>
      <c r="P262" s="53"/>
      <c r="Q262" s="50" t="s">
        <v>975</v>
      </c>
      <c r="R262" s="58" t="s">
        <v>976</v>
      </c>
      <c r="S262" s="53"/>
      <c r="T262" s="53"/>
      <c r="U262" s="85">
        <f>(Tabela1[[#This Row],[Informe o KM final do dia]]-Tabela1[[#This Row],[Informe o KM inicial do dia]])-Tabela1[[#This Row],[Caso tenha rodado particular alguma parte do trajeto, informe o total de KM a ser deduzido.]]</f>
        <v>60</v>
      </c>
      <c r="V262" s="86">
        <f>IF(Tabela1[[#This Row],[Informe a data]]&lt;DATE(2026,3,16), Tabela1[[#This Row],[KM Rodado]]*1.1, Tabela1[[#This Row],[KM Rodado]]*1.23)</f>
        <v>73.8</v>
      </c>
      <c r="W262" s="86">
        <f>IFERROR(SUBSTITUTE(Tabela1[[#This Row],[Pedágio]],".",",",1)*1,0)</f>
        <v>0</v>
      </c>
      <c r="X262" s="86">
        <f>IFERROR(SUBSTITUTE(Tabela1[[#This Row],[Estacionamento]],".",",",1)*1,0)</f>
        <v>0</v>
      </c>
      <c r="Y262" s="86">
        <f>IFERROR(SUBSTITUTE(Tabela1[[#This Row],[Despesas Diversas 
(Jantar em viagem, Impressões, Etc)]],".",",",1)*1,0)</f>
        <v>7.18</v>
      </c>
      <c r="Z262" s="86">
        <f>IFERROR(SUBSTITUTE(Tabela1[[#This Row],[Hospedagem]],".",",",1)*1,0)</f>
        <v>0</v>
      </c>
      <c r="AA262" s="56" t="str">
        <f>IF(DAY(Tabela1[[#This Row],[Informe a data]])&lt;=15,"1ª Quinzena","2ª Quinzena")</f>
        <v>1ª Quinzena</v>
      </c>
      <c r="AB262" s="56" t="str">
        <f>UPPER(TEXT(Tabela1[[#This Row],[Informe a data]],"mmmm"))</f>
        <v>ABRIL</v>
      </c>
      <c r="AC262" s="87" t="e">
        <f ca="1">_xlfn.CONCAT(Tabela1[[#This Row],[Selecione o Usuário]]," - ",TEXT(Tabela1[[#This Row],[Informe a data]],"dd-mm-aa"))</f>
        <v>#NAME?</v>
      </c>
    </row>
    <row r="263" spans="1:29">
      <c r="A263" s="89">
        <v>46121.790231481478</v>
      </c>
      <c r="B263" s="90" t="s">
        <v>504</v>
      </c>
      <c r="C263" s="90" t="s">
        <v>505</v>
      </c>
      <c r="D263" s="90" t="s">
        <v>506</v>
      </c>
      <c r="E263" s="91">
        <v>46120</v>
      </c>
      <c r="F263" s="92">
        <v>102788</v>
      </c>
      <c r="G263" s="93" t="s">
        <v>989</v>
      </c>
      <c r="H263" s="92">
        <v>102870</v>
      </c>
      <c r="I263" s="93" t="s">
        <v>990</v>
      </c>
      <c r="J263" s="90" t="s">
        <v>991</v>
      </c>
      <c r="K263" s="94"/>
      <c r="L263" s="90" t="s">
        <v>60</v>
      </c>
      <c r="M263" s="94"/>
      <c r="N263" s="94"/>
      <c r="O263" s="94"/>
      <c r="P263" s="94"/>
      <c r="Q263" s="94"/>
      <c r="R263" s="94"/>
      <c r="S263" s="94"/>
      <c r="T263" s="94"/>
      <c r="U263" s="85">
        <f>(Tabela1[[#This Row],[Informe o KM final do dia]]-Tabela1[[#This Row],[Informe o KM inicial do dia]])-Tabela1[[#This Row],[Caso tenha rodado particular alguma parte do trajeto, informe o total de KM a ser deduzido.]]</f>
        <v>82</v>
      </c>
      <c r="V263" s="86">
        <f>IF(Tabela1[[#This Row],[Informe a data]]&lt;DATE(2026,3,16), Tabela1[[#This Row],[KM Rodado]]*1.1, Tabela1[[#This Row],[KM Rodado]]*1.23)</f>
        <v>100.86</v>
      </c>
      <c r="W263" s="86">
        <f>IFERROR(SUBSTITUTE(Tabela1[[#This Row],[Pedágio]],".",",",1)*1,0)</f>
        <v>0</v>
      </c>
      <c r="X263" s="86">
        <f>IFERROR(SUBSTITUTE(Tabela1[[#This Row],[Estacionamento]],".",",",1)*1,0)</f>
        <v>0</v>
      </c>
      <c r="Y263" s="86">
        <f>IFERROR(SUBSTITUTE(Tabela1[[#This Row],[Despesas Diversas 
(Jantar em viagem, Impressões, Etc)]],".",",",1)*1,0)</f>
        <v>0</v>
      </c>
      <c r="Z263" s="86">
        <f>IFERROR(SUBSTITUTE(Tabela1[[#This Row],[Hospedagem]],".",",",1)*1,0)</f>
        <v>0</v>
      </c>
      <c r="AA263" s="56" t="str">
        <f>IF(DAY(Tabela1[[#This Row],[Informe a data]])&lt;=15,"1ª Quinzena","2ª Quinzena")</f>
        <v>1ª Quinzena</v>
      </c>
      <c r="AB263" s="56" t="str">
        <f>UPPER(TEXT(Tabela1[[#This Row],[Informe a data]],"mmmm"))</f>
        <v>ABRIL</v>
      </c>
      <c r="AC263" s="87" t="e">
        <f ca="1">_xlfn.CONCAT(Tabela1[[#This Row],[Selecione o Usuário]]," - ",TEXT(Tabela1[[#This Row],[Informe a data]],"dd-mm-aa"))</f>
        <v>#NAME?</v>
      </c>
    </row>
    <row r="264" spans="1:29">
      <c r="A264" s="89">
        <v>46123.408750000002</v>
      </c>
      <c r="B264" s="90" t="s">
        <v>140</v>
      </c>
      <c r="C264" s="90" t="s">
        <v>141</v>
      </c>
      <c r="D264" s="90" t="s">
        <v>169</v>
      </c>
      <c r="E264" s="91">
        <v>46120</v>
      </c>
      <c r="F264" s="119">
        <v>60104</v>
      </c>
      <c r="G264" s="94"/>
      <c r="H264" s="119">
        <v>60149</v>
      </c>
      <c r="I264" s="94"/>
      <c r="J264" s="90" t="s">
        <v>997</v>
      </c>
      <c r="K264" s="94"/>
      <c r="L264" s="90" t="s">
        <v>60</v>
      </c>
      <c r="M264" s="94"/>
      <c r="N264" s="94"/>
      <c r="O264" s="94"/>
      <c r="P264" s="94"/>
      <c r="Q264" s="94"/>
      <c r="R264" s="94"/>
      <c r="S264" s="94"/>
      <c r="T264" s="94"/>
      <c r="U264" s="85">
        <f>(Tabela1[[#This Row],[Informe o KM final do dia]]-Tabela1[[#This Row],[Informe o KM inicial do dia]])-Tabela1[[#This Row],[Caso tenha rodado particular alguma parte do trajeto, informe o total de KM a ser deduzido.]]</f>
        <v>45</v>
      </c>
      <c r="V264" s="86">
        <f>IF(Tabela1[[#This Row],[Informe a data]]&lt;DATE(2026,3,16), Tabela1[[#This Row],[KM Rodado]]*1.1, Tabela1[[#This Row],[KM Rodado]]*1.23)</f>
        <v>55.35</v>
      </c>
      <c r="W264" s="86">
        <f>IFERROR(SUBSTITUTE(Tabela1[[#This Row],[Pedágio]],".",",",1)*1,0)</f>
        <v>0</v>
      </c>
      <c r="X264" s="86">
        <f>IFERROR(SUBSTITUTE(Tabela1[[#This Row],[Estacionamento]],".",",",1)*1,0)</f>
        <v>0</v>
      </c>
      <c r="Y264" s="86">
        <f>IFERROR(SUBSTITUTE(Tabela1[[#This Row],[Despesas Diversas 
(Jantar em viagem, Impressões, Etc)]],".",",",1)*1,0)</f>
        <v>0</v>
      </c>
      <c r="Z264" s="86">
        <f>IFERROR(SUBSTITUTE(Tabela1[[#This Row],[Hospedagem]],".",",",1)*1,0)</f>
        <v>0</v>
      </c>
      <c r="AA264" s="56" t="str">
        <f>IF(DAY(Tabela1[[#This Row],[Informe a data]])&lt;=15,"1ª Quinzena","2ª Quinzena")</f>
        <v>1ª Quinzena</v>
      </c>
      <c r="AB264" s="56" t="str">
        <f>UPPER(TEXT(Tabela1[[#This Row],[Informe a data]],"mmmm"))</f>
        <v>ABRIL</v>
      </c>
      <c r="AC264" s="87" t="e">
        <f ca="1">_xlfn.CONCAT(Tabela1[[#This Row],[Selecione o Usuário]]," - ",TEXT(Tabela1[[#This Row],[Informe a data]],"dd-mm-aa"))</f>
        <v>#NAME?</v>
      </c>
    </row>
    <row r="265" spans="1:29">
      <c r="A265" s="49">
        <v>46123.410844907405</v>
      </c>
      <c r="B265" s="50" t="s">
        <v>140</v>
      </c>
      <c r="C265" s="50" t="s">
        <v>141</v>
      </c>
      <c r="D265" s="50" t="s">
        <v>169</v>
      </c>
      <c r="E265" s="51">
        <v>46121</v>
      </c>
      <c r="F265" s="120">
        <v>60149</v>
      </c>
      <c r="G265" s="53"/>
      <c r="H265" s="52">
        <v>60174</v>
      </c>
      <c r="I265" s="53"/>
      <c r="J265" s="50" t="s">
        <v>998</v>
      </c>
      <c r="K265" s="53"/>
      <c r="L265" s="50" t="s">
        <v>60</v>
      </c>
      <c r="M265" s="53"/>
      <c r="N265" s="53"/>
      <c r="O265" s="53"/>
      <c r="P265" s="53"/>
      <c r="Q265" s="53"/>
      <c r="R265" s="53"/>
      <c r="S265" s="53"/>
      <c r="T265" s="53"/>
      <c r="U265" s="85">
        <f>(Tabela1[[#This Row],[Informe o KM final do dia]]-Tabela1[[#This Row],[Informe o KM inicial do dia]])-Tabela1[[#This Row],[Caso tenha rodado particular alguma parte do trajeto, informe o total de KM a ser deduzido.]]</f>
        <v>25</v>
      </c>
      <c r="V265" s="86">
        <f>IF(Tabela1[[#This Row],[Informe a data]]&lt;DATE(2026,3,16), Tabela1[[#This Row],[KM Rodado]]*1.1, Tabela1[[#This Row],[KM Rodado]]*1.23)</f>
        <v>30.75</v>
      </c>
      <c r="W265" s="86">
        <f>IFERROR(SUBSTITUTE(Tabela1[[#This Row],[Pedágio]],".",",",1)*1,0)</f>
        <v>0</v>
      </c>
      <c r="X265" s="86">
        <f>IFERROR(SUBSTITUTE(Tabela1[[#This Row],[Estacionamento]],".",",",1)*1,0)</f>
        <v>0</v>
      </c>
      <c r="Y265" s="86">
        <f>IFERROR(SUBSTITUTE(Tabela1[[#This Row],[Despesas Diversas 
(Jantar em viagem, Impressões, Etc)]],".",",",1)*1,0)</f>
        <v>0</v>
      </c>
      <c r="Z265" s="86">
        <f>IFERROR(SUBSTITUTE(Tabela1[[#This Row],[Hospedagem]],".",",",1)*1,0)</f>
        <v>0</v>
      </c>
      <c r="AA265" s="56" t="str">
        <f>IF(DAY(Tabela1[[#This Row],[Informe a data]])&lt;=15,"1ª Quinzena","2ª Quinzena")</f>
        <v>1ª Quinzena</v>
      </c>
      <c r="AB265" s="56" t="str">
        <f>UPPER(TEXT(Tabela1[[#This Row],[Informe a data]],"mmmm"))</f>
        <v>ABRIL</v>
      </c>
      <c r="AC265" s="87" t="e">
        <f ca="1">_xlfn.CONCAT(Tabela1[[#This Row],[Selecione o Usuário]]," - ",TEXT(Tabela1[[#This Row],[Informe a data]],"dd-mm-aa"))</f>
        <v>#NAME?</v>
      </c>
    </row>
    <row r="266" spans="1:29">
      <c r="A266" s="89">
        <v>46124.570208333331</v>
      </c>
      <c r="B266" s="90" t="s">
        <v>131</v>
      </c>
      <c r="C266" s="90" t="s">
        <v>132</v>
      </c>
      <c r="D266" s="90" t="s">
        <v>133</v>
      </c>
      <c r="E266" s="91">
        <v>46122</v>
      </c>
      <c r="F266" s="92">
        <v>191575</v>
      </c>
      <c r="G266" s="93" t="s">
        <v>1003</v>
      </c>
      <c r="H266" s="92">
        <v>191593</v>
      </c>
      <c r="I266" s="93" t="s">
        <v>1004</v>
      </c>
      <c r="J266" s="90" t="s">
        <v>1005</v>
      </c>
      <c r="K266" s="94"/>
      <c r="L266" s="90" t="s">
        <v>60</v>
      </c>
      <c r="M266" s="94"/>
      <c r="N266" s="94"/>
      <c r="O266" s="94"/>
      <c r="P266" s="94"/>
      <c r="Q266" s="94"/>
      <c r="R266" s="94"/>
      <c r="S266" s="94"/>
      <c r="T266" s="94"/>
      <c r="U266" s="85">
        <f>(Tabela1[[#This Row],[Informe o KM final do dia]]-Tabela1[[#This Row],[Informe o KM inicial do dia]])-Tabela1[[#This Row],[Caso tenha rodado particular alguma parte do trajeto, informe o total de KM a ser deduzido.]]</f>
        <v>18</v>
      </c>
      <c r="V266" s="86">
        <f>IF(Tabela1[[#This Row],[Informe a data]]&lt;DATE(2026,3,16), Tabela1[[#This Row],[KM Rodado]]*1.1, Tabela1[[#This Row],[KM Rodado]]*1.23)</f>
        <v>22.14</v>
      </c>
      <c r="W266" s="86">
        <f>IFERROR(SUBSTITUTE(Tabela1[[#This Row],[Pedágio]],".",",",1)*1,0)</f>
        <v>0</v>
      </c>
      <c r="X266" s="86">
        <f>IFERROR(SUBSTITUTE(Tabela1[[#This Row],[Estacionamento]],".",",",1)*1,0)</f>
        <v>0</v>
      </c>
      <c r="Y266" s="86">
        <f>IFERROR(SUBSTITUTE(Tabela1[[#This Row],[Despesas Diversas 
(Jantar em viagem, Impressões, Etc)]],".",",",1)*1,0)</f>
        <v>0</v>
      </c>
      <c r="Z266" s="86">
        <f>IFERROR(SUBSTITUTE(Tabela1[[#This Row],[Hospedagem]],".",",",1)*1,0)</f>
        <v>0</v>
      </c>
      <c r="AA266" s="56" t="str">
        <f>IF(DAY(Tabela1[[#This Row],[Informe a data]])&lt;=15,"1ª Quinzena","2ª Quinzena")</f>
        <v>1ª Quinzena</v>
      </c>
      <c r="AB266" s="56" t="str">
        <f>UPPER(TEXT(Tabela1[[#This Row],[Informe a data]],"mmmm"))</f>
        <v>ABRIL</v>
      </c>
      <c r="AC266" s="87" t="e">
        <f ca="1">_xlfn.CONCAT(Tabela1[[#This Row],[Selecione o Usuário]]," - ",TEXT(Tabela1[[#This Row],[Informe a data]],"dd-mm-aa"))</f>
        <v>#NAME?</v>
      </c>
    </row>
    <row r="267" spans="1:29">
      <c r="A267" s="49">
        <v>46123.508148148147</v>
      </c>
      <c r="B267" s="50" t="s">
        <v>497</v>
      </c>
      <c r="C267" s="50" t="s">
        <v>498</v>
      </c>
      <c r="D267" s="50" t="s">
        <v>499</v>
      </c>
      <c r="E267" s="51">
        <v>46122</v>
      </c>
      <c r="F267" s="52">
        <v>305156</v>
      </c>
      <c r="G267" s="58" t="s">
        <v>1000</v>
      </c>
      <c r="H267" s="52">
        <v>305416</v>
      </c>
      <c r="I267" s="58" t="s">
        <v>1001</v>
      </c>
      <c r="J267" s="50" t="s">
        <v>1002</v>
      </c>
      <c r="K267" s="53"/>
      <c r="L267" s="50" t="s">
        <v>60</v>
      </c>
      <c r="M267" s="53"/>
      <c r="N267" s="53"/>
      <c r="O267" s="53"/>
      <c r="P267" s="53"/>
      <c r="Q267" s="53"/>
      <c r="R267" s="53"/>
      <c r="S267" s="53"/>
      <c r="T267" s="53"/>
      <c r="U267" s="85">
        <f>(Tabela1[[#This Row],[Informe o KM final do dia]]-Tabela1[[#This Row],[Informe o KM inicial do dia]])-Tabela1[[#This Row],[Caso tenha rodado particular alguma parte do trajeto, informe o total de KM a ser deduzido.]]</f>
        <v>260</v>
      </c>
      <c r="V267" s="86">
        <f>IF(Tabela1[[#This Row],[Informe a data]]&lt;DATE(2026,3,16), Tabela1[[#This Row],[KM Rodado]]*1.1, Tabela1[[#This Row],[KM Rodado]]*1.23)</f>
        <v>319.8</v>
      </c>
      <c r="W267" s="86">
        <f>IFERROR(SUBSTITUTE(Tabela1[[#This Row],[Pedágio]],".",",",1)*1,0)</f>
        <v>0</v>
      </c>
      <c r="X267" s="86">
        <f>IFERROR(SUBSTITUTE(Tabela1[[#This Row],[Estacionamento]],".",",",1)*1,0)</f>
        <v>0</v>
      </c>
      <c r="Y267" s="86">
        <f>IFERROR(SUBSTITUTE(Tabela1[[#This Row],[Despesas Diversas 
(Jantar em viagem, Impressões, Etc)]],".",",",1)*1,0)</f>
        <v>0</v>
      </c>
      <c r="Z267" s="86">
        <f>IFERROR(SUBSTITUTE(Tabela1[[#This Row],[Hospedagem]],".",",",1)*1,0)</f>
        <v>0</v>
      </c>
      <c r="AA267" s="56" t="str">
        <f>IF(DAY(Tabela1[[#This Row],[Informe a data]])&lt;=15,"1ª Quinzena","2ª Quinzena")</f>
        <v>1ª Quinzena</v>
      </c>
      <c r="AB267" s="56" t="str">
        <f>UPPER(TEXT(Tabela1[[#This Row],[Informe a data]],"mmmm"))</f>
        <v>ABRIL</v>
      </c>
      <c r="AC267" s="87" t="e">
        <f ca="1">_xlfn.CONCAT(Tabela1[[#This Row],[Selecione o Usuário]]," - ",TEXT(Tabela1[[#This Row],[Informe a data]],"dd-mm-aa"))</f>
        <v>#NAME?</v>
      </c>
    </row>
    <row r="268" spans="1:29">
      <c r="A268" s="49">
        <v>46123.381076388891</v>
      </c>
      <c r="B268" s="50" t="s">
        <v>504</v>
      </c>
      <c r="C268" s="50" t="s">
        <v>505</v>
      </c>
      <c r="D268" s="50" t="s">
        <v>506</v>
      </c>
      <c r="E268" s="51">
        <v>46122</v>
      </c>
      <c r="F268" s="52">
        <v>102870</v>
      </c>
      <c r="G268" s="58" t="s">
        <v>992</v>
      </c>
      <c r="H268" s="52">
        <v>102984</v>
      </c>
      <c r="I268" s="58" t="s">
        <v>993</v>
      </c>
      <c r="J268" s="50" t="s">
        <v>994</v>
      </c>
      <c r="K268" s="52">
        <v>9</v>
      </c>
      <c r="L268" s="50" t="s">
        <v>60</v>
      </c>
      <c r="M268" s="53"/>
      <c r="N268" s="53"/>
      <c r="O268" s="53"/>
      <c r="P268" s="53"/>
      <c r="Q268" s="53"/>
      <c r="R268" s="53"/>
      <c r="S268" s="53"/>
      <c r="T268" s="53"/>
      <c r="U268" s="85">
        <f>(Tabela1[[#This Row],[Informe o KM final do dia]]-Tabela1[[#This Row],[Informe o KM inicial do dia]])-Tabela1[[#This Row],[Caso tenha rodado particular alguma parte do trajeto, informe o total de KM a ser deduzido.]]</f>
        <v>105</v>
      </c>
      <c r="V268" s="86">
        <f>IF(Tabela1[[#This Row],[Informe a data]]&lt;DATE(2026,3,16), Tabela1[[#This Row],[KM Rodado]]*1.1, Tabela1[[#This Row],[KM Rodado]]*1.23)</f>
        <v>129.15</v>
      </c>
      <c r="W268" s="86">
        <f>IFERROR(SUBSTITUTE(Tabela1[[#This Row],[Pedágio]],".",",",1)*1,0)</f>
        <v>0</v>
      </c>
      <c r="X268" s="86">
        <f>IFERROR(SUBSTITUTE(Tabela1[[#This Row],[Estacionamento]],".",",",1)*1,0)</f>
        <v>0</v>
      </c>
      <c r="Y268" s="86">
        <f>IFERROR(SUBSTITUTE(Tabela1[[#This Row],[Despesas Diversas 
(Jantar em viagem, Impressões, Etc)]],".",",",1)*1,0)</f>
        <v>0</v>
      </c>
      <c r="Z268" s="86">
        <f>IFERROR(SUBSTITUTE(Tabela1[[#This Row],[Hospedagem]],".",",",1)*1,0)</f>
        <v>0</v>
      </c>
      <c r="AA268" s="56" t="str">
        <f>IF(DAY(Tabela1[[#This Row],[Informe a data]])&lt;=15,"1ª Quinzena","2ª Quinzena")</f>
        <v>1ª Quinzena</v>
      </c>
      <c r="AB268" s="56" t="str">
        <f>UPPER(TEXT(Tabela1[[#This Row],[Informe a data]],"mmmm"))</f>
        <v>ABRIL</v>
      </c>
      <c r="AC268" s="87" t="e">
        <f ca="1">_xlfn.CONCAT(Tabela1[[#This Row],[Selecione o Usuário]]," - ",TEXT(Tabela1[[#This Row],[Informe a data]],"dd-mm-aa"))</f>
        <v>#NAME?</v>
      </c>
    </row>
    <row r="269" spans="1:29">
      <c r="A269" s="49">
        <v>46125.252511574072</v>
      </c>
      <c r="B269" s="50" t="s">
        <v>300</v>
      </c>
      <c r="C269" s="50" t="s">
        <v>250</v>
      </c>
      <c r="D269" s="50" t="s">
        <v>228</v>
      </c>
      <c r="E269" s="51">
        <v>46122</v>
      </c>
      <c r="F269" s="52">
        <v>126639</v>
      </c>
      <c r="G269" s="58" t="s">
        <v>1006</v>
      </c>
      <c r="H269" s="52">
        <v>126710</v>
      </c>
      <c r="I269" s="58" t="s">
        <v>1007</v>
      </c>
      <c r="J269" s="50" t="s">
        <v>1008</v>
      </c>
      <c r="K269" s="53"/>
      <c r="L269" s="50" t="s">
        <v>60</v>
      </c>
      <c r="M269" s="53"/>
      <c r="N269" s="53"/>
      <c r="O269" s="53"/>
      <c r="P269" s="53"/>
      <c r="Q269" s="53"/>
      <c r="R269" s="53"/>
      <c r="S269" s="53"/>
      <c r="T269" s="53"/>
      <c r="U269" s="85">
        <f>(Tabela1[[#This Row],[Informe o KM final do dia]]-Tabela1[[#This Row],[Informe o KM inicial do dia]])-Tabela1[[#This Row],[Caso tenha rodado particular alguma parte do trajeto, informe o total de KM a ser deduzido.]]</f>
        <v>71</v>
      </c>
      <c r="V269" s="86">
        <f>IF(Tabela1[[#This Row],[Informe a data]]&lt;DATE(2026,3,16), Tabela1[[#This Row],[KM Rodado]]*1.1, Tabela1[[#This Row],[KM Rodado]]*1.23)</f>
        <v>87.33</v>
      </c>
      <c r="W269" s="86">
        <f>IFERROR(SUBSTITUTE(Tabela1[[#This Row],[Pedágio]],".",",",1)*1,0)</f>
        <v>0</v>
      </c>
      <c r="X269" s="86">
        <f>IFERROR(SUBSTITUTE(Tabela1[[#This Row],[Estacionamento]],".",",",1)*1,0)</f>
        <v>0</v>
      </c>
      <c r="Y269" s="86">
        <f>IFERROR(SUBSTITUTE(Tabela1[[#This Row],[Despesas Diversas 
(Jantar em viagem, Impressões, Etc)]],".",",",1)*1,0)</f>
        <v>0</v>
      </c>
      <c r="Z269" s="86">
        <f>IFERROR(SUBSTITUTE(Tabela1[[#This Row],[Hospedagem]],".",",",1)*1,0)</f>
        <v>0</v>
      </c>
      <c r="AA269" s="56" t="str">
        <f>IF(DAY(Tabela1[[#This Row],[Informe a data]])&lt;=15,"1ª Quinzena","2ª Quinzena")</f>
        <v>1ª Quinzena</v>
      </c>
      <c r="AB269" s="56" t="str">
        <f>UPPER(TEXT(Tabela1[[#This Row],[Informe a data]],"mmmm"))</f>
        <v>ABRIL</v>
      </c>
      <c r="AC269" s="87" t="e">
        <f ca="1">_xlfn.CONCAT(Tabela1[[#This Row],[Selecione o Usuário]]," - ",TEXT(Tabela1[[#This Row],[Informe a data]],"dd-mm-aa"))</f>
        <v>#NAME?</v>
      </c>
    </row>
    <row r="270" spans="1:29">
      <c r="A270" s="49">
        <v>46128.414467592593</v>
      </c>
      <c r="B270" s="50" t="s">
        <v>176</v>
      </c>
      <c r="C270" s="50" t="s">
        <v>136</v>
      </c>
      <c r="D270" s="50" t="s">
        <v>177</v>
      </c>
      <c r="E270" s="51">
        <v>46122</v>
      </c>
      <c r="F270" s="52">
        <v>171652</v>
      </c>
      <c r="G270" s="58" t="s">
        <v>1047</v>
      </c>
      <c r="H270" s="52">
        <v>171705</v>
      </c>
      <c r="I270" s="58" t="s">
        <v>1048</v>
      </c>
      <c r="J270" s="50" t="s">
        <v>1049</v>
      </c>
      <c r="K270" s="53"/>
      <c r="L270" s="50" t="s">
        <v>60</v>
      </c>
      <c r="M270" s="53"/>
      <c r="N270" s="53"/>
      <c r="O270" s="53"/>
      <c r="P270" s="53"/>
      <c r="Q270" s="53"/>
      <c r="R270" s="53"/>
      <c r="S270" s="53"/>
      <c r="T270" s="53"/>
      <c r="U270" s="85">
        <f>(Tabela1[[#This Row],[Informe o KM final do dia]]-Tabela1[[#This Row],[Informe o KM inicial do dia]])-Tabela1[[#This Row],[Caso tenha rodado particular alguma parte do trajeto, informe o total de KM a ser deduzido.]]</f>
        <v>53</v>
      </c>
      <c r="V270" s="86">
        <f>IF(Tabela1[[#This Row],[Informe a data]]&lt;DATE(2026,3,16), Tabela1[[#This Row],[KM Rodado]]*1.1, Tabela1[[#This Row],[KM Rodado]]*1.23)</f>
        <v>65.19</v>
      </c>
      <c r="W270" s="86">
        <f>IFERROR(SUBSTITUTE(Tabela1[[#This Row],[Pedágio]],".",",",1)*1,0)</f>
        <v>0</v>
      </c>
      <c r="X270" s="86">
        <f>IFERROR(SUBSTITUTE(Tabela1[[#This Row],[Estacionamento]],".",",",1)*1,0)</f>
        <v>0</v>
      </c>
      <c r="Y270" s="86">
        <f>IFERROR(SUBSTITUTE(Tabela1[[#This Row],[Despesas Diversas 
(Jantar em viagem, Impressões, Etc)]],".",",",1)*1,0)</f>
        <v>0</v>
      </c>
      <c r="Z270" s="86">
        <f>IFERROR(SUBSTITUTE(Tabela1[[#This Row],[Hospedagem]],".",",",1)*1,0)</f>
        <v>0</v>
      </c>
      <c r="AA270" s="56" t="str">
        <f>IF(DAY(Tabela1[[#This Row],[Informe a data]])&lt;=15,"1ª Quinzena","2ª Quinzena")</f>
        <v>1ª Quinzena</v>
      </c>
      <c r="AB270" s="56" t="str">
        <f>UPPER(TEXT(Tabela1[[#This Row],[Informe a data]],"mmmm"))</f>
        <v>ABRIL</v>
      </c>
      <c r="AC270" s="87" t="e">
        <f ca="1">_xlfn.CONCAT(Tabela1[[#This Row],[Selecione o Usuário]]," - ",TEXT(Tabela1[[#This Row],[Informe a data]],"dd-mm-aa"))</f>
        <v>#NAME?</v>
      </c>
    </row>
    <row r="271" spans="1:29">
      <c r="A271" s="89">
        <v>46123.416458333333</v>
      </c>
      <c r="B271" s="90" t="s">
        <v>140</v>
      </c>
      <c r="C271" s="90" t="s">
        <v>141</v>
      </c>
      <c r="D271" s="90" t="s">
        <v>169</v>
      </c>
      <c r="E271" s="91">
        <v>46122</v>
      </c>
      <c r="F271" s="92">
        <v>60174</v>
      </c>
      <c r="G271" s="94"/>
      <c r="H271" s="92">
        <v>60332</v>
      </c>
      <c r="I271" s="94"/>
      <c r="J271" s="90" t="s">
        <v>999</v>
      </c>
      <c r="K271" s="94"/>
      <c r="L271" s="90" t="s">
        <v>60</v>
      </c>
      <c r="M271" s="94"/>
      <c r="N271" s="94"/>
      <c r="O271" s="94"/>
      <c r="P271" s="94"/>
      <c r="Q271" s="94"/>
      <c r="R271" s="94"/>
      <c r="S271" s="94"/>
      <c r="T271" s="94"/>
      <c r="U271" s="85">
        <f>(Tabela1[[#This Row],[Informe o KM final do dia]]-Tabela1[[#This Row],[Informe o KM inicial do dia]])-Tabela1[[#This Row],[Caso tenha rodado particular alguma parte do trajeto, informe o total de KM a ser deduzido.]]</f>
        <v>158</v>
      </c>
      <c r="V271" s="86">
        <f>IF(Tabela1[[#This Row],[Informe a data]]&lt;DATE(2026,3,16), Tabela1[[#This Row],[KM Rodado]]*1.1, Tabela1[[#This Row],[KM Rodado]]*1.23)</f>
        <v>194.34</v>
      </c>
      <c r="W271" s="86">
        <f>IFERROR(SUBSTITUTE(Tabela1[[#This Row],[Pedágio]],".",",",1)*1,0)</f>
        <v>0</v>
      </c>
      <c r="X271" s="86">
        <f>IFERROR(SUBSTITUTE(Tabela1[[#This Row],[Estacionamento]],".",",",1)*1,0)</f>
        <v>0</v>
      </c>
      <c r="Y271" s="86">
        <f>IFERROR(SUBSTITUTE(Tabela1[[#This Row],[Despesas Diversas 
(Jantar em viagem, Impressões, Etc)]],".",",",1)*1,0)</f>
        <v>0</v>
      </c>
      <c r="Z271" s="86">
        <f>IFERROR(SUBSTITUTE(Tabela1[[#This Row],[Hospedagem]],".",",",1)*1,0)</f>
        <v>0</v>
      </c>
      <c r="AA271" s="56" t="str">
        <f>IF(DAY(Tabela1[[#This Row],[Informe a data]])&lt;=15,"1ª Quinzena","2ª Quinzena")</f>
        <v>1ª Quinzena</v>
      </c>
      <c r="AB271" s="56" t="str">
        <f>UPPER(TEXT(Tabela1[[#This Row],[Informe a data]],"mmmm"))</f>
        <v>ABRIL</v>
      </c>
      <c r="AC271" s="87" t="e">
        <f ca="1">_xlfn.CONCAT(Tabela1[[#This Row],[Selecione o Usuário]]," - ",TEXT(Tabela1[[#This Row],[Informe a data]],"dd-mm-aa"))</f>
        <v>#NAME?</v>
      </c>
    </row>
    <row r="272" spans="1:29">
      <c r="A272" s="49">
        <v>46126.699803240743</v>
      </c>
      <c r="B272" s="50" t="s">
        <v>300</v>
      </c>
      <c r="C272" s="50" t="s">
        <v>250</v>
      </c>
      <c r="D272" s="50" t="s">
        <v>228</v>
      </c>
      <c r="E272" s="51">
        <v>46125</v>
      </c>
      <c r="F272" s="52">
        <v>126815</v>
      </c>
      <c r="G272" s="58" t="s">
        <v>1012</v>
      </c>
      <c r="H272" s="52">
        <v>126895</v>
      </c>
      <c r="I272" s="58" t="s">
        <v>1013</v>
      </c>
      <c r="J272" s="50" t="s">
        <v>1014</v>
      </c>
      <c r="K272" s="53"/>
      <c r="L272" s="50" t="s">
        <v>60</v>
      </c>
      <c r="M272" s="53"/>
      <c r="N272" s="53"/>
      <c r="O272" s="53"/>
      <c r="P272" s="53"/>
      <c r="Q272" s="53"/>
      <c r="R272" s="53"/>
      <c r="S272" s="53"/>
      <c r="T272" s="53"/>
      <c r="U272" s="85">
        <f>(Tabela1[[#This Row],[Informe o KM final do dia]]-Tabela1[[#This Row],[Informe o KM inicial do dia]])-Tabela1[[#This Row],[Caso tenha rodado particular alguma parte do trajeto, informe o total de KM a ser deduzido.]]</f>
        <v>80</v>
      </c>
      <c r="V272" s="86">
        <f>IF(Tabela1[[#This Row],[Informe a data]]&lt;DATE(2026,3,16), Tabela1[[#This Row],[KM Rodado]]*1.1, Tabela1[[#This Row],[KM Rodado]]*1.23)</f>
        <v>98.4</v>
      </c>
      <c r="W272" s="86">
        <f>IFERROR(SUBSTITUTE(Tabela1[[#This Row],[Pedágio]],".",",",1)*1,0)</f>
        <v>0</v>
      </c>
      <c r="X272" s="86">
        <f>IFERROR(SUBSTITUTE(Tabela1[[#This Row],[Estacionamento]],".",",",1)*1,0)</f>
        <v>0</v>
      </c>
      <c r="Y272" s="86">
        <f>IFERROR(SUBSTITUTE(Tabela1[[#This Row],[Despesas Diversas 
(Jantar em viagem, Impressões, Etc)]],".",",",1)*1,0)</f>
        <v>0</v>
      </c>
      <c r="Z272" s="86">
        <f>IFERROR(SUBSTITUTE(Tabela1[[#This Row],[Hospedagem]],".",",",1)*1,0)</f>
        <v>0</v>
      </c>
      <c r="AA272" s="56" t="str">
        <f>IF(DAY(Tabela1[[#This Row],[Informe a data]])&lt;=15,"1ª Quinzena","2ª Quinzena")</f>
        <v>1ª Quinzena</v>
      </c>
      <c r="AB272" s="56" t="str">
        <f>UPPER(TEXT(Tabela1[[#This Row],[Informe a data]],"mmmm"))</f>
        <v>ABRIL</v>
      </c>
      <c r="AC272" s="87" t="e">
        <f ca="1">_xlfn.CONCAT(Tabela1[[#This Row],[Selecione o Usuário]]," - ",TEXT(Tabela1[[#This Row],[Informe a data]],"dd-mm-aa"))</f>
        <v>#NAME?</v>
      </c>
    </row>
    <row r="273" spans="1:29">
      <c r="A273" s="49">
        <v>46126.815752314818</v>
      </c>
      <c r="B273" s="50" t="s">
        <v>131</v>
      </c>
      <c r="C273" s="50" t="s">
        <v>132</v>
      </c>
      <c r="D273" s="50" t="s">
        <v>133</v>
      </c>
      <c r="E273" s="51">
        <v>46126</v>
      </c>
      <c r="F273" s="52">
        <v>191593</v>
      </c>
      <c r="G273" s="58" t="s">
        <v>1018</v>
      </c>
      <c r="H273" s="52">
        <v>191681</v>
      </c>
      <c r="I273" s="58" t="s">
        <v>1019</v>
      </c>
      <c r="J273" s="50" t="s">
        <v>1020</v>
      </c>
      <c r="K273" s="53"/>
      <c r="L273" s="50" t="s">
        <v>61</v>
      </c>
      <c r="M273" s="53"/>
      <c r="N273" s="53"/>
      <c r="O273" s="53"/>
      <c r="P273" s="53"/>
      <c r="Q273" s="50" t="s">
        <v>1021</v>
      </c>
      <c r="R273" s="50" t="s">
        <v>1022</v>
      </c>
      <c r="S273" s="53"/>
      <c r="T273" s="53"/>
      <c r="U273" s="85">
        <f>(Tabela1[[#This Row],[Informe o KM final do dia]]-Tabela1[[#This Row],[Informe o KM inicial do dia]])-Tabela1[[#This Row],[Caso tenha rodado particular alguma parte do trajeto, informe o total de KM a ser deduzido.]]</f>
        <v>88</v>
      </c>
      <c r="V273" s="86">
        <f>IF(Tabela1[[#This Row],[Informe a data]]&lt;DATE(2026,3,16), Tabela1[[#This Row],[KM Rodado]]*1.1, Tabela1[[#This Row],[KM Rodado]]*1.23)</f>
        <v>108.24</v>
      </c>
      <c r="W273" s="86">
        <f>IFERROR(SUBSTITUTE(Tabela1[[#This Row],[Pedágio]],".",",",1)*1,0)</f>
        <v>0</v>
      </c>
      <c r="X273" s="86">
        <f>IFERROR(SUBSTITUTE(Tabela1[[#This Row],[Estacionamento]],".",",",1)*1,0)</f>
        <v>0</v>
      </c>
      <c r="Y273" s="86">
        <f>IFERROR(SUBSTITUTE(Tabela1[[#This Row],[Despesas Diversas 
(Jantar em viagem, Impressões, Etc)]],".",",",1)*1,0)</f>
        <v>56.65</v>
      </c>
      <c r="Z273" s="86">
        <f>IFERROR(SUBSTITUTE(Tabela1[[#This Row],[Hospedagem]],".",",",1)*1,0)</f>
        <v>0</v>
      </c>
      <c r="AA273" s="56" t="str">
        <f>IF(DAY(Tabela1[[#This Row],[Informe a data]])&lt;=15,"1ª Quinzena","2ª Quinzena")</f>
        <v>1ª Quinzena</v>
      </c>
      <c r="AB273" s="56" t="str">
        <f>UPPER(TEXT(Tabela1[[#This Row],[Informe a data]],"mmmm"))</f>
        <v>ABRIL</v>
      </c>
      <c r="AC273" s="87" t="e">
        <f ca="1">_xlfn.CONCAT(Tabela1[[#This Row],[Selecione o Usuário]]," - ",TEXT(Tabela1[[#This Row],[Informe a data]],"dd-mm-aa"))</f>
        <v>#NAME?</v>
      </c>
    </row>
    <row r="274" spans="1:29">
      <c r="A274" s="89">
        <v>46126.631562499999</v>
      </c>
      <c r="B274" s="90" t="s">
        <v>497</v>
      </c>
      <c r="C274" s="90" t="s">
        <v>498</v>
      </c>
      <c r="D274" s="90" t="s">
        <v>499</v>
      </c>
      <c r="E274" s="91">
        <v>46126</v>
      </c>
      <c r="F274" s="92">
        <v>305430</v>
      </c>
      <c r="G274" s="93" t="s">
        <v>1009</v>
      </c>
      <c r="H274" s="92">
        <v>305559</v>
      </c>
      <c r="I274" s="93" t="s">
        <v>1010</v>
      </c>
      <c r="J274" s="90" t="s">
        <v>1011</v>
      </c>
      <c r="K274" s="94"/>
      <c r="L274" s="90" t="s">
        <v>60</v>
      </c>
      <c r="M274" s="94"/>
      <c r="N274" s="94"/>
      <c r="O274" s="94"/>
      <c r="P274" s="94"/>
      <c r="Q274" s="94"/>
      <c r="R274" s="94"/>
      <c r="S274" s="94"/>
      <c r="T274" s="94"/>
      <c r="U274" s="85">
        <f>(Tabela1[[#This Row],[Informe o KM final do dia]]-Tabela1[[#This Row],[Informe o KM inicial do dia]])-Tabela1[[#This Row],[Caso tenha rodado particular alguma parte do trajeto, informe o total de KM a ser deduzido.]]</f>
        <v>129</v>
      </c>
      <c r="V274" s="86">
        <f>IF(Tabela1[[#This Row],[Informe a data]]&lt;DATE(2026,3,16), Tabela1[[#This Row],[KM Rodado]]*1.1, Tabela1[[#This Row],[KM Rodado]]*1.23)</f>
        <v>158.66999999999999</v>
      </c>
      <c r="W274" s="86">
        <f>IFERROR(SUBSTITUTE(Tabela1[[#This Row],[Pedágio]],".",",",1)*1,0)</f>
        <v>0</v>
      </c>
      <c r="X274" s="86">
        <f>IFERROR(SUBSTITUTE(Tabela1[[#This Row],[Estacionamento]],".",",",1)*1,0)</f>
        <v>0</v>
      </c>
      <c r="Y274" s="86">
        <f>IFERROR(SUBSTITUTE(Tabela1[[#This Row],[Despesas Diversas 
(Jantar em viagem, Impressões, Etc)]],".",",",1)*1,0)</f>
        <v>0</v>
      </c>
      <c r="Z274" s="86">
        <f>IFERROR(SUBSTITUTE(Tabela1[[#This Row],[Hospedagem]],".",",",1)*1,0)</f>
        <v>0</v>
      </c>
      <c r="AA274" s="56" t="str">
        <f>IF(DAY(Tabela1[[#This Row],[Informe a data]])&lt;=15,"1ª Quinzena","2ª Quinzena")</f>
        <v>1ª Quinzena</v>
      </c>
      <c r="AB274" s="56" t="str">
        <f>UPPER(TEXT(Tabela1[[#This Row],[Informe a data]],"mmmm"))</f>
        <v>ABRIL</v>
      </c>
      <c r="AC274" s="87" t="e">
        <f ca="1">_xlfn.CONCAT(Tabela1[[#This Row],[Selecione o Usuário]]," - ",TEXT(Tabela1[[#This Row],[Informe a data]],"dd-mm-aa"))</f>
        <v>#NAME?</v>
      </c>
    </row>
    <row r="275" spans="1:29">
      <c r="A275" s="49">
        <v>46127.546342592592</v>
      </c>
      <c r="B275" s="50" t="s">
        <v>208</v>
      </c>
      <c r="C275" s="50" t="s">
        <v>134</v>
      </c>
      <c r="D275" s="50" t="s">
        <v>209</v>
      </c>
      <c r="E275" s="51">
        <v>46126</v>
      </c>
      <c r="F275" s="52">
        <v>167352</v>
      </c>
      <c r="G275" s="53"/>
      <c r="H275" s="52">
        <v>167740</v>
      </c>
      <c r="I275" s="53"/>
      <c r="J275" s="50" t="s">
        <v>1026</v>
      </c>
      <c r="K275" s="53"/>
      <c r="L275" s="50" t="s">
        <v>60</v>
      </c>
      <c r="M275" s="53"/>
      <c r="N275" s="53"/>
      <c r="O275" s="53"/>
      <c r="P275" s="53"/>
      <c r="Q275" s="53"/>
      <c r="R275" s="53"/>
      <c r="S275" s="53"/>
      <c r="T275" s="53"/>
      <c r="U275" s="85">
        <f>(Tabela1[[#This Row],[Informe o KM final do dia]]-Tabela1[[#This Row],[Informe o KM inicial do dia]])-Tabela1[[#This Row],[Caso tenha rodado particular alguma parte do trajeto, informe o total de KM a ser deduzido.]]</f>
        <v>388</v>
      </c>
      <c r="V275" s="86">
        <f>IF(Tabela1[[#This Row],[Informe a data]]&lt;DATE(2026,3,16), Tabela1[[#This Row],[KM Rodado]]*1.1, Tabela1[[#This Row],[KM Rodado]]*1.23)</f>
        <v>477.24</v>
      </c>
      <c r="W275" s="86">
        <f>IFERROR(SUBSTITUTE(Tabela1[[#This Row],[Pedágio]],".",",",1)*1,0)</f>
        <v>0</v>
      </c>
      <c r="X275" s="86">
        <f>IFERROR(SUBSTITUTE(Tabela1[[#This Row],[Estacionamento]],".",",",1)*1,0)</f>
        <v>0</v>
      </c>
      <c r="Y275" s="86">
        <f>IFERROR(SUBSTITUTE(Tabela1[[#This Row],[Despesas Diversas 
(Jantar em viagem, Impressões, Etc)]],".",",",1)*1,0)</f>
        <v>0</v>
      </c>
      <c r="Z275" s="86">
        <f>IFERROR(SUBSTITUTE(Tabela1[[#This Row],[Hospedagem]],".",",",1)*1,0)</f>
        <v>0</v>
      </c>
      <c r="AA275" s="56" t="str">
        <f>IF(DAY(Tabela1[[#This Row],[Informe a data]])&lt;=15,"1ª Quinzena","2ª Quinzena")</f>
        <v>1ª Quinzena</v>
      </c>
      <c r="AB275" s="56" t="str">
        <f>UPPER(TEXT(Tabela1[[#This Row],[Informe a data]],"mmmm"))</f>
        <v>ABRIL</v>
      </c>
      <c r="AC275" s="87" t="e">
        <f ca="1">_xlfn.CONCAT(Tabela1[[#This Row],[Selecione o Usuário]]," - ",TEXT(Tabela1[[#This Row],[Informe a data]],"dd-mm-aa"))</f>
        <v>#NAME?</v>
      </c>
    </row>
    <row r="276" spans="1:29">
      <c r="A276" s="89">
        <v>46126.762060185189</v>
      </c>
      <c r="B276" s="90" t="s">
        <v>504</v>
      </c>
      <c r="C276" s="90" t="s">
        <v>505</v>
      </c>
      <c r="D276" s="90" t="s">
        <v>551</v>
      </c>
      <c r="E276" s="91">
        <v>46126</v>
      </c>
      <c r="F276" s="92">
        <v>103042</v>
      </c>
      <c r="G276" s="93" t="s">
        <v>1015</v>
      </c>
      <c r="H276" s="92">
        <v>103105</v>
      </c>
      <c r="I276" s="93" t="s">
        <v>1016</v>
      </c>
      <c r="J276" s="90" t="s">
        <v>1017</v>
      </c>
      <c r="K276" s="94"/>
      <c r="L276" s="90" t="s">
        <v>60</v>
      </c>
      <c r="M276" s="94"/>
      <c r="N276" s="94"/>
      <c r="O276" s="94"/>
      <c r="P276" s="94"/>
      <c r="Q276" s="94"/>
      <c r="R276" s="94"/>
      <c r="S276" s="94"/>
      <c r="T276" s="94"/>
      <c r="U276" s="85">
        <f>(Tabela1[[#This Row],[Informe o KM final do dia]]-Tabela1[[#This Row],[Informe o KM inicial do dia]])-Tabela1[[#This Row],[Caso tenha rodado particular alguma parte do trajeto, informe o total de KM a ser deduzido.]]</f>
        <v>63</v>
      </c>
      <c r="V276" s="86">
        <f>IF(Tabela1[[#This Row],[Informe a data]]&lt;DATE(2026,3,16), Tabela1[[#This Row],[KM Rodado]]*1.1, Tabela1[[#This Row],[KM Rodado]]*1.23)</f>
        <v>77.489999999999995</v>
      </c>
      <c r="W276" s="86">
        <f>IFERROR(SUBSTITUTE(Tabela1[[#This Row],[Pedágio]],".",",",1)*1,0)</f>
        <v>0</v>
      </c>
      <c r="X276" s="86">
        <f>IFERROR(SUBSTITUTE(Tabela1[[#This Row],[Estacionamento]],".",",",1)*1,0)</f>
        <v>0</v>
      </c>
      <c r="Y276" s="86">
        <f>IFERROR(SUBSTITUTE(Tabela1[[#This Row],[Despesas Diversas 
(Jantar em viagem, Impressões, Etc)]],".",",",1)*1,0)</f>
        <v>0</v>
      </c>
      <c r="Z276" s="86">
        <f>IFERROR(SUBSTITUTE(Tabela1[[#This Row],[Hospedagem]],".",",",1)*1,0)</f>
        <v>0</v>
      </c>
      <c r="AA276" s="56" t="str">
        <f>IF(DAY(Tabela1[[#This Row],[Informe a data]])&lt;=15,"1ª Quinzena","2ª Quinzena")</f>
        <v>1ª Quinzena</v>
      </c>
      <c r="AB276" s="56" t="str">
        <f>UPPER(TEXT(Tabela1[[#This Row],[Informe a data]],"mmmm"))</f>
        <v>ABRIL</v>
      </c>
      <c r="AC276" s="87" t="e">
        <f ca="1">_xlfn.CONCAT(Tabela1[[#This Row],[Selecione o Usuário]]," - ",TEXT(Tabela1[[#This Row],[Informe a data]],"dd-mm-aa"))</f>
        <v>#NAME?</v>
      </c>
    </row>
    <row r="277" spans="1:29">
      <c r="A277" s="89">
        <v>46127.411180555559</v>
      </c>
      <c r="B277" s="90" t="s">
        <v>300</v>
      </c>
      <c r="C277" s="90" t="s">
        <v>250</v>
      </c>
      <c r="D277" s="90" t="s">
        <v>228</v>
      </c>
      <c r="E277" s="91">
        <v>46126</v>
      </c>
      <c r="F277" s="92">
        <v>126895</v>
      </c>
      <c r="G277" s="93" t="s">
        <v>1023</v>
      </c>
      <c r="H277" s="92">
        <v>127097</v>
      </c>
      <c r="I277" s="93" t="s">
        <v>1024</v>
      </c>
      <c r="J277" s="90" t="s">
        <v>1025</v>
      </c>
      <c r="K277" s="94"/>
      <c r="L277" s="90" t="s">
        <v>60</v>
      </c>
      <c r="M277" s="94"/>
      <c r="N277" s="94"/>
      <c r="O277" s="94"/>
      <c r="P277" s="94"/>
      <c r="Q277" s="94"/>
      <c r="R277" s="94"/>
      <c r="S277" s="94"/>
      <c r="T277" s="94"/>
      <c r="U277" s="85">
        <f>(Tabela1[[#This Row],[Informe o KM final do dia]]-Tabela1[[#This Row],[Informe o KM inicial do dia]])-Tabela1[[#This Row],[Caso tenha rodado particular alguma parte do trajeto, informe o total de KM a ser deduzido.]]</f>
        <v>202</v>
      </c>
      <c r="V277" s="86">
        <f>IF(Tabela1[[#This Row],[Informe a data]]&lt;DATE(2026,3,16), Tabela1[[#This Row],[KM Rodado]]*1.1, Tabela1[[#This Row],[KM Rodado]]*1.23)</f>
        <v>248.46</v>
      </c>
      <c r="W277" s="86">
        <f>IFERROR(SUBSTITUTE(Tabela1[[#This Row],[Pedágio]],".",",",1)*1,0)</f>
        <v>0</v>
      </c>
      <c r="X277" s="86">
        <f>IFERROR(SUBSTITUTE(Tabela1[[#This Row],[Estacionamento]],".",",",1)*1,0)</f>
        <v>0</v>
      </c>
      <c r="Y277" s="86">
        <f>IFERROR(SUBSTITUTE(Tabela1[[#This Row],[Despesas Diversas 
(Jantar em viagem, Impressões, Etc)]],".",",",1)*1,0)</f>
        <v>0</v>
      </c>
      <c r="Z277" s="86">
        <f>IFERROR(SUBSTITUTE(Tabela1[[#This Row],[Hospedagem]],".",",",1)*1,0)</f>
        <v>0</v>
      </c>
      <c r="AA277" s="56" t="str">
        <f>IF(DAY(Tabela1[[#This Row],[Informe a data]])&lt;=15,"1ª Quinzena","2ª Quinzena")</f>
        <v>1ª Quinzena</v>
      </c>
      <c r="AB277" s="56" t="str">
        <f>UPPER(TEXT(Tabela1[[#This Row],[Informe a data]],"mmmm"))</f>
        <v>ABRIL</v>
      </c>
      <c r="AC277" s="87" t="e">
        <f ca="1">_xlfn.CONCAT(Tabela1[[#This Row],[Selecione o Usuário]]," - ",TEXT(Tabela1[[#This Row],[Informe a data]],"dd-mm-aa"))</f>
        <v>#NAME?</v>
      </c>
    </row>
    <row r="278" spans="1:29">
      <c r="A278" s="49">
        <v>46128.391238425924</v>
      </c>
      <c r="B278" s="50" t="s">
        <v>140</v>
      </c>
      <c r="C278" s="50" t="s">
        <v>141</v>
      </c>
      <c r="D278" s="50" t="s">
        <v>169</v>
      </c>
      <c r="E278" s="51">
        <v>46126</v>
      </c>
      <c r="F278" s="52">
        <v>209180</v>
      </c>
      <c r="G278" s="53"/>
      <c r="H278" s="52">
        <v>209210</v>
      </c>
      <c r="I278" s="53"/>
      <c r="J278" s="50" t="s">
        <v>1040</v>
      </c>
      <c r="K278" s="53"/>
      <c r="L278" s="50" t="s">
        <v>60</v>
      </c>
      <c r="M278" s="53"/>
      <c r="N278" s="53"/>
      <c r="O278" s="53"/>
      <c r="P278" s="53"/>
      <c r="Q278" s="53"/>
      <c r="R278" s="53"/>
      <c r="S278" s="53"/>
      <c r="T278" s="53"/>
      <c r="U278" s="85">
        <f>(Tabela1[[#This Row],[Informe o KM final do dia]]-Tabela1[[#This Row],[Informe o KM inicial do dia]])-Tabela1[[#This Row],[Caso tenha rodado particular alguma parte do trajeto, informe o total de KM a ser deduzido.]]</f>
        <v>30</v>
      </c>
      <c r="V278" s="86">
        <f>IF(Tabela1[[#This Row],[Informe a data]]&lt;DATE(2026,3,16), Tabela1[[#This Row],[KM Rodado]]*1.1, Tabela1[[#This Row],[KM Rodado]]*1.23)</f>
        <v>36.9</v>
      </c>
      <c r="W278" s="86">
        <f>IFERROR(SUBSTITUTE(Tabela1[[#This Row],[Pedágio]],".",",",1)*1,0)</f>
        <v>0</v>
      </c>
      <c r="X278" s="86">
        <f>IFERROR(SUBSTITUTE(Tabela1[[#This Row],[Estacionamento]],".",",",1)*1,0)</f>
        <v>0</v>
      </c>
      <c r="Y278" s="86">
        <f>IFERROR(SUBSTITUTE(Tabela1[[#This Row],[Despesas Diversas 
(Jantar em viagem, Impressões, Etc)]],".",",",1)*1,0)</f>
        <v>0</v>
      </c>
      <c r="Z278" s="86">
        <f>IFERROR(SUBSTITUTE(Tabela1[[#This Row],[Hospedagem]],".",",",1)*1,0)</f>
        <v>0</v>
      </c>
      <c r="AA278" s="56" t="str">
        <f>IF(DAY(Tabela1[[#This Row],[Informe a data]])&lt;=15,"1ª Quinzena","2ª Quinzena")</f>
        <v>1ª Quinzena</v>
      </c>
      <c r="AB278" s="56" t="str">
        <f>UPPER(TEXT(Tabela1[[#This Row],[Informe a data]],"mmmm"))</f>
        <v>ABRIL</v>
      </c>
      <c r="AC278" s="87" t="e">
        <f ca="1">_xlfn.CONCAT(Tabela1[[#This Row],[Selecione o Usuário]]," - ",TEXT(Tabela1[[#This Row],[Informe a data]],"dd-mm-aa"))</f>
        <v>#NAME?</v>
      </c>
    </row>
    <row r="279" spans="1:29">
      <c r="A279" s="89">
        <v>46127.958495370367</v>
      </c>
      <c r="B279" s="90" t="s">
        <v>131</v>
      </c>
      <c r="C279" s="90" t="s">
        <v>132</v>
      </c>
      <c r="D279" s="90" t="s">
        <v>133</v>
      </c>
      <c r="E279" s="91">
        <v>46127</v>
      </c>
      <c r="F279" s="92">
        <v>191681</v>
      </c>
      <c r="G279" s="93" t="s">
        <v>1033</v>
      </c>
      <c r="H279" s="92">
        <v>191929</v>
      </c>
      <c r="I279" s="93" t="s">
        <v>1034</v>
      </c>
      <c r="J279" s="90" t="s">
        <v>1035</v>
      </c>
      <c r="K279" s="94"/>
      <c r="L279" s="90" t="s">
        <v>61</v>
      </c>
      <c r="M279" s="90" t="s">
        <v>1036</v>
      </c>
      <c r="N279" s="93" t="s">
        <v>1037</v>
      </c>
      <c r="O279" s="90" t="s">
        <v>317</v>
      </c>
      <c r="P279" s="93" t="s">
        <v>1038</v>
      </c>
      <c r="Q279" s="90">
        <v>35</v>
      </c>
      <c r="R279" s="93" t="s">
        <v>1039</v>
      </c>
      <c r="S279" s="94"/>
      <c r="T279" s="94"/>
      <c r="U279" s="85">
        <f>(Tabela1[[#This Row],[Informe o KM final do dia]]-Tabela1[[#This Row],[Informe o KM inicial do dia]])-Tabela1[[#This Row],[Caso tenha rodado particular alguma parte do trajeto, informe o total de KM a ser deduzido.]]</f>
        <v>248</v>
      </c>
      <c r="V279" s="86">
        <f>IF(Tabela1[[#This Row],[Informe a data]]&lt;DATE(2026,3,16), Tabela1[[#This Row],[KM Rodado]]*1.1, Tabela1[[#This Row],[KM Rodado]]*1.23)</f>
        <v>305.04000000000002</v>
      </c>
      <c r="W279" s="86">
        <f>IFERROR(SUBSTITUTE(Tabela1[[#This Row],[Pedágio]],".",",",1)*1,0)</f>
        <v>20.7</v>
      </c>
      <c r="X279" s="86">
        <f>IFERROR(SUBSTITUTE(Tabela1[[#This Row],[Estacionamento]],".",",",1)*1,0)</f>
        <v>20</v>
      </c>
      <c r="Y279" s="86">
        <f>IFERROR(SUBSTITUTE(Tabela1[[#This Row],[Despesas Diversas 
(Jantar em viagem, Impressões, Etc)]],".",",",1)*1,0)</f>
        <v>35</v>
      </c>
      <c r="Z279" s="86">
        <f>IFERROR(SUBSTITUTE(Tabela1[[#This Row],[Hospedagem]],".",",",1)*1,0)</f>
        <v>0</v>
      </c>
      <c r="AA279" s="56" t="str">
        <f>IF(DAY(Tabela1[[#This Row],[Informe a data]])&lt;=15,"1ª Quinzena","2ª Quinzena")</f>
        <v>1ª Quinzena</v>
      </c>
      <c r="AB279" s="56" t="str">
        <f>UPPER(TEXT(Tabela1[[#This Row],[Informe a data]],"mmmm"))</f>
        <v>ABRIL</v>
      </c>
      <c r="AC279" s="87" t="e">
        <f ca="1">_xlfn.CONCAT(Tabela1[[#This Row],[Selecione o Usuário]]," - ",TEXT(Tabela1[[#This Row],[Informe a data]],"dd-mm-aa"))</f>
        <v>#NAME?</v>
      </c>
    </row>
    <row r="280" spans="1:29">
      <c r="A280" s="49">
        <v>46127.747083333335</v>
      </c>
      <c r="B280" s="50" t="s">
        <v>504</v>
      </c>
      <c r="C280" s="50" t="s">
        <v>505</v>
      </c>
      <c r="D280" s="50" t="s">
        <v>506</v>
      </c>
      <c r="E280" s="51">
        <v>46127</v>
      </c>
      <c r="F280" s="52">
        <v>103083</v>
      </c>
      <c r="G280" s="58" t="s">
        <v>1030</v>
      </c>
      <c r="H280" s="52">
        <v>103211</v>
      </c>
      <c r="I280" s="58" t="s">
        <v>1031</v>
      </c>
      <c r="J280" s="50" t="s">
        <v>1032</v>
      </c>
      <c r="K280" s="53"/>
      <c r="L280" s="50" t="s">
        <v>60</v>
      </c>
      <c r="M280" s="53"/>
      <c r="N280" s="53"/>
      <c r="O280" s="53"/>
      <c r="P280" s="53"/>
      <c r="Q280" s="53"/>
      <c r="R280" s="53"/>
      <c r="S280" s="53"/>
      <c r="T280" s="53"/>
      <c r="U280" s="85">
        <f>(Tabela1[[#This Row],[Informe o KM final do dia]]-Tabela1[[#This Row],[Informe o KM inicial do dia]])-Tabela1[[#This Row],[Caso tenha rodado particular alguma parte do trajeto, informe o total de KM a ser deduzido.]]</f>
        <v>128</v>
      </c>
      <c r="V280" s="86">
        <f>IF(Tabela1[[#This Row],[Informe a data]]&lt;DATE(2026,3,16), Tabela1[[#This Row],[KM Rodado]]*1.1, Tabela1[[#This Row],[KM Rodado]]*1.23)</f>
        <v>157.44</v>
      </c>
      <c r="W280" s="86">
        <f>IFERROR(SUBSTITUTE(Tabela1[[#This Row],[Pedágio]],".",",",1)*1,0)</f>
        <v>0</v>
      </c>
      <c r="X280" s="86">
        <f>IFERROR(SUBSTITUTE(Tabela1[[#This Row],[Estacionamento]],".",",",1)*1,0)</f>
        <v>0</v>
      </c>
      <c r="Y280" s="86">
        <f>IFERROR(SUBSTITUTE(Tabela1[[#This Row],[Despesas Diversas 
(Jantar em viagem, Impressões, Etc)]],".",",",1)*1,0)</f>
        <v>0</v>
      </c>
      <c r="Z280" s="86">
        <f>IFERROR(SUBSTITUTE(Tabela1[[#This Row],[Hospedagem]],".",",",1)*1,0)</f>
        <v>0</v>
      </c>
      <c r="AA280" s="56" t="str">
        <f>IF(DAY(Tabela1[[#This Row],[Informe a data]])&lt;=15,"1ª Quinzena","2ª Quinzena")</f>
        <v>1ª Quinzena</v>
      </c>
      <c r="AB280" s="56" t="str">
        <f>UPPER(TEXT(Tabela1[[#This Row],[Informe a data]],"mmmm"))</f>
        <v>ABRIL</v>
      </c>
      <c r="AC280" s="87" t="e">
        <f ca="1">_xlfn.CONCAT(Tabela1[[#This Row],[Selecione o Usuário]]," - ",TEXT(Tabela1[[#This Row],[Informe a data]],"dd-mm-aa"))</f>
        <v>#NAME?</v>
      </c>
    </row>
    <row r="281" spans="1:29">
      <c r="A281" s="89">
        <v>46127.74423611111</v>
      </c>
      <c r="B281" s="90" t="s">
        <v>300</v>
      </c>
      <c r="C281" s="90" t="s">
        <v>250</v>
      </c>
      <c r="D281" s="90" t="s">
        <v>228</v>
      </c>
      <c r="E281" s="91">
        <v>46127</v>
      </c>
      <c r="F281" s="92">
        <v>127097</v>
      </c>
      <c r="G281" s="93" t="s">
        <v>1027</v>
      </c>
      <c r="H281" s="92">
        <v>127215</v>
      </c>
      <c r="I281" s="93" t="s">
        <v>1028</v>
      </c>
      <c r="J281" s="90" t="s">
        <v>1029</v>
      </c>
      <c r="K281" s="94"/>
      <c r="L281" s="90" t="s">
        <v>60</v>
      </c>
      <c r="M281" s="94"/>
      <c r="N281" s="94"/>
      <c r="O281" s="94"/>
      <c r="P281" s="94"/>
      <c r="Q281" s="94"/>
      <c r="R281" s="94"/>
      <c r="S281" s="94"/>
      <c r="T281" s="94"/>
      <c r="U281" s="85">
        <f>(Tabela1[[#This Row],[Informe o KM final do dia]]-Tabela1[[#This Row],[Informe o KM inicial do dia]])-Tabela1[[#This Row],[Caso tenha rodado particular alguma parte do trajeto, informe o total de KM a ser deduzido.]]</f>
        <v>118</v>
      </c>
      <c r="V281" s="86">
        <f>IF(Tabela1[[#This Row],[Informe a data]]&lt;DATE(2026,3,16), Tabela1[[#This Row],[KM Rodado]]*1.1, Tabela1[[#This Row],[KM Rodado]]*1.23)</f>
        <v>145.13999999999999</v>
      </c>
      <c r="W281" s="86">
        <f>IFERROR(SUBSTITUTE(Tabela1[[#This Row],[Pedágio]],".",",",1)*1,0)</f>
        <v>0</v>
      </c>
      <c r="X281" s="86">
        <f>IFERROR(SUBSTITUTE(Tabela1[[#This Row],[Estacionamento]],".",",",1)*1,0)</f>
        <v>0</v>
      </c>
      <c r="Y281" s="86">
        <f>IFERROR(SUBSTITUTE(Tabela1[[#This Row],[Despesas Diversas 
(Jantar em viagem, Impressões, Etc)]],".",",",1)*1,0)</f>
        <v>0</v>
      </c>
      <c r="Z281" s="86">
        <f>IFERROR(SUBSTITUTE(Tabela1[[#This Row],[Hospedagem]],".",",",1)*1,0)</f>
        <v>0</v>
      </c>
      <c r="AA281" s="56" t="str">
        <f>IF(DAY(Tabela1[[#This Row],[Informe a data]])&lt;=15,"1ª Quinzena","2ª Quinzena")</f>
        <v>1ª Quinzena</v>
      </c>
      <c r="AB281" s="56" t="str">
        <f>UPPER(TEXT(Tabela1[[#This Row],[Informe a data]],"mmmm"))</f>
        <v>ABRIL</v>
      </c>
      <c r="AC281" s="87" t="e">
        <f ca="1">_xlfn.CONCAT(Tabela1[[#This Row],[Selecione o Usuário]]," - ",TEXT(Tabela1[[#This Row],[Informe a data]],"dd-mm-aa"))</f>
        <v>#NAME?</v>
      </c>
    </row>
    <row r="282" spans="1:29">
      <c r="A282" s="89">
        <v>46128.418194444443</v>
      </c>
      <c r="B282" s="90" t="s">
        <v>176</v>
      </c>
      <c r="C282" s="90" t="s">
        <v>136</v>
      </c>
      <c r="D282" s="90" t="s">
        <v>177</v>
      </c>
      <c r="E282" s="91">
        <v>46127</v>
      </c>
      <c r="F282" s="92">
        <v>171723</v>
      </c>
      <c r="G282" s="93" t="s">
        <v>1050</v>
      </c>
      <c r="H282" s="92">
        <v>172047</v>
      </c>
      <c r="I282" s="93" t="s">
        <v>1051</v>
      </c>
      <c r="J282" s="90" t="s">
        <v>1052</v>
      </c>
      <c r="K282" s="94"/>
      <c r="L282" s="90" t="s">
        <v>60</v>
      </c>
      <c r="M282" s="94"/>
      <c r="N282" s="94"/>
      <c r="O282" s="94"/>
      <c r="P282" s="94"/>
      <c r="Q282" s="94"/>
      <c r="R282" s="94"/>
      <c r="S282" s="94"/>
      <c r="T282" s="94"/>
      <c r="U282" s="85">
        <f>(Tabela1[[#This Row],[Informe o KM final do dia]]-Tabela1[[#This Row],[Informe o KM inicial do dia]])-Tabela1[[#This Row],[Caso tenha rodado particular alguma parte do trajeto, informe o total de KM a ser deduzido.]]</f>
        <v>324</v>
      </c>
      <c r="V282" s="86">
        <f>IF(Tabela1[[#This Row],[Informe a data]]&lt;DATE(2026,3,16), Tabela1[[#This Row],[KM Rodado]]*1.1, Tabela1[[#This Row],[KM Rodado]]*1.23)</f>
        <v>398.52</v>
      </c>
      <c r="W282" s="86">
        <f>IFERROR(SUBSTITUTE(Tabela1[[#This Row],[Pedágio]],".",",",1)*1,0)</f>
        <v>0</v>
      </c>
      <c r="X282" s="86">
        <f>IFERROR(SUBSTITUTE(Tabela1[[#This Row],[Estacionamento]],".",",",1)*1,0)</f>
        <v>0</v>
      </c>
      <c r="Y282" s="86">
        <f>IFERROR(SUBSTITUTE(Tabela1[[#This Row],[Despesas Diversas 
(Jantar em viagem, Impressões, Etc)]],".",",",1)*1,0)</f>
        <v>0</v>
      </c>
      <c r="Z282" s="86">
        <f>IFERROR(SUBSTITUTE(Tabela1[[#This Row],[Hospedagem]],".",",",1)*1,0)</f>
        <v>0</v>
      </c>
      <c r="AA282" s="56" t="str">
        <f>IF(DAY(Tabela1[[#This Row],[Informe a data]])&lt;=15,"1ª Quinzena","2ª Quinzena")</f>
        <v>1ª Quinzena</v>
      </c>
      <c r="AB282" s="56" t="str">
        <f>UPPER(TEXT(Tabela1[[#This Row],[Informe a data]],"mmmm"))</f>
        <v>ABRIL</v>
      </c>
      <c r="AC282" s="87" t="e">
        <f ca="1">_xlfn.CONCAT(Tabela1[[#This Row],[Selecione o Usuário]]," - ",TEXT(Tabela1[[#This Row],[Informe a data]],"dd-mm-aa"))</f>
        <v>#NAME?</v>
      </c>
    </row>
    <row r="283" spans="1:29">
      <c r="A283" s="113">
        <v>46128.39298611111</v>
      </c>
      <c r="B283" s="114" t="s">
        <v>140</v>
      </c>
      <c r="C283" s="114" t="s">
        <v>141</v>
      </c>
      <c r="D283" s="114" t="s">
        <v>169</v>
      </c>
      <c r="E283" s="115">
        <v>46127</v>
      </c>
      <c r="F283" s="116">
        <v>209222</v>
      </c>
      <c r="G283" s="118"/>
      <c r="H283" s="116">
        <v>209260</v>
      </c>
      <c r="I283" s="118"/>
      <c r="J283" s="114" t="s">
        <v>1041</v>
      </c>
      <c r="K283" s="118"/>
      <c r="L283" s="114" t="s">
        <v>60</v>
      </c>
      <c r="M283" s="118"/>
      <c r="N283" s="118"/>
      <c r="O283" s="118"/>
      <c r="P283" s="118"/>
      <c r="Q283" s="118"/>
      <c r="R283" s="118"/>
      <c r="S283" s="118"/>
      <c r="T283" s="118"/>
      <c r="U283" s="95">
        <f>(Tabela1[[#This Row],[Informe o KM final do dia]]-Tabela1[[#This Row],[Informe o KM inicial do dia]])-Tabela1[[#This Row],[Caso tenha rodado particular alguma parte do trajeto, informe o total de KM a ser deduzido.]]</f>
        <v>38</v>
      </c>
      <c r="V283" s="97">
        <f>IF(Tabela1[[#This Row],[Informe a data]]&lt;DATE(2026,3,16), Tabela1[[#This Row],[KM Rodado]]*1.1, Tabela1[[#This Row],[KM Rodado]]*1.23)</f>
        <v>46.74</v>
      </c>
      <c r="W283" s="97">
        <f>IFERROR(SUBSTITUTE(Tabela1[[#This Row],[Pedágio]],".",",",1)*1,0)</f>
        <v>0</v>
      </c>
      <c r="X283" s="97">
        <f>IFERROR(SUBSTITUTE(Tabela1[[#This Row],[Estacionamento]],".",",",1)*1,0)</f>
        <v>0</v>
      </c>
      <c r="Y283" s="97">
        <f>IFERROR(SUBSTITUTE(Tabela1[[#This Row],[Despesas Diversas 
(Jantar em viagem, Impressões, Etc)]],".",",",1)*1,0)</f>
        <v>0</v>
      </c>
      <c r="Z283" s="97">
        <f>IFERROR(SUBSTITUTE(Tabela1[[#This Row],[Hospedagem]],".",",",1)*1,0)</f>
        <v>0</v>
      </c>
      <c r="AA283" s="98" t="str">
        <f>IF(DAY(Tabela1[[#This Row],[Informe a data]])&lt;=15,"1ª Quinzena","2ª Quinzena")</f>
        <v>1ª Quinzena</v>
      </c>
      <c r="AB283" s="98" t="str">
        <f>UPPER(TEXT(Tabela1[[#This Row],[Informe a data]],"mmmm"))</f>
        <v>ABRIL</v>
      </c>
      <c r="AC283" s="99" t="e">
        <f ca="1">_xlfn.CONCAT(Tabela1[[#This Row],[Selecione o Usuário]]," - ",TEXT(Tabela1[[#This Row],[Informe a data]],"dd-mm-aa"))</f>
        <v>#NAME?</v>
      </c>
    </row>
    <row r="284" spans="1:29">
      <c r="A284" s="89">
        <v>46128.761180555557</v>
      </c>
      <c r="B284" s="90" t="s">
        <v>131</v>
      </c>
      <c r="C284" s="90" t="s">
        <v>132</v>
      </c>
      <c r="D284" s="90" t="s">
        <v>133</v>
      </c>
      <c r="E284" s="91">
        <v>46128</v>
      </c>
      <c r="F284" s="92">
        <v>191929</v>
      </c>
      <c r="G284" s="93" t="s">
        <v>1059</v>
      </c>
      <c r="H284" s="92">
        <v>192203</v>
      </c>
      <c r="I284" s="93" t="s">
        <v>1060</v>
      </c>
      <c r="J284" s="90" t="s">
        <v>1061</v>
      </c>
      <c r="K284" s="94"/>
      <c r="L284" s="90" t="s">
        <v>61</v>
      </c>
      <c r="M284" s="90" t="s">
        <v>1062</v>
      </c>
      <c r="N284" s="93" t="s">
        <v>1063</v>
      </c>
      <c r="O284" s="94"/>
      <c r="P284" s="94"/>
      <c r="Q284" s="94"/>
      <c r="R284" s="94"/>
      <c r="S284" s="94"/>
      <c r="T284" s="94"/>
      <c r="U284" s="85">
        <f>(Tabela1[[#This Row],[Informe o KM final do dia]]-Tabela1[[#This Row],[Informe o KM inicial do dia]])-Tabela1[[#This Row],[Caso tenha rodado particular alguma parte do trajeto, informe o total de KM a ser deduzido.]]</f>
        <v>274</v>
      </c>
      <c r="V284" s="86">
        <f>IF(Tabela1[[#This Row],[Informe a data]]&lt;DATE(2026,3,16), Tabela1[[#This Row],[KM Rodado]]*1.1, Tabela1[[#This Row],[KM Rodado]]*1.23)</f>
        <v>337.02</v>
      </c>
      <c r="W284" s="86">
        <f>IFERROR(SUBSTITUTE(Tabela1[[#This Row],[Pedágio]],".",",",1)*1,0)</f>
        <v>11.7</v>
      </c>
      <c r="X284" s="86">
        <f>IFERROR(SUBSTITUTE(Tabela1[[#This Row],[Estacionamento]],".",",",1)*1,0)</f>
        <v>0</v>
      </c>
      <c r="Y284" s="86">
        <f>IFERROR(SUBSTITUTE(Tabela1[[#This Row],[Despesas Diversas 
(Jantar em viagem, Impressões, Etc)]],".",",",1)*1,0)</f>
        <v>0</v>
      </c>
      <c r="Z284" s="86">
        <f>IFERROR(SUBSTITUTE(Tabela1[[#This Row],[Hospedagem]],".",",",1)*1,0)</f>
        <v>0</v>
      </c>
      <c r="AA284" s="56" t="str">
        <f>IF(DAY(Tabela1[[#This Row],[Informe a data]])&lt;=15,"1ª Quinzena","2ª Quinzena")</f>
        <v>2ª Quinzena</v>
      </c>
      <c r="AB284" s="56" t="str">
        <f>UPPER(TEXT(Tabela1[[#This Row],[Informe a data]],"mmmm"))</f>
        <v>ABRIL</v>
      </c>
      <c r="AC284" s="87" t="e">
        <f ca="1">_xlfn.CONCAT(Tabela1[[#This Row],[Selecione o Usuário]]," - ",TEXT(Tabela1[[#This Row],[Informe a data]],"dd-mm-aa"))</f>
        <v>#NAME?</v>
      </c>
    </row>
    <row r="285" spans="1:29">
      <c r="A285" s="89">
        <v>46132.601782407408</v>
      </c>
      <c r="B285" s="90" t="s">
        <v>497</v>
      </c>
      <c r="C285" s="90" t="s">
        <v>498</v>
      </c>
      <c r="D285" s="90" t="s">
        <v>1072</v>
      </c>
      <c r="E285" s="91">
        <v>46128</v>
      </c>
      <c r="F285" s="92">
        <v>52909</v>
      </c>
      <c r="G285" s="93" t="s">
        <v>1073</v>
      </c>
      <c r="H285" s="92">
        <v>52961</v>
      </c>
      <c r="I285" s="93" t="s">
        <v>1074</v>
      </c>
      <c r="J285" s="90" t="s">
        <v>1075</v>
      </c>
      <c r="K285" s="94"/>
      <c r="L285" s="90" t="s">
        <v>60</v>
      </c>
      <c r="M285" s="94"/>
      <c r="N285" s="94"/>
      <c r="O285" s="94"/>
      <c r="P285" s="94"/>
      <c r="Q285" s="94"/>
      <c r="R285" s="94"/>
      <c r="S285" s="94"/>
      <c r="T285" s="94"/>
      <c r="U285" s="85">
        <f>(Tabela1[[#This Row],[Informe o KM final do dia]]-Tabela1[[#This Row],[Informe o KM inicial do dia]])-Tabela1[[#This Row],[Caso tenha rodado particular alguma parte do trajeto, informe o total de KM a ser deduzido.]]</f>
        <v>52</v>
      </c>
      <c r="V285" s="86">
        <f>IF(Tabela1[[#This Row],[Informe a data]]&lt;DATE(2026,3,16), Tabela1[[#This Row],[KM Rodado]]*1.1, Tabela1[[#This Row],[KM Rodado]]*1.23)</f>
        <v>63.96</v>
      </c>
      <c r="W285" s="86">
        <f>IFERROR(SUBSTITUTE(Tabela1[[#This Row],[Pedágio]],".",",",1)*1,0)</f>
        <v>0</v>
      </c>
      <c r="X285" s="86">
        <f>IFERROR(SUBSTITUTE(Tabela1[[#This Row],[Estacionamento]],".",",",1)*1,0)</f>
        <v>0</v>
      </c>
      <c r="Y285" s="86">
        <f>IFERROR(SUBSTITUTE(Tabela1[[#This Row],[Despesas Diversas 
(Jantar em viagem, Impressões, Etc)]],".",",",1)*1,0)</f>
        <v>0</v>
      </c>
      <c r="Z285" s="86">
        <f>IFERROR(SUBSTITUTE(Tabela1[[#This Row],[Hospedagem]],".",",",1)*1,0)</f>
        <v>0</v>
      </c>
      <c r="AA285" s="56" t="str">
        <f>IF(DAY(Tabela1[[#This Row],[Informe a data]])&lt;=15,"1ª Quinzena","2ª Quinzena")</f>
        <v>2ª Quinzena</v>
      </c>
      <c r="AB285" s="56" t="str">
        <f>UPPER(TEXT(Tabela1[[#This Row],[Informe a data]],"mmmm"))</f>
        <v>ABRIL</v>
      </c>
      <c r="AC285" s="87" t="e">
        <f ca="1">_xlfn.CONCAT(Tabela1[[#This Row],[Selecione o Usuário]]," - ",TEXT(Tabela1[[#This Row],[Informe a data]],"dd-mm-aa"))</f>
        <v>#NAME?</v>
      </c>
    </row>
    <row r="286" spans="1:29">
      <c r="A286" s="49">
        <v>46129.291851851849</v>
      </c>
      <c r="B286" s="50" t="s">
        <v>300</v>
      </c>
      <c r="C286" s="50" t="s">
        <v>250</v>
      </c>
      <c r="D286" s="50" t="s">
        <v>228</v>
      </c>
      <c r="E286" s="51">
        <v>46128</v>
      </c>
      <c r="F286" s="52">
        <v>127230</v>
      </c>
      <c r="G286" s="58" t="s">
        <v>1064</v>
      </c>
      <c r="H286" s="52">
        <v>127317</v>
      </c>
      <c r="I286" s="58" t="s">
        <v>1065</v>
      </c>
      <c r="J286" s="50" t="s">
        <v>1066</v>
      </c>
      <c r="K286" s="53"/>
      <c r="L286" s="50" t="s">
        <v>60</v>
      </c>
      <c r="M286" s="53"/>
      <c r="N286" s="53"/>
      <c r="O286" s="53"/>
      <c r="P286" s="53"/>
      <c r="Q286" s="53"/>
      <c r="R286" s="53"/>
      <c r="S286" s="53"/>
      <c r="T286" s="53"/>
      <c r="U286" s="85">
        <f>(Tabela1[[#This Row],[Informe o KM final do dia]]-Tabela1[[#This Row],[Informe o KM inicial do dia]])-Tabela1[[#This Row],[Caso tenha rodado particular alguma parte do trajeto, informe o total de KM a ser deduzido.]]</f>
        <v>87</v>
      </c>
      <c r="V286" s="86">
        <f>IF(Tabela1[[#This Row],[Informe a data]]&lt;DATE(2026,3,16), Tabela1[[#This Row],[KM Rodado]]*1.1, Tabela1[[#This Row],[KM Rodado]]*1.23)</f>
        <v>107.01</v>
      </c>
      <c r="W286" s="86">
        <f>IFERROR(SUBSTITUTE(Tabela1[[#This Row],[Pedágio]],".",",",1)*1,0)</f>
        <v>0</v>
      </c>
      <c r="X286" s="86">
        <f>IFERROR(SUBSTITUTE(Tabela1[[#This Row],[Estacionamento]],".",",",1)*1,0)</f>
        <v>0</v>
      </c>
      <c r="Y286" s="86">
        <f>IFERROR(SUBSTITUTE(Tabela1[[#This Row],[Despesas Diversas 
(Jantar em viagem, Impressões, Etc)]],".",",",1)*1,0)</f>
        <v>0</v>
      </c>
      <c r="Z286" s="86">
        <f>IFERROR(SUBSTITUTE(Tabela1[[#This Row],[Hospedagem]],".",",",1)*1,0)</f>
        <v>0</v>
      </c>
      <c r="AA286" s="56" t="str">
        <f>IF(DAY(Tabela1[[#This Row],[Informe a data]])&lt;=15,"1ª Quinzena","2ª Quinzena")</f>
        <v>2ª Quinzena</v>
      </c>
      <c r="AB286" s="56" t="str">
        <f>UPPER(TEXT(Tabela1[[#This Row],[Informe a data]],"mmmm"))</f>
        <v>ABRIL</v>
      </c>
      <c r="AC286" s="87" t="e">
        <f ca="1">_xlfn.CONCAT(Tabela1[[#This Row],[Selecione o Usuário]]," - ",TEXT(Tabela1[[#This Row],[Informe a data]],"dd-mm-aa"))</f>
        <v>#NAME?</v>
      </c>
    </row>
    <row r="287" spans="1:29">
      <c r="A287" s="49">
        <v>46128.743344907409</v>
      </c>
      <c r="B287" s="50" t="s">
        <v>176</v>
      </c>
      <c r="C287" s="50" t="s">
        <v>136</v>
      </c>
      <c r="D287" s="50" t="s">
        <v>177</v>
      </c>
      <c r="E287" s="51">
        <v>46128</v>
      </c>
      <c r="F287" s="52">
        <v>172080</v>
      </c>
      <c r="G287" s="58" t="s">
        <v>1057</v>
      </c>
      <c r="H287" s="52">
        <v>172263</v>
      </c>
      <c r="I287" s="58" t="s">
        <v>1058</v>
      </c>
      <c r="J287" s="50" t="s">
        <v>985</v>
      </c>
      <c r="K287" s="53"/>
      <c r="L287" s="50" t="s">
        <v>60</v>
      </c>
      <c r="M287" s="53"/>
      <c r="N287" s="53"/>
      <c r="O287" s="53"/>
      <c r="P287" s="53"/>
      <c r="Q287" s="53"/>
      <c r="R287" s="53"/>
      <c r="S287" s="53"/>
      <c r="T287" s="53"/>
      <c r="U287" s="85">
        <f>(Tabela1[[#This Row],[Informe o KM final do dia]]-Tabela1[[#This Row],[Informe o KM inicial do dia]])-Tabela1[[#This Row],[Caso tenha rodado particular alguma parte do trajeto, informe o total de KM a ser deduzido.]]</f>
        <v>183</v>
      </c>
      <c r="V287" s="86">
        <f>IF(Tabela1[[#This Row],[Informe a data]]&lt;DATE(2026,3,16), Tabela1[[#This Row],[KM Rodado]]*1.1, Tabela1[[#This Row],[KM Rodado]]*1.23)</f>
        <v>225.09</v>
      </c>
      <c r="W287" s="86">
        <f>IFERROR(SUBSTITUTE(Tabela1[[#This Row],[Pedágio]],".",",",1)*1,0)</f>
        <v>0</v>
      </c>
      <c r="X287" s="86">
        <f>IFERROR(SUBSTITUTE(Tabela1[[#This Row],[Estacionamento]],".",",",1)*1,0)</f>
        <v>0</v>
      </c>
      <c r="Y287" s="86">
        <f>IFERROR(SUBSTITUTE(Tabela1[[#This Row],[Despesas Diversas 
(Jantar em viagem, Impressões, Etc)]],".",",",1)*1,0)</f>
        <v>0</v>
      </c>
      <c r="Z287" s="86">
        <f>IFERROR(SUBSTITUTE(Tabela1[[#This Row],[Hospedagem]],".",",",1)*1,0)</f>
        <v>0</v>
      </c>
      <c r="AA287" s="56" t="str">
        <f>IF(DAY(Tabela1[[#This Row],[Informe a data]])&lt;=15,"1ª Quinzena","2ª Quinzena")</f>
        <v>2ª Quinzena</v>
      </c>
      <c r="AB287" s="56" t="str">
        <f>UPPER(TEXT(Tabela1[[#This Row],[Informe a data]],"mmmm"))</f>
        <v>ABRIL</v>
      </c>
      <c r="AC287" s="87" t="e">
        <f ca="1">_xlfn.CONCAT(Tabela1[[#This Row],[Selecione o Usuário]]," - ",TEXT(Tabela1[[#This Row],[Informe a data]],"dd-mm-aa"))</f>
        <v>#NAME?</v>
      </c>
    </row>
    <row r="288" spans="1:29">
      <c r="A288" s="49">
        <v>46141.769606481481</v>
      </c>
      <c r="B288" s="50" t="s">
        <v>1116</v>
      </c>
      <c r="C288" s="50" t="s">
        <v>559</v>
      </c>
      <c r="D288" s="50" t="s">
        <v>560</v>
      </c>
      <c r="E288" s="51">
        <v>46129</v>
      </c>
      <c r="F288" s="52">
        <v>78425</v>
      </c>
      <c r="G288" s="53"/>
      <c r="H288" s="52">
        <v>78556</v>
      </c>
      <c r="I288" s="53"/>
      <c r="J288" s="50" t="s">
        <v>1118</v>
      </c>
      <c r="K288" s="53"/>
      <c r="L288" s="50" t="s">
        <v>60</v>
      </c>
      <c r="M288" s="53"/>
      <c r="N288" s="53"/>
      <c r="O288" s="53"/>
      <c r="P288" s="53"/>
      <c r="Q288" s="53"/>
      <c r="R288" s="53"/>
      <c r="S288" s="53"/>
      <c r="T288" s="53"/>
      <c r="U288" s="85">
        <f>(Tabela1[[#This Row],[Informe o KM final do dia]]-Tabela1[[#This Row],[Informe o KM inicial do dia]])-Tabela1[[#This Row],[Caso tenha rodado particular alguma parte do trajeto, informe o total de KM a ser deduzido.]]</f>
        <v>131</v>
      </c>
      <c r="V288" s="86">
        <f>IF(Tabela1[[#This Row],[Informe a data]]&lt;DATE(2026,3,16), Tabela1[[#This Row],[KM Rodado]]*1.1, Tabela1[[#This Row],[KM Rodado]]*1.23)</f>
        <v>161.13</v>
      </c>
      <c r="W288" s="86">
        <f>IFERROR(SUBSTITUTE(Tabela1[[#This Row],[Pedágio]],".",",",1)*1,0)</f>
        <v>0</v>
      </c>
      <c r="X288" s="86">
        <f>IFERROR(SUBSTITUTE(Tabela1[[#This Row],[Estacionamento]],".",",",1)*1,0)</f>
        <v>0</v>
      </c>
      <c r="Y288" s="86">
        <f>IFERROR(SUBSTITUTE(Tabela1[[#This Row],[Despesas Diversas 
(Jantar em viagem, Impressões, Etc)]],".",",",1)*1,0)</f>
        <v>0</v>
      </c>
      <c r="Z288" s="86">
        <f>IFERROR(SUBSTITUTE(Tabela1[[#This Row],[Hospedagem]],".",",",1)*1,0)</f>
        <v>0</v>
      </c>
      <c r="AA288" s="56" t="str">
        <f>IF(DAY(Tabela1[[#This Row],[Informe a data]])&lt;=15,"1ª Quinzena","2ª Quinzena")</f>
        <v>2ª Quinzena</v>
      </c>
      <c r="AB288" s="56" t="str">
        <f>UPPER(TEXT(Tabela1[[#This Row],[Informe a data]],"mmmm"))</f>
        <v>ABRIL</v>
      </c>
      <c r="AC288" s="87" t="e">
        <f ca="1">_xlfn.CONCAT(Tabela1[[#This Row],[Selecione o Usuário]]," - ",TEXT(Tabela1[[#This Row],[Informe a data]],"dd-mm-aa"))</f>
        <v>#NAME?</v>
      </c>
    </row>
    <row r="289" spans="1:29">
      <c r="A289" s="49">
        <v>46139.601284722223</v>
      </c>
      <c r="B289" s="50" t="s">
        <v>504</v>
      </c>
      <c r="C289" s="50" t="s">
        <v>505</v>
      </c>
      <c r="D289" s="50" t="s">
        <v>506</v>
      </c>
      <c r="E289" s="51">
        <v>46129</v>
      </c>
      <c r="F289" s="52">
        <v>103237</v>
      </c>
      <c r="G289" s="58" t="s">
        <v>1091</v>
      </c>
      <c r="H289" s="52">
        <v>103315</v>
      </c>
      <c r="I289" s="58" t="s">
        <v>1092</v>
      </c>
      <c r="J289" s="50" t="s">
        <v>1093</v>
      </c>
      <c r="K289" s="53"/>
      <c r="L289" s="50" t="s">
        <v>60</v>
      </c>
      <c r="M289" s="53"/>
      <c r="N289" s="53"/>
      <c r="O289" s="53"/>
      <c r="P289" s="53"/>
      <c r="Q289" s="53"/>
      <c r="R289" s="53"/>
      <c r="S289" s="53"/>
      <c r="T289" s="53"/>
      <c r="U289" s="85">
        <f>(Tabela1[[#This Row],[Informe o KM final do dia]]-Tabela1[[#This Row],[Informe o KM inicial do dia]])-Tabela1[[#This Row],[Caso tenha rodado particular alguma parte do trajeto, informe o total de KM a ser deduzido.]]</f>
        <v>78</v>
      </c>
      <c r="V289" s="86">
        <f>IF(Tabela1[[#This Row],[Informe a data]]&lt;DATE(2026,3,16), Tabela1[[#This Row],[KM Rodado]]*1.1, Tabela1[[#This Row],[KM Rodado]]*1.23)</f>
        <v>95.94</v>
      </c>
      <c r="W289" s="86">
        <f>IFERROR(SUBSTITUTE(Tabela1[[#This Row],[Pedágio]],".",",",1)*1,0)</f>
        <v>0</v>
      </c>
      <c r="X289" s="86">
        <f>IFERROR(SUBSTITUTE(Tabela1[[#This Row],[Estacionamento]],".",",",1)*1,0)</f>
        <v>0</v>
      </c>
      <c r="Y289" s="86">
        <f>IFERROR(SUBSTITUTE(Tabela1[[#This Row],[Despesas Diversas 
(Jantar em viagem, Impressões, Etc)]],".",",",1)*1,0)</f>
        <v>0</v>
      </c>
      <c r="Z289" s="86">
        <f>IFERROR(SUBSTITUTE(Tabela1[[#This Row],[Hospedagem]],".",",",1)*1,0)</f>
        <v>0</v>
      </c>
      <c r="AA289" s="56" t="str">
        <f>IF(DAY(Tabela1[[#This Row],[Informe a data]])&lt;=15,"1ª Quinzena","2ª Quinzena")</f>
        <v>2ª Quinzena</v>
      </c>
      <c r="AB289" s="56" t="str">
        <f>UPPER(TEXT(Tabela1[[#This Row],[Informe a data]],"mmmm"))</f>
        <v>ABRIL</v>
      </c>
      <c r="AC289" s="87" t="e">
        <f ca="1">_xlfn.CONCAT(Tabela1[[#This Row],[Selecione o Usuário]]," - ",TEXT(Tabela1[[#This Row],[Informe a data]],"dd-mm-aa"))</f>
        <v>#NAME?</v>
      </c>
    </row>
    <row r="290" spans="1:29">
      <c r="A290" s="49">
        <v>46130.351030092592</v>
      </c>
      <c r="B290" s="50" t="s">
        <v>300</v>
      </c>
      <c r="C290" s="50" t="s">
        <v>250</v>
      </c>
      <c r="D290" s="50" t="s">
        <v>228</v>
      </c>
      <c r="E290" s="51">
        <v>46129</v>
      </c>
      <c r="F290" s="52">
        <v>127417</v>
      </c>
      <c r="G290" s="58" t="s">
        <v>1067</v>
      </c>
      <c r="H290" s="52">
        <v>127565</v>
      </c>
      <c r="I290" s="58" t="s">
        <v>1068</v>
      </c>
      <c r="J290" s="50" t="s">
        <v>1069</v>
      </c>
      <c r="K290" s="53"/>
      <c r="L290" s="50" t="s">
        <v>61</v>
      </c>
      <c r="M290" s="53"/>
      <c r="N290" s="53"/>
      <c r="O290" s="53"/>
      <c r="P290" s="53"/>
      <c r="Q290" s="50" t="s">
        <v>1070</v>
      </c>
      <c r="R290" s="58" t="s">
        <v>1071</v>
      </c>
      <c r="S290" s="53"/>
      <c r="T290" s="53"/>
      <c r="U290" s="85">
        <f>(Tabela1[[#This Row],[Informe o KM final do dia]]-Tabela1[[#This Row],[Informe o KM inicial do dia]])-Tabela1[[#This Row],[Caso tenha rodado particular alguma parte do trajeto, informe o total de KM a ser deduzido.]]</f>
        <v>148</v>
      </c>
      <c r="V290" s="86">
        <f>IF(Tabela1[[#This Row],[Informe a data]]&lt;DATE(2026,3,16), Tabela1[[#This Row],[KM Rodado]]*1.1, Tabela1[[#This Row],[KM Rodado]]*1.23)</f>
        <v>182.04</v>
      </c>
      <c r="W290" s="86">
        <f>IFERROR(SUBSTITUTE(Tabela1[[#This Row],[Pedágio]],".",",",1)*1,0)</f>
        <v>0</v>
      </c>
      <c r="X290" s="86">
        <f>IFERROR(SUBSTITUTE(Tabela1[[#This Row],[Estacionamento]],".",",",1)*1,0)</f>
        <v>0</v>
      </c>
      <c r="Y290" s="86">
        <f>IFERROR(SUBSTITUTE(Tabela1[[#This Row],[Despesas Diversas 
(Jantar em viagem, Impressões, Etc)]],".",",",1)*1,0)</f>
        <v>20.75</v>
      </c>
      <c r="Z290" s="86">
        <f>IFERROR(SUBSTITUTE(Tabela1[[#This Row],[Hospedagem]],".",",",1)*1,0)</f>
        <v>0</v>
      </c>
      <c r="AA290" s="56" t="str">
        <f>IF(DAY(Tabela1[[#This Row],[Informe a data]])&lt;=15,"1ª Quinzena","2ª Quinzena")</f>
        <v>2ª Quinzena</v>
      </c>
      <c r="AB290" s="56" t="str">
        <f>UPPER(TEXT(Tabela1[[#This Row],[Informe a data]],"mmmm"))</f>
        <v>ABRIL</v>
      </c>
      <c r="AC290" s="87" t="e">
        <f ca="1">_xlfn.CONCAT(Tabela1[[#This Row],[Selecione o Usuário]]," - ",TEXT(Tabela1[[#This Row],[Informe a data]],"dd-mm-aa"))</f>
        <v>#NAME?</v>
      </c>
    </row>
    <row r="291" spans="1:29">
      <c r="A291" s="89">
        <v>46139.603946759256</v>
      </c>
      <c r="B291" s="90" t="s">
        <v>504</v>
      </c>
      <c r="C291" s="90" t="s">
        <v>505</v>
      </c>
      <c r="D291" s="90" t="s">
        <v>506</v>
      </c>
      <c r="E291" s="91">
        <v>46130</v>
      </c>
      <c r="F291" s="92">
        <v>103430</v>
      </c>
      <c r="G291" s="93" t="s">
        <v>1094</v>
      </c>
      <c r="H291" s="92">
        <v>103520</v>
      </c>
      <c r="I291" s="93" t="s">
        <v>1095</v>
      </c>
      <c r="J291" s="90" t="s">
        <v>1096</v>
      </c>
      <c r="K291" s="94"/>
      <c r="L291" s="90" t="s">
        <v>60</v>
      </c>
      <c r="M291" s="94"/>
      <c r="N291" s="94"/>
      <c r="O291" s="94"/>
      <c r="P291" s="94"/>
      <c r="Q291" s="94"/>
      <c r="R291" s="94"/>
      <c r="S291" s="94"/>
      <c r="T291" s="94"/>
      <c r="U291" s="85">
        <f>(Tabela1[[#This Row],[Informe o KM final do dia]]-Tabela1[[#This Row],[Informe o KM inicial do dia]])-Tabela1[[#This Row],[Caso tenha rodado particular alguma parte do trajeto, informe o total de KM a ser deduzido.]]</f>
        <v>90</v>
      </c>
      <c r="V291" s="86">
        <f>IF(Tabela1[[#This Row],[Informe a data]]&lt;DATE(2026,3,16), Tabela1[[#This Row],[KM Rodado]]*1.1, Tabela1[[#This Row],[KM Rodado]]*1.23)</f>
        <v>110.7</v>
      </c>
      <c r="W291" s="86">
        <f>IFERROR(SUBSTITUTE(Tabela1[[#This Row],[Pedágio]],".",",",1)*1,0)</f>
        <v>0</v>
      </c>
      <c r="X291" s="86">
        <f>IFERROR(SUBSTITUTE(Tabela1[[#This Row],[Estacionamento]],".",",",1)*1,0)</f>
        <v>0</v>
      </c>
      <c r="Y291" s="86">
        <f>IFERROR(SUBSTITUTE(Tabela1[[#This Row],[Despesas Diversas 
(Jantar em viagem, Impressões, Etc)]],".",",",1)*1,0)</f>
        <v>0</v>
      </c>
      <c r="Z291" s="86">
        <f>IFERROR(SUBSTITUTE(Tabela1[[#This Row],[Hospedagem]],".",",",1)*1,0)</f>
        <v>0</v>
      </c>
      <c r="AA291" s="56" t="str">
        <f>IF(DAY(Tabela1[[#This Row],[Informe a data]])&lt;=15,"1ª Quinzena","2ª Quinzena")</f>
        <v>2ª Quinzena</v>
      </c>
      <c r="AB291" s="56" t="str">
        <f>UPPER(TEXT(Tabela1[[#This Row],[Informe a data]],"mmmm"))</f>
        <v>ABRIL</v>
      </c>
      <c r="AC291" s="87" t="e">
        <f ca="1">_xlfn.CONCAT(Tabela1[[#This Row],[Selecione o Usuário]]," - ",TEXT(Tabela1[[#This Row],[Informe a data]],"dd-mm-aa"))</f>
        <v>#NAME?</v>
      </c>
    </row>
    <row r="292" spans="1:29">
      <c r="A292" s="49">
        <v>46134.726875</v>
      </c>
      <c r="B292" s="50" t="s">
        <v>131</v>
      </c>
      <c r="C292" s="50" t="s">
        <v>132</v>
      </c>
      <c r="D292" s="50" t="s">
        <v>133</v>
      </c>
      <c r="E292" s="51">
        <v>46132</v>
      </c>
      <c r="F292" s="52">
        <v>192283</v>
      </c>
      <c r="G292" s="58" t="s">
        <v>1082</v>
      </c>
      <c r="H292" s="52">
        <v>192370</v>
      </c>
      <c r="I292" s="58" t="s">
        <v>1083</v>
      </c>
      <c r="J292" s="50" t="s">
        <v>1084</v>
      </c>
      <c r="K292" s="53"/>
      <c r="L292" s="50" t="s">
        <v>61</v>
      </c>
      <c r="M292" s="53"/>
      <c r="N292" s="53"/>
      <c r="O292" s="53"/>
      <c r="P292" s="53"/>
      <c r="Q292" s="50" t="s">
        <v>1085</v>
      </c>
      <c r="R292" s="58" t="s">
        <v>1086</v>
      </c>
      <c r="S292" s="53"/>
      <c r="T292" s="53" t="s">
        <v>1087</v>
      </c>
      <c r="U292" s="85">
        <f>(Tabela1[[#This Row],[Informe o KM final do dia]]-Tabela1[[#This Row],[Informe o KM inicial do dia]])-Tabela1[[#This Row],[Caso tenha rodado particular alguma parte do trajeto, informe o total de KM a ser deduzido.]]</f>
        <v>87</v>
      </c>
      <c r="V292" s="86">
        <f>IF(Tabela1[[#This Row],[Informe a data]]&lt;DATE(2026,3,16), Tabela1[[#This Row],[KM Rodado]]*1.1, Tabela1[[#This Row],[KM Rodado]]*1.23)</f>
        <v>107.01</v>
      </c>
      <c r="W292" s="86">
        <f>IFERROR(SUBSTITUTE(Tabela1[[#This Row],[Pedágio]],".",",",1)*1,0)</f>
        <v>0</v>
      </c>
      <c r="X292" s="86">
        <f>IFERROR(SUBSTITUTE(Tabela1[[#This Row],[Estacionamento]],".",",",1)*1,0)</f>
        <v>0</v>
      </c>
      <c r="Y292" s="86">
        <f>IFERROR(SUBSTITUTE(Tabela1[[#This Row],[Despesas Diversas 
(Jantar em viagem, Impressões, Etc)]],".",",",1)*1,0)</f>
        <v>12</v>
      </c>
      <c r="Z292" s="86">
        <f>IFERROR(SUBSTITUTE(Tabela1[[#This Row],[Hospedagem]],".",",",1)*1,0)</f>
        <v>0</v>
      </c>
      <c r="AA292" s="56" t="str">
        <f>IF(DAY(Tabela1[[#This Row],[Informe a data]])&lt;=15,"1ª Quinzena","2ª Quinzena")</f>
        <v>2ª Quinzena</v>
      </c>
      <c r="AB292" s="56" t="str">
        <f>UPPER(TEXT(Tabela1[[#This Row],[Informe a data]],"mmmm"))</f>
        <v>ABRIL</v>
      </c>
      <c r="AC292" s="87" t="e">
        <f ca="1">_xlfn.CONCAT(Tabela1[[#This Row],[Selecione o Usuário]]," - ",TEXT(Tabela1[[#This Row],[Informe a data]],"dd-mm-aa"))</f>
        <v>#NAME?</v>
      </c>
    </row>
    <row r="293" spans="1:29">
      <c r="A293" s="89">
        <v>46134.440833333334</v>
      </c>
      <c r="B293" s="90" t="s">
        <v>497</v>
      </c>
      <c r="C293" s="90" t="s">
        <v>498</v>
      </c>
      <c r="D293" s="90" t="s">
        <v>1072</v>
      </c>
      <c r="E293" s="91">
        <v>46132</v>
      </c>
      <c r="F293" s="92">
        <v>52961</v>
      </c>
      <c r="G293" s="93" t="s">
        <v>1079</v>
      </c>
      <c r="H293" s="92">
        <v>53125</v>
      </c>
      <c r="I293" s="93" t="s">
        <v>1080</v>
      </c>
      <c r="J293" s="90" t="s">
        <v>1081</v>
      </c>
      <c r="K293" s="94"/>
      <c r="L293" s="90" t="s">
        <v>60</v>
      </c>
      <c r="M293" s="94"/>
      <c r="N293" s="94"/>
      <c r="O293" s="94"/>
      <c r="P293" s="94"/>
      <c r="Q293" s="94"/>
      <c r="R293" s="94"/>
      <c r="S293" s="94"/>
      <c r="T293" s="94"/>
      <c r="U293" s="85">
        <f>(Tabela1[[#This Row],[Informe o KM final do dia]]-Tabela1[[#This Row],[Informe o KM inicial do dia]])-Tabela1[[#This Row],[Caso tenha rodado particular alguma parte do trajeto, informe o total de KM a ser deduzido.]]</f>
        <v>164</v>
      </c>
      <c r="V293" s="86">
        <f>IF(Tabela1[[#This Row],[Informe a data]]&lt;DATE(2026,3,16), Tabela1[[#This Row],[KM Rodado]]*1.1, Tabela1[[#This Row],[KM Rodado]]*1.23)</f>
        <v>201.72</v>
      </c>
      <c r="W293" s="86">
        <f>IFERROR(SUBSTITUTE(Tabela1[[#This Row],[Pedágio]],".",",",1)*1,0)</f>
        <v>0</v>
      </c>
      <c r="X293" s="86">
        <f>IFERROR(SUBSTITUTE(Tabela1[[#This Row],[Estacionamento]],".",",",1)*1,0)</f>
        <v>0</v>
      </c>
      <c r="Y293" s="86">
        <f>IFERROR(SUBSTITUTE(Tabela1[[#This Row],[Despesas Diversas 
(Jantar em viagem, Impressões, Etc)]],".",",",1)*1,0)</f>
        <v>0</v>
      </c>
      <c r="Z293" s="86">
        <f>IFERROR(SUBSTITUTE(Tabela1[[#This Row],[Hospedagem]],".",",",1)*1,0)</f>
        <v>0</v>
      </c>
      <c r="AA293" s="56" t="str">
        <f>IF(DAY(Tabela1[[#This Row],[Informe a data]])&lt;=15,"1ª Quinzena","2ª Quinzena")</f>
        <v>2ª Quinzena</v>
      </c>
      <c r="AB293" s="56" t="str">
        <f>UPPER(TEXT(Tabela1[[#This Row],[Informe a data]],"mmmm"))</f>
        <v>ABRIL</v>
      </c>
      <c r="AC293" s="87" t="e">
        <f ca="1">_xlfn.CONCAT(Tabela1[[#This Row],[Selecione o Usuário]]," - ",TEXT(Tabela1[[#This Row],[Informe a data]],"dd-mm-aa"))</f>
        <v>#NAME?</v>
      </c>
    </row>
    <row r="294" spans="1:29">
      <c r="A294" s="49">
        <v>46134.430960648147</v>
      </c>
      <c r="B294" s="50" t="s">
        <v>300</v>
      </c>
      <c r="C294" s="50" t="s">
        <v>250</v>
      </c>
      <c r="D294" s="50" t="s">
        <v>228</v>
      </c>
      <c r="E294" s="51">
        <v>46132</v>
      </c>
      <c r="F294" s="52">
        <v>127727</v>
      </c>
      <c r="G294" s="58" t="s">
        <v>1076</v>
      </c>
      <c r="H294" s="52">
        <v>127799</v>
      </c>
      <c r="I294" s="58" t="s">
        <v>1077</v>
      </c>
      <c r="J294" s="50" t="s">
        <v>1078</v>
      </c>
      <c r="K294" s="53"/>
      <c r="L294" s="50" t="s">
        <v>60</v>
      </c>
      <c r="M294" s="53"/>
      <c r="N294" s="53"/>
      <c r="O294" s="53"/>
      <c r="P294" s="53"/>
      <c r="Q294" s="53"/>
      <c r="R294" s="53"/>
      <c r="S294" s="53"/>
      <c r="T294" s="53"/>
      <c r="U294" s="85">
        <f>(Tabela1[[#This Row],[Informe o KM final do dia]]-Tabela1[[#This Row],[Informe o KM inicial do dia]])-Tabela1[[#This Row],[Caso tenha rodado particular alguma parte do trajeto, informe o total de KM a ser deduzido.]]</f>
        <v>72</v>
      </c>
      <c r="V294" s="86">
        <f>IF(Tabela1[[#This Row],[Informe a data]]&lt;DATE(2026,3,16), Tabela1[[#This Row],[KM Rodado]]*1.1, Tabela1[[#This Row],[KM Rodado]]*1.23)</f>
        <v>88.56</v>
      </c>
      <c r="W294" s="86">
        <f>IFERROR(SUBSTITUTE(Tabela1[[#This Row],[Pedágio]],".",",",1)*1,0)</f>
        <v>0</v>
      </c>
      <c r="X294" s="86">
        <f>IFERROR(SUBSTITUTE(Tabela1[[#This Row],[Estacionamento]],".",",",1)*1,0)</f>
        <v>0</v>
      </c>
      <c r="Y294" s="86">
        <f>IFERROR(SUBSTITUTE(Tabela1[[#This Row],[Despesas Diversas 
(Jantar em viagem, Impressões, Etc)]],".",",",1)*1,0)</f>
        <v>0</v>
      </c>
      <c r="Z294" s="86">
        <f>IFERROR(SUBSTITUTE(Tabela1[[#This Row],[Hospedagem]],".",",",1)*1,0)</f>
        <v>0</v>
      </c>
      <c r="AA294" s="56" t="str">
        <f>IF(DAY(Tabela1[[#This Row],[Informe a data]])&lt;=15,"1ª Quinzena","2ª Quinzena")</f>
        <v>2ª Quinzena</v>
      </c>
      <c r="AB294" s="56" t="str">
        <f>UPPER(TEXT(Tabela1[[#This Row],[Informe a data]],"mmmm"))</f>
        <v>ABRIL</v>
      </c>
      <c r="AC294" s="87" t="e">
        <f ca="1">_xlfn.CONCAT(Tabela1[[#This Row],[Selecione o Usuário]]," - ",TEXT(Tabela1[[#This Row],[Informe a data]],"dd-mm-aa"))</f>
        <v>#NAME?</v>
      </c>
    </row>
    <row r="295" spans="1:29">
      <c r="A295" s="89">
        <v>46142.012326388889</v>
      </c>
      <c r="B295" s="90" t="s">
        <v>176</v>
      </c>
      <c r="C295" s="90" t="s">
        <v>136</v>
      </c>
      <c r="D295" s="90" t="s">
        <v>177</v>
      </c>
      <c r="E295" s="91">
        <v>46133</v>
      </c>
      <c r="F295" s="92">
        <v>172301</v>
      </c>
      <c r="G295" s="93" t="s">
        <v>1126</v>
      </c>
      <c r="H295" s="92">
        <v>172357</v>
      </c>
      <c r="I295" s="93" t="s">
        <v>1127</v>
      </c>
      <c r="J295" s="90" t="s">
        <v>1128</v>
      </c>
      <c r="K295" s="94"/>
      <c r="L295" s="90" t="s">
        <v>60</v>
      </c>
      <c r="M295" s="94"/>
      <c r="N295" s="94"/>
      <c r="O295" s="94"/>
      <c r="P295" s="94"/>
      <c r="Q295" s="94"/>
      <c r="R295" s="94"/>
      <c r="S295" s="94"/>
      <c r="T295" s="94"/>
      <c r="U295" s="85">
        <f>(Tabela1[[#This Row],[Informe o KM final do dia]]-Tabela1[[#This Row],[Informe o KM inicial do dia]])-Tabela1[[#This Row],[Caso tenha rodado particular alguma parte do trajeto, informe o total de KM a ser deduzido.]]</f>
        <v>56</v>
      </c>
      <c r="V295" s="86">
        <f>IF(Tabela1[[#This Row],[Informe a data]]&lt;DATE(2026,3,16), Tabela1[[#This Row],[KM Rodado]]*1.1, Tabela1[[#This Row],[KM Rodado]]*1.23)</f>
        <v>68.88</v>
      </c>
      <c r="W295" s="86">
        <f>IFERROR(SUBSTITUTE(Tabela1[[#This Row],[Pedágio]],".",",",1)*1,0)</f>
        <v>0</v>
      </c>
      <c r="X295" s="86">
        <f>IFERROR(SUBSTITUTE(Tabela1[[#This Row],[Estacionamento]],".",",",1)*1,0)</f>
        <v>0</v>
      </c>
      <c r="Y295" s="86">
        <f>IFERROR(SUBSTITUTE(Tabela1[[#This Row],[Despesas Diversas 
(Jantar em viagem, Impressões, Etc)]],".",",",1)*1,0)</f>
        <v>0</v>
      </c>
      <c r="Z295" s="86">
        <f>IFERROR(SUBSTITUTE(Tabela1[[#This Row],[Hospedagem]],".",",",1)*1,0)</f>
        <v>0</v>
      </c>
      <c r="AA295" s="56" t="str">
        <f>IF(DAY(Tabela1[[#This Row],[Informe a data]])&lt;=15,"1ª Quinzena","2ª Quinzena")</f>
        <v>2ª Quinzena</v>
      </c>
      <c r="AB295" s="56" t="str">
        <f>UPPER(TEXT(Tabela1[[#This Row],[Informe a data]],"mmmm"))</f>
        <v>ABRIL</v>
      </c>
      <c r="AC295" s="87" t="e">
        <f ca="1">_xlfn.CONCAT(Tabela1[[#This Row],[Selecione o Usuário]]," - ",TEXT(Tabela1[[#This Row],[Informe a data]],"dd-mm-aa"))</f>
        <v>#NAME?</v>
      </c>
    </row>
    <row r="296" spans="1:29">
      <c r="A296" s="89">
        <v>46141.770937499998</v>
      </c>
      <c r="B296" s="90" t="s">
        <v>1116</v>
      </c>
      <c r="C296" s="90" t="s">
        <v>559</v>
      </c>
      <c r="D296" s="90" t="s">
        <v>560</v>
      </c>
      <c r="E296" s="91">
        <v>46134</v>
      </c>
      <c r="F296" s="92">
        <v>78706</v>
      </c>
      <c r="G296" s="94"/>
      <c r="H296" s="92">
        <v>78727</v>
      </c>
      <c r="I296" s="94"/>
      <c r="J296" s="90" t="s">
        <v>1119</v>
      </c>
      <c r="K296" s="94"/>
      <c r="L296" s="90" t="s">
        <v>60</v>
      </c>
      <c r="M296" s="94"/>
      <c r="N296" s="94"/>
      <c r="O296" s="94"/>
      <c r="P296" s="94"/>
      <c r="Q296" s="94"/>
      <c r="R296" s="94"/>
      <c r="S296" s="94"/>
      <c r="T296" s="94"/>
      <c r="U296" s="85">
        <f>(Tabela1[[#This Row],[Informe o KM final do dia]]-Tabela1[[#This Row],[Informe o KM inicial do dia]])-Tabela1[[#This Row],[Caso tenha rodado particular alguma parte do trajeto, informe o total de KM a ser deduzido.]]</f>
        <v>21</v>
      </c>
      <c r="V296" s="86">
        <f>IF(Tabela1[[#This Row],[Informe a data]]&lt;DATE(2026,3,16), Tabela1[[#This Row],[KM Rodado]]*1.1, Tabela1[[#This Row],[KM Rodado]]*1.23)</f>
        <v>25.83</v>
      </c>
      <c r="W296" s="86">
        <f>IFERROR(SUBSTITUTE(Tabela1[[#This Row],[Pedágio]],".",",",1)*1,0)</f>
        <v>0</v>
      </c>
      <c r="X296" s="86">
        <f>IFERROR(SUBSTITUTE(Tabela1[[#This Row],[Estacionamento]],".",",",1)*1,0)</f>
        <v>0</v>
      </c>
      <c r="Y296" s="86">
        <f>IFERROR(SUBSTITUTE(Tabela1[[#This Row],[Despesas Diversas 
(Jantar em viagem, Impressões, Etc)]],".",",",1)*1,0)</f>
        <v>0</v>
      </c>
      <c r="Z296" s="86">
        <f>IFERROR(SUBSTITUTE(Tabela1[[#This Row],[Hospedagem]],".",",",1)*1,0)</f>
        <v>0</v>
      </c>
      <c r="AA296" s="56" t="str">
        <f>IF(DAY(Tabela1[[#This Row],[Informe a data]])&lt;=15,"1ª Quinzena","2ª Quinzena")</f>
        <v>2ª Quinzena</v>
      </c>
      <c r="AB296" s="56" t="str">
        <f>UPPER(TEXT(Tabela1[[#This Row],[Informe a data]],"mmmm"))</f>
        <v>ABRIL</v>
      </c>
      <c r="AC296" s="87" t="e">
        <f ca="1">_xlfn.CONCAT(Tabela1[[#This Row],[Selecione o Usuário]]," - ",TEXT(Tabela1[[#This Row],[Informe a data]],"dd-mm-aa"))</f>
        <v>#NAME?</v>
      </c>
    </row>
    <row r="297" spans="1:29">
      <c r="A297" s="49">
        <v>46141.772430555553</v>
      </c>
      <c r="B297" s="50" t="s">
        <v>1116</v>
      </c>
      <c r="C297" s="50" t="s">
        <v>559</v>
      </c>
      <c r="D297" s="50" t="s">
        <v>560</v>
      </c>
      <c r="E297" s="51">
        <v>46135</v>
      </c>
      <c r="F297" s="52">
        <v>78729</v>
      </c>
      <c r="G297" s="53"/>
      <c r="H297" s="52">
        <v>78889</v>
      </c>
      <c r="I297" s="53"/>
      <c r="J297" s="50" t="s">
        <v>1120</v>
      </c>
      <c r="K297" s="53"/>
      <c r="L297" s="50" t="s">
        <v>60</v>
      </c>
      <c r="M297" s="53"/>
      <c r="N297" s="53"/>
      <c r="O297" s="53"/>
      <c r="P297" s="53"/>
      <c r="Q297" s="53"/>
      <c r="R297" s="53"/>
      <c r="S297" s="53"/>
      <c r="T297" s="53"/>
      <c r="U297" s="85">
        <f>(Tabela1[[#This Row],[Informe o KM final do dia]]-Tabela1[[#This Row],[Informe o KM inicial do dia]])-Tabela1[[#This Row],[Caso tenha rodado particular alguma parte do trajeto, informe o total de KM a ser deduzido.]]</f>
        <v>160</v>
      </c>
      <c r="V297" s="86">
        <f>IF(Tabela1[[#This Row],[Informe a data]]&lt;DATE(2026,3,16), Tabela1[[#This Row],[KM Rodado]]*1.1, Tabela1[[#This Row],[KM Rodado]]*1.23)</f>
        <v>196.8</v>
      </c>
      <c r="W297" s="86">
        <f>IFERROR(SUBSTITUTE(Tabela1[[#This Row],[Pedágio]],".",",",1)*1,0)</f>
        <v>0</v>
      </c>
      <c r="X297" s="86">
        <f>IFERROR(SUBSTITUTE(Tabela1[[#This Row],[Estacionamento]],".",",",1)*1,0)</f>
        <v>0</v>
      </c>
      <c r="Y297" s="86">
        <f>IFERROR(SUBSTITUTE(Tabela1[[#This Row],[Despesas Diversas 
(Jantar em viagem, Impressões, Etc)]],".",",",1)*1,0)</f>
        <v>0</v>
      </c>
      <c r="Z297" s="86">
        <f>IFERROR(SUBSTITUTE(Tabela1[[#This Row],[Hospedagem]],".",",",1)*1,0)</f>
        <v>0</v>
      </c>
      <c r="AA297" s="56" t="str">
        <f>IF(DAY(Tabela1[[#This Row],[Informe a data]])&lt;=15,"1ª Quinzena","2ª Quinzena")</f>
        <v>2ª Quinzena</v>
      </c>
      <c r="AB297" s="56" t="str">
        <f>UPPER(TEXT(Tabela1[[#This Row],[Informe a data]],"mmmm"))</f>
        <v>ABRIL</v>
      </c>
      <c r="AC297" s="87" t="e">
        <f ca="1">_xlfn.CONCAT(Tabela1[[#This Row],[Selecione o Usuário]]," - ",TEXT(Tabela1[[#This Row],[Informe a data]],"dd-mm-aa"))</f>
        <v>#NAME?</v>
      </c>
    </row>
    <row r="298" spans="1:29">
      <c r="A298" s="49">
        <v>46142.013483796298</v>
      </c>
      <c r="B298" s="50" t="s">
        <v>176</v>
      </c>
      <c r="C298" s="50" t="s">
        <v>136</v>
      </c>
      <c r="D298" s="50" t="s">
        <v>177</v>
      </c>
      <c r="E298" s="51">
        <v>46135</v>
      </c>
      <c r="F298" s="52">
        <v>172371</v>
      </c>
      <c r="G298" s="58" t="s">
        <v>1129</v>
      </c>
      <c r="H298" s="52">
        <v>172432</v>
      </c>
      <c r="I298" s="58" t="s">
        <v>1130</v>
      </c>
      <c r="J298" s="50" t="s">
        <v>1131</v>
      </c>
      <c r="K298" s="53"/>
      <c r="L298" s="50" t="s">
        <v>60</v>
      </c>
      <c r="M298" s="53"/>
      <c r="N298" s="53"/>
      <c r="O298" s="53"/>
      <c r="P298" s="53"/>
      <c r="Q298" s="53"/>
      <c r="R298" s="53"/>
      <c r="S298" s="53"/>
      <c r="T298" s="53"/>
      <c r="U298" s="85">
        <f>(Tabela1[[#This Row],[Informe o KM final do dia]]-Tabela1[[#This Row],[Informe o KM inicial do dia]])-Tabela1[[#This Row],[Caso tenha rodado particular alguma parte do trajeto, informe o total de KM a ser deduzido.]]</f>
        <v>61</v>
      </c>
      <c r="V298" s="86">
        <f>IF(Tabela1[[#This Row],[Informe a data]]&lt;DATE(2026,3,16), Tabela1[[#This Row],[KM Rodado]]*1.1, Tabela1[[#This Row],[KM Rodado]]*1.23)</f>
        <v>75.03</v>
      </c>
      <c r="W298" s="86">
        <f>IFERROR(SUBSTITUTE(Tabela1[[#This Row],[Pedágio]],".",",",1)*1,0)</f>
        <v>0</v>
      </c>
      <c r="X298" s="86">
        <f>IFERROR(SUBSTITUTE(Tabela1[[#This Row],[Estacionamento]],".",",",1)*1,0)</f>
        <v>0</v>
      </c>
      <c r="Y298" s="86">
        <f>IFERROR(SUBSTITUTE(Tabela1[[#This Row],[Despesas Diversas 
(Jantar em viagem, Impressões, Etc)]],".",",",1)*1,0)</f>
        <v>0</v>
      </c>
      <c r="Z298" s="86">
        <f>IFERROR(SUBSTITUTE(Tabela1[[#This Row],[Hospedagem]],".",",",1)*1,0)</f>
        <v>0</v>
      </c>
      <c r="AA298" s="56" t="str">
        <f>IF(DAY(Tabela1[[#This Row],[Informe a data]])&lt;=15,"1ª Quinzena","2ª Quinzena")</f>
        <v>2ª Quinzena</v>
      </c>
      <c r="AB298" s="56" t="str">
        <f>UPPER(TEXT(Tabela1[[#This Row],[Informe a data]],"mmmm"))</f>
        <v>ABRIL</v>
      </c>
      <c r="AC298" s="87" t="e">
        <f ca="1">_xlfn.CONCAT(Tabela1[[#This Row],[Selecione o Usuário]]," - ",TEXT(Tabela1[[#This Row],[Informe a data]],"dd-mm-aa"))</f>
        <v>#NAME?</v>
      </c>
    </row>
    <row r="299" spans="1:29">
      <c r="A299" s="49">
        <v>46136.836261574077</v>
      </c>
      <c r="B299" s="50" t="s">
        <v>131</v>
      </c>
      <c r="C299" s="50" t="s">
        <v>132</v>
      </c>
      <c r="D299" s="50" t="s">
        <v>133</v>
      </c>
      <c r="E299" s="51">
        <v>46136</v>
      </c>
      <c r="F299" s="52">
        <v>192408</v>
      </c>
      <c r="G299" s="58" t="s">
        <v>1088</v>
      </c>
      <c r="H299" s="52">
        <v>192499</v>
      </c>
      <c r="I299" s="58" t="s">
        <v>1089</v>
      </c>
      <c r="J299" s="50" t="s">
        <v>1090</v>
      </c>
      <c r="K299" s="53"/>
      <c r="L299" s="50" t="s">
        <v>60</v>
      </c>
      <c r="M299" s="53"/>
      <c r="N299" s="53"/>
      <c r="O299" s="53"/>
      <c r="P299" s="53"/>
      <c r="Q299" s="53"/>
      <c r="R299" s="53"/>
      <c r="S299" s="53"/>
      <c r="T299" s="53"/>
      <c r="U299" s="85">
        <f>(Tabela1[[#This Row],[Informe o KM final do dia]]-Tabela1[[#This Row],[Informe o KM inicial do dia]])-Tabela1[[#This Row],[Caso tenha rodado particular alguma parte do trajeto, informe o total de KM a ser deduzido.]]</f>
        <v>91</v>
      </c>
      <c r="V299" s="86">
        <f>IF(Tabela1[[#This Row],[Informe a data]]&lt;DATE(2026,3,16), Tabela1[[#This Row],[KM Rodado]]*1.1, Tabela1[[#This Row],[KM Rodado]]*1.23)</f>
        <v>111.92999999999999</v>
      </c>
      <c r="W299" s="86">
        <f>IFERROR(SUBSTITUTE(Tabela1[[#This Row],[Pedágio]],".",",",1)*1,0)</f>
        <v>0</v>
      </c>
      <c r="X299" s="86">
        <f>IFERROR(SUBSTITUTE(Tabela1[[#This Row],[Estacionamento]],".",",",1)*1,0)</f>
        <v>0</v>
      </c>
      <c r="Y299" s="86">
        <f>IFERROR(SUBSTITUTE(Tabela1[[#This Row],[Despesas Diversas 
(Jantar em viagem, Impressões, Etc)]],".",",",1)*1,0)</f>
        <v>0</v>
      </c>
      <c r="Z299" s="86">
        <f>IFERROR(SUBSTITUTE(Tabela1[[#This Row],[Hospedagem]],".",",",1)*1,0)</f>
        <v>0</v>
      </c>
      <c r="AA299" s="56" t="str">
        <f>IF(DAY(Tabela1[[#This Row],[Informe a data]])&lt;=15,"1ª Quinzena","2ª Quinzena")</f>
        <v>2ª Quinzena</v>
      </c>
      <c r="AB299" s="56" t="str">
        <f>UPPER(TEXT(Tabela1[[#This Row],[Informe a data]],"mmmm"))</f>
        <v>ABRIL</v>
      </c>
      <c r="AC299" s="87" t="e">
        <f ca="1">_xlfn.CONCAT(Tabela1[[#This Row],[Selecione o Usuário]]," - ",TEXT(Tabela1[[#This Row],[Informe a data]],"dd-mm-aa"))</f>
        <v>#NAME?</v>
      </c>
    </row>
    <row r="300" spans="1:29">
      <c r="A300" s="89">
        <v>46142.014814814815</v>
      </c>
      <c r="B300" s="90" t="s">
        <v>176</v>
      </c>
      <c r="C300" s="90" t="s">
        <v>136</v>
      </c>
      <c r="D300" s="90" t="s">
        <v>177</v>
      </c>
      <c r="E300" s="91">
        <v>46136</v>
      </c>
      <c r="F300" s="92">
        <v>172432</v>
      </c>
      <c r="G300" s="93" t="s">
        <v>1132</v>
      </c>
      <c r="H300" s="92">
        <v>172479</v>
      </c>
      <c r="I300" s="93" t="s">
        <v>1133</v>
      </c>
      <c r="J300" s="90" t="s">
        <v>1134</v>
      </c>
      <c r="K300" s="94"/>
      <c r="L300" s="90" t="s">
        <v>60</v>
      </c>
      <c r="M300" s="94"/>
      <c r="N300" s="94"/>
      <c r="O300" s="94"/>
      <c r="P300" s="94"/>
      <c r="Q300" s="94"/>
      <c r="R300" s="94"/>
      <c r="S300" s="94"/>
      <c r="T300" s="94"/>
      <c r="U300" s="85">
        <f>(Tabela1[[#This Row],[Informe o KM final do dia]]-Tabela1[[#This Row],[Informe o KM inicial do dia]])-Tabela1[[#This Row],[Caso tenha rodado particular alguma parte do trajeto, informe o total de KM a ser deduzido.]]</f>
        <v>47</v>
      </c>
      <c r="V300" s="86">
        <f>IF(Tabela1[[#This Row],[Informe a data]]&lt;DATE(2026,3,16), Tabela1[[#This Row],[KM Rodado]]*1.1, Tabela1[[#This Row],[KM Rodado]]*1.23)</f>
        <v>57.81</v>
      </c>
      <c r="W300" s="86">
        <f>IFERROR(SUBSTITUTE(Tabela1[[#This Row],[Pedágio]],".",",",1)*1,0)</f>
        <v>0</v>
      </c>
      <c r="X300" s="86">
        <f>IFERROR(SUBSTITUTE(Tabela1[[#This Row],[Estacionamento]],".",",",1)*1,0)</f>
        <v>0</v>
      </c>
      <c r="Y300" s="86">
        <f>IFERROR(SUBSTITUTE(Tabela1[[#This Row],[Despesas Diversas 
(Jantar em viagem, Impressões, Etc)]],".",",",1)*1,0)</f>
        <v>0</v>
      </c>
      <c r="Z300" s="86">
        <f>IFERROR(SUBSTITUTE(Tabela1[[#This Row],[Hospedagem]],".",",",1)*1,0)</f>
        <v>0</v>
      </c>
      <c r="AA300" s="56" t="str">
        <f>IF(DAY(Tabela1[[#This Row],[Informe a data]])&lt;=15,"1ª Quinzena","2ª Quinzena")</f>
        <v>2ª Quinzena</v>
      </c>
      <c r="AB300" s="56" t="str">
        <f>UPPER(TEXT(Tabela1[[#This Row],[Informe a data]],"mmmm"))</f>
        <v>ABRIL</v>
      </c>
      <c r="AC300" s="87" t="e">
        <f ca="1">_xlfn.CONCAT(Tabela1[[#This Row],[Selecione o Usuário]]," - ",TEXT(Tabela1[[#This Row],[Informe a data]],"dd-mm-aa"))</f>
        <v>#NAME?</v>
      </c>
    </row>
    <row r="301" spans="1:29">
      <c r="A301" s="49">
        <v>46139.605231481481</v>
      </c>
      <c r="B301" s="50" t="s">
        <v>504</v>
      </c>
      <c r="C301" s="50" t="s">
        <v>505</v>
      </c>
      <c r="D301" s="50" t="s">
        <v>506</v>
      </c>
      <c r="E301" s="51">
        <v>46137</v>
      </c>
      <c r="F301" s="52">
        <v>103551</v>
      </c>
      <c r="G301" s="58" t="s">
        <v>1097</v>
      </c>
      <c r="H301" s="52">
        <v>103627</v>
      </c>
      <c r="I301" s="58" t="s">
        <v>1098</v>
      </c>
      <c r="J301" s="50" t="s">
        <v>1099</v>
      </c>
      <c r="K301" s="53"/>
      <c r="L301" s="50" t="s">
        <v>60</v>
      </c>
      <c r="M301" s="53"/>
      <c r="N301" s="53"/>
      <c r="O301" s="53"/>
      <c r="P301" s="53"/>
      <c r="Q301" s="53"/>
      <c r="R301" s="53"/>
      <c r="S301" s="53"/>
      <c r="T301" s="53"/>
      <c r="U301" s="85">
        <f>(Tabela1[[#This Row],[Informe o KM final do dia]]-Tabela1[[#This Row],[Informe o KM inicial do dia]])-Tabela1[[#This Row],[Caso tenha rodado particular alguma parte do trajeto, informe o total de KM a ser deduzido.]]</f>
        <v>76</v>
      </c>
      <c r="V301" s="86">
        <f>IF(Tabela1[[#This Row],[Informe a data]]&lt;DATE(2026,3,16), Tabela1[[#This Row],[KM Rodado]]*1.1, Tabela1[[#This Row],[KM Rodado]]*1.23)</f>
        <v>93.48</v>
      </c>
      <c r="W301" s="86">
        <f>IFERROR(SUBSTITUTE(Tabela1[[#This Row],[Pedágio]],".",",",1)*1,0)</f>
        <v>0</v>
      </c>
      <c r="X301" s="86">
        <f>IFERROR(SUBSTITUTE(Tabela1[[#This Row],[Estacionamento]],".",",",1)*1,0)</f>
        <v>0</v>
      </c>
      <c r="Y301" s="86">
        <f>IFERROR(SUBSTITUTE(Tabela1[[#This Row],[Despesas Diversas 
(Jantar em viagem, Impressões, Etc)]],".",",",1)*1,0)</f>
        <v>0</v>
      </c>
      <c r="Z301" s="86">
        <f>IFERROR(SUBSTITUTE(Tabela1[[#This Row],[Hospedagem]],".",",",1)*1,0)</f>
        <v>0</v>
      </c>
      <c r="AA301" s="56" t="str">
        <f>IF(DAY(Tabela1[[#This Row],[Informe a data]])&lt;=15,"1ª Quinzena","2ª Quinzena")</f>
        <v>2ª Quinzena</v>
      </c>
      <c r="AB301" s="56" t="str">
        <f>UPPER(TEXT(Tabela1[[#This Row],[Informe a data]],"mmmm"))</f>
        <v>ABRIL</v>
      </c>
      <c r="AC301" s="87" t="e">
        <f ca="1">_xlfn.CONCAT(Tabela1[[#This Row],[Selecione o Usuário]]," - ",TEXT(Tabela1[[#This Row],[Informe a data]],"dd-mm-aa"))</f>
        <v>#NAME?</v>
      </c>
    </row>
    <row r="302" spans="1:29">
      <c r="A302" s="89">
        <v>46139.717418981483</v>
      </c>
      <c r="B302" s="90" t="s">
        <v>497</v>
      </c>
      <c r="C302" s="90" t="s">
        <v>498</v>
      </c>
      <c r="D302" s="90" t="s">
        <v>1072</v>
      </c>
      <c r="E302" s="91">
        <v>46139</v>
      </c>
      <c r="F302" s="92">
        <v>53451</v>
      </c>
      <c r="G302" s="93" t="s">
        <v>1100</v>
      </c>
      <c r="H302" s="92">
        <v>53715</v>
      </c>
      <c r="I302" s="93" t="s">
        <v>1101</v>
      </c>
      <c r="J302" s="90" t="s">
        <v>1102</v>
      </c>
      <c r="K302" s="94"/>
      <c r="L302" s="90" t="s">
        <v>61</v>
      </c>
      <c r="M302" s="94"/>
      <c r="N302" s="90" t="s">
        <v>1103</v>
      </c>
      <c r="O302" s="94"/>
      <c r="P302" s="94"/>
      <c r="Q302" s="94"/>
      <c r="R302" s="94"/>
      <c r="S302" s="94"/>
      <c r="T302" s="94" t="s">
        <v>1104</v>
      </c>
      <c r="U302" s="85">
        <f>(Tabela1[[#This Row],[Informe o KM final do dia]]-Tabela1[[#This Row],[Informe o KM inicial do dia]])-Tabela1[[#This Row],[Caso tenha rodado particular alguma parte do trajeto, informe o total de KM a ser deduzido.]]</f>
        <v>264</v>
      </c>
      <c r="V302" s="86">
        <f>IF(Tabela1[[#This Row],[Informe a data]]&lt;DATE(2026,3,16), Tabela1[[#This Row],[KM Rodado]]*1.1, Tabela1[[#This Row],[KM Rodado]]*1.23)</f>
        <v>324.71999999999997</v>
      </c>
      <c r="W302" s="86">
        <f>IFERROR(SUBSTITUTE(Tabela1[[#This Row],[Pedágio]],".",",",1)*1,0)</f>
        <v>0</v>
      </c>
      <c r="X302" s="86">
        <f>IFERROR(SUBSTITUTE(Tabela1[[#This Row],[Estacionamento]],".",",",1)*1,0)</f>
        <v>0</v>
      </c>
      <c r="Y302" s="86">
        <f>IFERROR(SUBSTITUTE(Tabela1[[#This Row],[Despesas Diversas 
(Jantar em viagem, Impressões, Etc)]],".",",",1)*1,0)</f>
        <v>0</v>
      </c>
      <c r="Z302" s="86">
        <f>IFERROR(SUBSTITUTE(Tabela1[[#This Row],[Hospedagem]],".",",",1)*1,0)</f>
        <v>0</v>
      </c>
      <c r="AA302" s="56" t="str">
        <f>IF(DAY(Tabela1[[#This Row],[Informe a data]])&lt;=15,"1ª Quinzena","2ª Quinzena")</f>
        <v>2ª Quinzena</v>
      </c>
      <c r="AB302" s="56" t="str">
        <f>UPPER(TEXT(Tabela1[[#This Row],[Informe a data]],"mmmm"))</f>
        <v>ABRIL</v>
      </c>
      <c r="AC302" s="87" t="e">
        <f ca="1">_xlfn.CONCAT(Tabela1[[#This Row],[Selecione o Usuário]]," - ",TEXT(Tabela1[[#This Row],[Informe a data]],"dd-mm-aa"))</f>
        <v>#NAME?</v>
      </c>
    </row>
    <row r="303" spans="1:29">
      <c r="A303" s="89">
        <v>46141.774270833332</v>
      </c>
      <c r="B303" s="90" t="s">
        <v>1116</v>
      </c>
      <c r="C303" s="90" t="s">
        <v>559</v>
      </c>
      <c r="D303" s="90" t="s">
        <v>560</v>
      </c>
      <c r="E303" s="91">
        <v>46140</v>
      </c>
      <c r="F303" s="92">
        <v>78941</v>
      </c>
      <c r="G303" s="94"/>
      <c r="H303" s="92">
        <v>79091</v>
      </c>
      <c r="I303" s="94"/>
      <c r="J303" s="90" t="s">
        <v>1121</v>
      </c>
      <c r="K303" s="94"/>
      <c r="L303" s="90" t="s">
        <v>60</v>
      </c>
      <c r="M303" s="94"/>
      <c r="N303" s="94"/>
      <c r="O303" s="94"/>
      <c r="P303" s="94"/>
      <c r="Q303" s="94"/>
      <c r="R303" s="94"/>
      <c r="S303" s="94"/>
      <c r="T303" s="94"/>
      <c r="U303" s="85">
        <f>(Tabela1[[#This Row],[Informe o KM final do dia]]-Tabela1[[#This Row],[Informe o KM inicial do dia]])-Tabela1[[#This Row],[Caso tenha rodado particular alguma parte do trajeto, informe o total de KM a ser deduzido.]]</f>
        <v>150</v>
      </c>
      <c r="V303" s="86">
        <f>IF(Tabela1[[#This Row],[Informe a data]]&lt;DATE(2026,3,16), Tabela1[[#This Row],[KM Rodado]]*1.1, Tabela1[[#This Row],[KM Rodado]]*1.23)</f>
        <v>184.5</v>
      </c>
      <c r="W303" s="86">
        <f>IFERROR(SUBSTITUTE(Tabela1[[#This Row],[Pedágio]],".",",",1)*1,0)</f>
        <v>0</v>
      </c>
      <c r="X303" s="86">
        <f>IFERROR(SUBSTITUTE(Tabela1[[#This Row],[Estacionamento]],".",",",1)*1,0)</f>
        <v>0</v>
      </c>
      <c r="Y303" s="86">
        <f>IFERROR(SUBSTITUTE(Tabela1[[#This Row],[Despesas Diversas 
(Jantar em viagem, Impressões, Etc)]],".",",",1)*1,0)</f>
        <v>0</v>
      </c>
      <c r="Z303" s="86">
        <f>IFERROR(SUBSTITUTE(Tabela1[[#This Row],[Hospedagem]],".",",",1)*1,0)</f>
        <v>0</v>
      </c>
      <c r="AA303" s="56" t="str">
        <f>IF(DAY(Tabela1[[#This Row],[Informe a data]])&lt;=15,"1ª Quinzena","2ª Quinzena")</f>
        <v>2ª Quinzena</v>
      </c>
      <c r="AB303" s="56" t="str">
        <f>UPPER(TEXT(Tabela1[[#This Row],[Informe a data]],"mmmm"))</f>
        <v>ABRIL</v>
      </c>
      <c r="AC303" s="87" t="e">
        <f ca="1">_xlfn.CONCAT(Tabela1[[#This Row],[Selecione o Usuário]]," - ",TEXT(Tabela1[[#This Row],[Informe a data]],"dd-mm-aa"))</f>
        <v>#NAME?</v>
      </c>
    </row>
    <row r="304" spans="1:29">
      <c r="A304" s="49">
        <v>46140.831250000003</v>
      </c>
      <c r="B304" s="50" t="s">
        <v>131</v>
      </c>
      <c r="C304" s="50" t="s">
        <v>132</v>
      </c>
      <c r="D304" s="50" t="s">
        <v>133</v>
      </c>
      <c r="E304" s="51">
        <v>46140</v>
      </c>
      <c r="F304" s="52">
        <v>192514</v>
      </c>
      <c r="G304" s="58" t="s">
        <v>1111</v>
      </c>
      <c r="H304" s="52">
        <v>192589</v>
      </c>
      <c r="I304" s="58" t="s">
        <v>1112</v>
      </c>
      <c r="J304" s="50" t="s">
        <v>1113</v>
      </c>
      <c r="K304" s="53"/>
      <c r="L304" s="50" t="s">
        <v>61</v>
      </c>
      <c r="M304" s="53"/>
      <c r="N304" s="53"/>
      <c r="O304" s="50" t="s">
        <v>1114</v>
      </c>
      <c r="P304" s="50" t="s">
        <v>1115</v>
      </c>
      <c r="Q304" s="53"/>
      <c r="R304" s="53"/>
      <c r="S304" s="53"/>
      <c r="T304" s="53"/>
      <c r="U304" s="85">
        <f>(Tabela1[[#This Row],[Informe o KM final do dia]]-Tabela1[[#This Row],[Informe o KM inicial do dia]])-Tabela1[[#This Row],[Caso tenha rodado particular alguma parte do trajeto, informe o total de KM a ser deduzido.]]</f>
        <v>75</v>
      </c>
      <c r="V304" s="86">
        <f>IF(Tabela1[[#This Row],[Informe a data]]&lt;DATE(2026,3,16), Tabela1[[#This Row],[KM Rodado]]*1.1, Tabela1[[#This Row],[KM Rodado]]*1.23)</f>
        <v>92.25</v>
      </c>
      <c r="W304" s="86">
        <f>IFERROR(SUBSTITUTE(Tabela1[[#This Row],[Pedágio]],".",",",1)*1,0)</f>
        <v>0</v>
      </c>
      <c r="X304" s="86">
        <f>IFERROR(SUBSTITUTE(Tabela1[[#This Row],[Estacionamento]],".",",",1)*1,0)</f>
        <v>38</v>
      </c>
      <c r="Y304" s="86">
        <f>IFERROR(SUBSTITUTE(Tabela1[[#This Row],[Despesas Diversas 
(Jantar em viagem, Impressões, Etc)]],".",",",1)*1,0)</f>
        <v>0</v>
      </c>
      <c r="Z304" s="86">
        <f>IFERROR(SUBSTITUTE(Tabela1[[#This Row],[Hospedagem]],".",",",1)*1,0)</f>
        <v>0</v>
      </c>
      <c r="AA304" s="56" t="str">
        <f>IF(DAY(Tabela1[[#This Row],[Informe a data]])&lt;=15,"1ª Quinzena","2ª Quinzena")</f>
        <v>2ª Quinzena</v>
      </c>
      <c r="AB304" s="56" t="str">
        <f>UPPER(TEXT(Tabela1[[#This Row],[Informe a data]],"mmmm"))</f>
        <v>ABRIL</v>
      </c>
      <c r="AC304" s="87" t="e">
        <f ca="1">_xlfn.CONCAT(Tabela1[[#This Row],[Selecione o Usuário]]," - ",TEXT(Tabela1[[#This Row],[Informe a data]],"dd-mm-aa"))</f>
        <v>#NAME?</v>
      </c>
    </row>
    <row r="305" spans="1:29">
      <c r="A305" s="49">
        <v>46140.632696759261</v>
      </c>
      <c r="B305" s="50" t="s">
        <v>504</v>
      </c>
      <c r="C305" s="50" t="s">
        <v>505</v>
      </c>
      <c r="D305" s="50" t="s">
        <v>506</v>
      </c>
      <c r="E305" s="51">
        <v>46140</v>
      </c>
      <c r="F305" s="52">
        <v>103683</v>
      </c>
      <c r="G305" s="58" t="s">
        <v>1105</v>
      </c>
      <c r="H305" s="52">
        <v>103780</v>
      </c>
      <c r="I305" s="58" t="s">
        <v>1106</v>
      </c>
      <c r="J305" s="50" t="s">
        <v>1107</v>
      </c>
      <c r="K305" s="53"/>
      <c r="L305" s="50" t="s">
        <v>60</v>
      </c>
      <c r="M305" s="53"/>
      <c r="N305" s="53"/>
      <c r="O305" s="53"/>
      <c r="P305" s="53"/>
      <c r="Q305" s="53"/>
      <c r="R305" s="53"/>
      <c r="S305" s="53"/>
      <c r="T305" s="53"/>
      <c r="U305" s="85">
        <f>(Tabela1[[#This Row],[Informe o KM final do dia]]-Tabela1[[#This Row],[Informe o KM inicial do dia]])-Tabela1[[#This Row],[Caso tenha rodado particular alguma parte do trajeto, informe o total de KM a ser deduzido.]]</f>
        <v>97</v>
      </c>
      <c r="V305" s="86">
        <f>IF(Tabela1[[#This Row],[Informe a data]]&lt;DATE(2026,3,16), Tabela1[[#This Row],[KM Rodado]]*1.1, Tabela1[[#This Row],[KM Rodado]]*1.23)</f>
        <v>119.31</v>
      </c>
      <c r="W305" s="86">
        <f>IFERROR(SUBSTITUTE(Tabela1[[#This Row],[Pedágio]],".",",",1)*1,0)</f>
        <v>0</v>
      </c>
      <c r="X305" s="86">
        <f>IFERROR(SUBSTITUTE(Tabela1[[#This Row],[Estacionamento]],".",",",1)*1,0)</f>
        <v>0</v>
      </c>
      <c r="Y305" s="86">
        <f>IFERROR(SUBSTITUTE(Tabela1[[#This Row],[Despesas Diversas 
(Jantar em viagem, Impressões, Etc)]],".",",",1)*1,0)</f>
        <v>0</v>
      </c>
      <c r="Z305" s="86">
        <f>IFERROR(SUBSTITUTE(Tabela1[[#This Row],[Hospedagem]],".",",",1)*1,0)</f>
        <v>0</v>
      </c>
      <c r="AA305" s="56" t="str">
        <f>IF(DAY(Tabela1[[#This Row],[Informe a data]])&lt;=15,"1ª Quinzena","2ª Quinzena")</f>
        <v>2ª Quinzena</v>
      </c>
      <c r="AB305" s="56" t="str">
        <f>UPPER(TEXT(Tabela1[[#This Row],[Informe a data]],"mmmm"))</f>
        <v>ABRIL</v>
      </c>
      <c r="AC305" s="87" t="e">
        <f ca="1">_xlfn.CONCAT(Tabela1[[#This Row],[Selecione o Usuário]]," - ",TEXT(Tabela1[[#This Row],[Informe a data]],"dd-mm-aa"))</f>
        <v>#NAME?</v>
      </c>
    </row>
    <row r="306" spans="1:29">
      <c r="A306" s="89">
        <v>46140.646377314813</v>
      </c>
      <c r="B306" s="90" t="s">
        <v>300</v>
      </c>
      <c r="C306" s="90" t="s">
        <v>250</v>
      </c>
      <c r="D306" s="90" t="s">
        <v>228</v>
      </c>
      <c r="E306" s="91">
        <v>46140</v>
      </c>
      <c r="F306" s="92">
        <v>128046</v>
      </c>
      <c r="G306" s="93" t="s">
        <v>1108</v>
      </c>
      <c r="H306" s="92">
        <v>128137</v>
      </c>
      <c r="I306" s="93" t="s">
        <v>1109</v>
      </c>
      <c r="J306" s="90" t="s">
        <v>1110</v>
      </c>
      <c r="K306" s="94"/>
      <c r="L306" s="90" t="s">
        <v>60</v>
      </c>
      <c r="M306" s="94"/>
      <c r="N306" s="94"/>
      <c r="O306" s="94"/>
      <c r="P306" s="94"/>
      <c r="Q306" s="94"/>
      <c r="R306" s="94"/>
      <c r="S306" s="94"/>
      <c r="T306" s="94"/>
      <c r="U306" s="85">
        <f>(Tabela1[[#This Row],[Informe o KM final do dia]]-Tabela1[[#This Row],[Informe o KM inicial do dia]])-Tabela1[[#This Row],[Caso tenha rodado particular alguma parte do trajeto, informe o total de KM a ser deduzido.]]</f>
        <v>91</v>
      </c>
      <c r="V306" s="86">
        <f>IF(Tabela1[[#This Row],[Informe a data]]&lt;DATE(2026,3,16), Tabela1[[#This Row],[KM Rodado]]*1.1, Tabela1[[#This Row],[KM Rodado]]*1.23)</f>
        <v>111.92999999999999</v>
      </c>
      <c r="W306" s="86">
        <f>IFERROR(SUBSTITUTE(Tabela1[[#This Row],[Pedágio]],".",",",1)*1,0)</f>
        <v>0</v>
      </c>
      <c r="X306" s="86">
        <f>IFERROR(SUBSTITUTE(Tabela1[[#This Row],[Estacionamento]],".",",",1)*1,0)</f>
        <v>0</v>
      </c>
      <c r="Y306" s="86">
        <f>IFERROR(SUBSTITUTE(Tabela1[[#This Row],[Despesas Diversas 
(Jantar em viagem, Impressões, Etc)]],".",",",1)*1,0)</f>
        <v>0</v>
      </c>
      <c r="Z306" s="86">
        <f>IFERROR(SUBSTITUTE(Tabela1[[#This Row],[Hospedagem]],".",",",1)*1,0)</f>
        <v>0</v>
      </c>
      <c r="AA306" s="56" t="str">
        <f>IF(DAY(Tabela1[[#This Row],[Informe a data]])&lt;=15,"1ª Quinzena","2ª Quinzena")</f>
        <v>2ª Quinzena</v>
      </c>
      <c r="AB306" s="56" t="str">
        <f>UPPER(TEXT(Tabela1[[#This Row],[Informe a data]],"mmmm"))</f>
        <v>ABRIL</v>
      </c>
      <c r="AC306" s="87" t="e">
        <f ca="1">_xlfn.CONCAT(Tabela1[[#This Row],[Selecione o Usuário]]," - ",TEXT(Tabela1[[#This Row],[Informe a data]],"dd-mm-aa"))</f>
        <v>#NAME?</v>
      </c>
    </row>
    <row r="307" spans="1:29">
      <c r="A307" s="49">
        <v>46141.756655092591</v>
      </c>
      <c r="B307" s="50" t="s">
        <v>1116</v>
      </c>
      <c r="C307" s="50" t="s">
        <v>559</v>
      </c>
      <c r="D307" s="50" t="s">
        <v>560</v>
      </c>
      <c r="E307" s="51">
        <v>46141</v>
      </c>
      <c r="F307" s="52">
        <v>79107</v>
      </c>
      <c r="G307" s="53"/>
      <c r="H307" s="52">
        <v>79158</v>
      </c>
      <c r="I307" s="53"/>
      <c r="J307" s="50" t="s">
        <v>1117</v>
      </c>
      <c r="K307" s="53"/>
      <c r="L307" s="50" t="s">
        <v>60</v>
      </c>
      <c r="M307" s="53"/>
      <c r="N307" s="53"/>
      <c r="O307" s="53"/>
      <c r="P307" s="53"/>
      <c r="Q307" s="53"/>
      <c r="R307" s="53"/>
      <c r="S307" s="53"/>
      <c r="T307" s="53"/>
      <c r="U307" s="85">
        <f>(Tabela1[[#This Row],[Informe o KM final do dia]]-Tabela1[[#This Row],[Informe o KM inicial do dia]])-Tabela1[[#This Row],[Caso tenha rodado particular alguma parte do trajeto, informe o total de KM a ser deduzido.]]</f>
        <v>51</v>
      </c>
      <c r="V307" s="86">
        <f>IF(Tabela1[[#This Row],[Informe a data]]&lt;DATE(2026,3,16), Tabela1[[#This Row],[KM Rodado]]*1.1, Tabela1[[#This Row],[KM Rodado]]*1.23)</f>
        <v>62.73</v>
      </c>
      <c r="W307" s="86">
        <f>IFERROR(SUBSTITUTE(Tabela1[[#This Row],[Pedágio]],".",",",1)*1,0)</f>
        <v>0</v>
      </c>
      <c r="X307" s="86">
        <f>IFERROR(SUBSTITUTE(Tabela1[[#This Row],[Estacionamento]],".",",",1)*1,0)</f>
        <v>0</v>
      </c>
      <c r="Y307" s="86">
        <f>IFERROR(SUBSTITUTE(Tabela1[[#This Row],[Despesas Diversas 
(Jantar em viagem, Impressões, Etc)]],".",",",1)*1,0)</f>
        <v>0</v>
      </c>
      <c r="Z307" s="86">
        <f>IFERROR(SUBSTITUTE(Tabela1[[#This Row],[Hospedagem]],".",",",1)*1,0)</f>
        <v>0</v>
      </c>
      <c r="AA307" s="56" t="str">
        <f>IF(DAY(Tabela1[[#This Row],[Informe a data]])&lt;=15,"1ª Quinzena","2ª Quinzena")</f>
        <v>2ª Quinzena</v>
      </c>
      <c r="AB307" s="56" t="str">
        <f>UPPER(TEXT(Tabela1[[#This Row],[Informe a data]],"mmmm"))</f>
        <v>ABRIL</v>
      </c>
      <c r="AC307" s="87" t="e">
        <f ca="1">_xlfn.CONCAT(Tabela1[[#This Row],[Selecione o Usuário]]," - ",TEXT(Tabela1[[#This Row],[Informe a data]],"dd-mm-aa"))</f>
        <v>#NAME?</v>
      </c>
    </row>
    <row r="308" spans="1:29">
      <c r="A308" s="49">
        <v>46141.79378472222</v>
      </c>
      <c r="B308" s="50" t="s">
        <v>504</v>
      </c>
      <c r="C308" s="50" t="s">
        <v>505</v>
      </c>
      <c r="D308" s="50" t="s">
        <v>506</v>
      </c>
      <c r="E308" s="51">
        <v>46141</v>
      </c>
      <c r="F308" s="52">
        <v>103713</v>
      </c>
      <c r="G308" s="58" t="s">
        <v>1122</v>
      </c>
      <c r="H308" s="52">
        <v>103753</v>
      </c>
      <c r="I308" s="58" t="s">
        <v>1123</v>
      </c>
      <c r="J308" s="50" t="s">
        <v>1124</v>
      </c>
      <c r="K308" s="53"/>
      <c r="L308" s="50" t="s">
        <v>61</v>
      </c>
      <c r="M308" s="53"/>
      <c r="N308" s="53"/>
      <c r="O308" s="53"/>
      <c r="P308" s="53"/>
      <c r="Q308" s="52">
        <v>40</v>
      </c>
      <c r="R308" s="58" t="s">
        <v>1125</v>
      </c>
      <c r="S308" s="53"/>
      <c r="T308" s="53"/>
      <c r="U308" s="85">
        <f>(Tabela1[[#This Row],[Informe o KM final do dia]]-Tabela1[[#This Row],[Informe o KM inicial do dia]])-Tabela1[[#This Row],[Caso tenha rodado particular alguma parte do trajeto, informe o total de KM a ser deduzido.]]</f>
        <v>40</v>
      </c>
      <c r="V308" s="86">
        <f>IF(Tabela1[[#This Row],[Informe a data]]&lt;DATE(2026,3,16), Tabela1[[#This Row],[KM Rodado]]*1.1, Tabela1[[#This Row],[KM Rodado]]*1.23)</f>
        <v>49.2</v>
      </c>
      <c r="W308" s="86">
        <f>IFERROR(SUBSTITUTE(Tabela1[[#This Row],[Pedágio]],".",",",1)*1,0)</f>
        <v>0</v>
      </c>
      <c r="X308" s="86">
        <f>IFERROR(SUBSTITUTE(Tabela1[[#This Row],[Estacionamento]],".",",",1)*1,0)</f>
        <v>0</v>
      </c>
      <c r="Y308" s="86">
        <f>IFERROR(SUBSTITUTE(Tabela1[[#This Row],[Despesas Diversas 
(Jantar em viagem, Impressões, Etc)]],".",",",1)*1,0)</f>
        <v>40</v>
      </c>
      <c r="Z308" s="86">
        <f>IFERROR(SUBSTITUTE(Tabela1[[#This Row],[Hospedagem]],".",",",1)*1,0)</f>
        <v>0</v>
      </c>
      <c r="AA308" s="56" t="str">
        <f>IF(DAY(Tabela1[[#This Row],[Informe a data]])&lt;=15,"1ª Quinzena","2ª Quinzena")</f>
        <v>2ª Quinzena</v>
      </c>
      <c r="AB308" s="56" t="str">
        <f>UPPER(TEXT(Tabela1[[#This Row],[Informe a data]],"mmmm"))</f>
        <v>ABRIL</v>
      </c>
      <c r="AC308" s="87" t="e">
        <f ca="1">_xlfn.CONCAT(Tabela1[[#This Row],[Selecione o Usuário]]," - ",TEXT(Tabela1[[#This Row],[Informe a data]],"dd-mm-aa"))</f>
        <v>#NAME?</v>
      </c>
    </row>
    <row r="309" spans="1:29">
      <c r="A309" s="49">
        <v>46142.863981481481</v>
      </c>
      <c r="B309" s="50" t="s">
        <v>497</v>
      </c>
      <c r="C309" s="50" t="s">
        <v>498</v>
      </c>
      <c r="D309" s="50" t="s">
        <v>1141</v>
      </c>
      <c r="E309" s="51">
        <v>46142</v>
      </c>
      <c r="F309" s="52">
        <v>400867</v>
      </c>
      <c r="G309" s="58" t="s">
        <v>1142</v>
      </c>
      <c r="H309" s="52">
        <v>400894</v>
      </c>
      <c r="I309" s="58" t="s">
        <v>1143</v>
      </c>
      <c r="J309" s="50" t="s">
        <v>1144</v>
      </c>
      <c r="K309" s="53"/>
      <c r="L309" s="50" t="s">
        <v>60</v>
      </c>
      <c r="M309" s="53"/>
      <c r="N309" s="53"/>
      <c r="O309" s="53"/>
      <c r="P309" s="53"/>
      <c r="Q309" s="53"/>
      <c r="R309" s="53"/>
      <c r="S309" s="53"/>
      <c r="T309" s="53"/>
      <c r="U309" s="85">
        <f>(Tabela1[[#This Row],[Informe o KM final do dia]]-Tabela1[[#This Row],[Informe o KM inicial do dia]])-Tabela1[[#This Row],[Caso tenha rodado particular alguma parte do trajeto, informe o total de KM a ser deduzido.]]</f>
        <v>27</v>
      </c>
      <c r="V309" s="86">
        <f>IF(Tabela1[[#This Row],[Informe a data]]&lt;DATE(2026,3,16), Tabela1[[#This Row],[KM Rodado]]*1.1, Tabela1[[#This Row],[KM Rodado]]*1.23)</f>
        <v>33.21</v>
      </c>
      <c r="W309" s="86">
        <f>IFERROR(SUBSTITUTE(Tabela1[[#This Row],[Pedágio]],".",",",1)*1,0)</f>
        <v>0</v>
      </c>
      <c r="X309" s="86">
        <f>IFERROR(SUBSTITUTE(Tabela1[[#This Row],[Estacionamento]],".",",",1)*1,0)</f>
        <v>0</v>
      </c>
      <c r="Y309" s="86">
        <f>IFERROR(SUBSTITUTE(Tabela1[[#This Row],[Despesas Diversas 
(Jantar em viagem, Impressões, Etc)]],".",",",1)*1,0)</f>
        <v>0</v>
      </c>
      <c r="Z309" s="86">
        <f>IFERROR(SUBSTITUTE(Tabela1[[#This Row],[Hospedagem]],".",",",1)*1,0)</f>
        <v>0</v>
      </c>
      <c r="AA309" s="56" t="str">
        <f>IF(DAY(Tabela1[[#This Row],[Informe a data]])&lt;=15,"1ª Quinzena","2ª Quinzena")</f>
        <v>2ª Quinzena</v>
      </c>
      <c r="AB309" s="56" t="str">
        <f>UPPER(TEXT(Tabela1[[#This Row],[Informe a data]],"mmmm"))</f>
        <v>ABRIL</v>
      </c>
      <c r="AC309" s="87" t="e">
        <f ca="1">_xlfn.CONCAT(Tabela1[[#This Row],[Selecione o Usuário]]," - ",TEXT(Tabela1[[#This Row],[Informe a data]],"dd-mm-aa"))</f>
        <v>#NAME?</v>
      </c>
    </row>
    <row r="310" spans="1:29">
      <c r="A310" s="49">
        <v>46142.581932870373</v>
      </c>
      <c r="B310" s="50" t="s">
        <v>208</v>
      </c>
      <c r="C310" s="50" t="s">
        <v>134</v>
      </c>
      <c r="D310" s="50" t="s">
        <v>209</v>
      </c>
      <c r="E310" s="51">
        <v>46142</v>
      </c>
      <c r="F310" s="52">
        <v>168149</v>
      </c>
      <c r="G310" s="58" t="s">
        <v>1135</v>
      </c>
      <c r="H310" s="52">
        <v>168461</v>
      </c>
      <c r="I310" s="58" t="s">
        <v>1136</v>
      </c>
      <c r="J310" s="50" t="s">
        <v>1137</v>
      </c>
      <c r="K310" s="53"/>
      <c r="L310" s="50" t="s">
        <v>60</v>
      </c>
      <c r="M310" s="53"/>
      <c r="N310" s="53"/>
      <c r="O310" s="53"/>
      <c r="P310" s="53"/>
      <c r="Q310" s="53"/>
      <c r="R310" s="53"/>
      <c r="S310" s="53"/>
      <c r="T310" s="53"/>
      <c r="U310" s="85">
        <f>(Tabela1[[#This Row],[Informe o KM final do dia]]-Tabela1[[#This Row],[Informe o KM inicial do dia]])-Tabela1[[#This Row],[Caso tenha rodado particular alguma parte do trajeto, informe o total de KM a ser deduzido.]]</f>
        <v>312</v>
      </c>
      <c r="V310" s="86">
        <f>IF(Tabela1[[#This Row],[Informe a data]]&lt;DATE(2026,3,16), Tabela1[[#This Row],[KM Rodado]]*1.1, Tabela1[[#This Row],[KM Rodado]]*1.23)</f>
        <v>383.76</v>
      </c>
      <c r="W310" s="86">
        <f>IFERROR(SUBSTITUTE(Tabela1[[#This Row],[Pedágio]],".",",",1)*1,0)</f>
        <v>0</v>
      </c>
      <c r="X310" s="86">
        <f>IFERROR(SUBSTITUTE(Tabela1[[#This Row],[Estacionamento]],".",",",1)*1,0)</f>
        <v>0</v>
      </c>
      <c r="Y310" s="86">
        <f>IFERROR(SUBSTITUTE(Tabela1[[#This Row],[Despesas Diversas 
(Jantar em viagem, Impressões, Etc)]],".",",",1)*1,0)</f>
        <v>0</v>
      </c>
      <c r="Z310" s="86">
        <f>IFERROR(SUBSTITUTE(Tabela1[[#This Row],[Hospedagem]],".",",",1)*1,0)</f>
        <v>0</v>
      </c>
      <c r="AA310" s="56" t="str">
        <f>IF(DAY(Tabela1[[#This Row],[Informe a data]])&lt;=15,"1ª Quinzena","2ª Quinzena")</f>
        <v>2ª Quinzena</v>
      </c>
      <c r="AB310" s="56" t="str">
        <f>UPPER(TEXT(Tabela1[[#This Row],[Informe a data]],"mmmm"))</f>
        <v>ABRIL</v>
      </c>
      <c r="AC310" s="87" t="e">
        <f ca="1">_xlfn.CONCAT(Tabela1[[#This Row],[Selecione o Usuário]]," - ",TEXT(Tabela1[[#This Row],[Informe a data]],"dd-mm-aa"))</f>
        <v>#NAME?</v>
      </c>
    </row>
    <row r="311" spans="1:29">
      <c r="A311" s="113">
        <v>46142.729143518518</v>
      </c>
      <c r="B311" s="114" t="s">
        <v>504</v>
      </c>
      <c r="C311" s="114" t="s">
        <v>505</v>
      </c>
      <c r="D311" s="114" t="s">
        <v>551</v>
      </c>
      <c r="E311" s="115">
        <v>46142</v>
      </c>
      <c r="F311" s="116">
        <v>103859</v>
      </c>
      <c r="G311" s="117" t="s">
        <v>1138</v>
      </c>
      <c r="H311" s="116">
        <v>103978</v>
      </c>
      <c r="I311" s="117" t="s">
        <v>1139</v>
      </c>
      <c r="J311" s="114" t="s">
        <v>1140</v>
      </c>
      <c r="K311" s="118"/>
      <c r="L311" s="114" t="s">
        <v>60</v>
      </c>
      <c r="M311" s="118"/>
      <c r="N311" s="118"/>
      <c r="O311" s="118"/>
      <c r="P311" s="118"/>
      <c r="Q311" s="118"/>
      <c r="R311" s="118"/>
      <c r="S311" s="118"/>
      <c r="T311" s="118"/>
      <c r="U311" s="95">
        <f>(Tabela1[[#This Row],[Informe o KM final do dia]]-Tabela1[[#This Row],[Informe o KM inicial do dia]])-Tabela1[[#This Row],[Caso tenha rodado particular alguma parte do trajeto, informe o total de KM a ser deduzido.]]</f>
        <v>119</v>
      </c>
      <c r="V311" s="97">
        <f>IF(Tabela1[[#This Row],[Informe a data]]&lt;DATE(2026,3,16), Tabela1[[#This Row],[KM Rodado]]*1.1, Tabela1[[#This Row],[KM Rodado]]*1.23)</f>
        <v>146.37</v>
      </c>
      <c r="W311" s="97">
        <f>IFERROR(SUBSTITUTE(Tabela1[[#This Row],[Pedágio]],".",",",1)*1,0)</f>
        <v>0</v>
      </c>
      <c r="X311" s="97">
        <f>IFERROR(SUBSTITUTE(Tabela1[[#This Row],[Estacionamento]],".",",",1)*1,0)</f>
        <v>0</v>
      </c>
      <c r="Y311" s="97">
        <f>IFERROR(SUBSTITUTE(Tabela1[[#This Row],[Despesas Diversas 
(Jantar em viagem, Impressões, Etc)]],".",",",1)*1,0)</f>
        <v>0</v>
      </c>
      <c r="Z311" s="97">
        <f>IFERROR(SUBSTITUTE(Tabela1[[#This Row],[Hospedagem]],".",",",1)*1,0)</f>
        <v>0</v>
      </c>
      <c r="AA311" s="98" t="str">
        <f>IF(DAY(Tabela1[[#This Row],[Informe a data]])&lt;=15,"1ª Quinzena","2ª Quinzena")</f>
        <v>2ª Quinzena</v>
      </c>
      <c r="AB311" s="98" t="str">
        <f>UPPER(TEXT(Tabela1[[#This Row],[Informe a data]],"mmmm"))</f>
        <v>ABRIL</v>
      </c>
      <c r="AC311" s="99" t="e">
        <f ca="1">_xlfn.CONCAT(Tabela1[[#This Row],[Selecione o Usuário]]," - ",TEXT(Tabela1[[#This Row],[Informe a data]],"dd-mm-aa"))</f>
        <v>#NAME?</v>
      </c>
    </row>
    <row r="312" spans="1:29">
      <c r="A312" s="89">
        <v>46144.344409722224</v>
      </c>
      <c r="B312" s="90" t="s">
        <v>208</v>
      </c>
      <c r="C312" s="90" t="s">
        <v>134</v>
      </c>
      <c r="D312" s="90" t="s">
        <v>209</v>
      </c>
      <c r="E312" s="91">
        <v>46144</v>
      </c>
      <c r="F312" s="92">
        <v>168461</v>
      </c>
      <c r="G312" s="93" t="s">
        <v>1145</v>
      </c>
      <c r="H312" s="92">
        <v>168779</v>
      </c>
      <c r="I312" s="93" t="s">
        <v>1146</v>
      </c>
      <c r="J312" s="90" t="s">
        <v>1137</v>
      </c>
      <c r="K312" s="94"/>
      <c r="L312" s="90" t="s">
        <v>60</v>
      </c>
      <c r="M312" s="94"/>
      <c r="N312" s="94"/>
      <c r="O312" s="94"/>
      <c r="P312" s="94"/>
      <c r="Q312" s="94"/>
      <c r="R312" s="94"/>
      <c r="S312" s="94"/>
      <c r="T312" s="94"/>
      <c r="U312" s="85">
        <f>(Tabela1[[#This Row],[Informe o KM final do dia]]-Tabela1[[#This Row],[Informe o KM inicial do dia]])-Tabela1[[#This Row],[Caso tenha rodado particular alguma parte do trajeto, informe o total de KM a ser deduzido.]]</f>
        <v>318</v>
      </c>
      <c r="V312" s="86">
        <f>IF(Tabela1[[#This Row],[Informe a data]]&lt;DATE(2026,3,16), Tabela1[[#This Row],[KM Rodado]]*1.1, Tabela1[[#This Row],[KM Rodado]]*1.23)</f>
        <v>391.14</v>
      </c>
      <c r="W312" s="86">
        <f>IFERROR(SUBSTITUTE(Tabela1[[#This Row],[Pedágio]],".",",",1)*1,0)</f>
        <v>0</v>
      </c>
      <c r="X312" s="86">
        <f>IFERROR(SUBSTITUTE(Tabela1[[#This Row],[Estacionamento]],".",",",1)*1,0)</f>
        <v>0</v>
      </c>
      <c r="Y312" s="86">
        <f>IFERROR(SUBSTITUTE(Tabela1[[#This Row],[Despesas Diversas 
(Jantar em viagem, Impressões, Etc)]],".",",",1)*1,0)</f>
        <v>0</v>
      </c>
      <c r="Z312" s="86">
        <f>IFERROR(SUBSTITUTE(Tabela1[[#This Row],[Hospedagem]],".",",",1)*1,0)</f>
        <v>0</v>
      </c>
      <c r="AA312" s="56" t="str">
        <f>IF(DAY(Tabela1[[#This Row],[Informe a data]])&lt;=15,"1ª Quinzena","2ª Quinzena")</f>
        <v>1ª Quinzena</v>
      </c>
      <c r="AB312" s="56" t="str">
        <f>UPPER(TEXT(Tabela1[[#This Row],[Informe a data]],"mmmm"))</f>
        <v>MAIO</v>
      </c>
      <c r="AC312" s="87" t="e">
        <f ca="1">_xlfn.CONCAT(Tabela1[[#This Row],[Selecione o Usuário]]," - ",TEXT(Tabela1[[#This Row],[Informe a data]],"dd-mm-aa"))</f>
        <v>#NAME?</v>
      </c>
    </row>
    <row r="313" spans="1:29">
      <c r="A313" s="49">
        <v>46146.329699074071</v>
      </c>
      <c r="B313" s="50" t="s">
        <v>300</v>
      </c>
      <c r="C313" s="50" t="s">
        <v>250</v>
      </c>
      <c r="D313" s="50" t="s">
        <v>228</v>
      </c>
      <c r="E313" s="51">
        <v>46144</v>
      </c>
      <c r="F313" s="52">
        <v>128239</v>
      </c>
      <c r="G313" s="58" t="s">
        <v>1147</v>
      </c>
      <c r="H313" s="52">
        <v>128334</v>
      </c>
      <c r="I313" s="58" t="s">
        <v>1148</v>
      </c>
      <c r="J313" s="50" t="s">
        <v>1149</v>
      </c>
      <c r="K313" s="53"/>
      <c r="L313" s="50" t="s">
        <v>60</v>
      </c>
      <c r="M313" s="53"/>
      <c r="N313" s="53"/>
      <c r="O313" s="53"/>
      <c r="P313" s="53"/>
      <c r="Q313" s="53"/>
      <c r="R313" s="53"/>
      <c r="S313" s="53"/>
      <c r="T313" s="53"/>
      <c r="U313" s="85">
        <f>(Tabela1[[#This Row],[Informe o KM final do dia]]-Tabela1[[#This Row],[Informe o KM inicial do dia]])-Tabela1[[#This Row],[Caso tenha rodado particular alguma parte do trajeto, informe o total de KM a ser deduzido.]]</f>
        <v>95</v>
      </c>
      <c r="V313" s="86">
        <f>IF(Tabela1[[#This Row],[Informe a data]]&lt;DATE(2026,3,16), Tabela1[[#This Row],[KM Rodado]]*1.1, Tabela1[[#This Row],[KM Rodado]]*1.23)</f>
        <v>116.85</v>
      </c>
      <c r="W313" s="86">
        <f>IFERROR(SUBSTITUTE(Tabela1[[#This Row],[Pedágio]],".",",",1)*1,0)</f>
        <v>0</v>
      </c>
      <c r="X313" s="86">
        <f>IFERROR(SUBSTITUTE(Tabela1[[#This Row],[Estacionamento]],".",",",1)*1,0)</f>
        <v>0</v>
      </c>
      <c r="Y313" s="86">
        <f>IFERROR(SUBSTITUTE(Tabela1[[#This Row],[Despesas Diversas 
(Jantar em viagem, Impressões, Etc)]],".",",",1)*1,0)</f>
        <v>0</v>
      </c>
      <c r="Z313" s="86">
        <f>IFERROR(SUBSTITUTE(Tabela1[[#This Row],[Hospedagem]],".",",",1)*1,0)</f>
        <v>0</v>
      </c>
      <c r="AA313" s="56" t="str">
        <f>IF(DAY(Tabela1[[#This Row],[Informe a data]])&lt;=15,"1ª Quinzena","2ª Quinzena")</f>
        <v>1ª Quinzena</v>
      </c>
      <c r="AB313" s="56" t="str">
        <f>UPPER(TEXT(Tabela1[[#This Row],[Informe a data]],"mmmm"))</f>
        <v>MAIO</v>
      </c>
      <c r="AC313" s="87" t="e">
        <f ca="1">_xlfn.CONCAT(Tabela1[[#This Row],[Selecione o Usuário]]," - ",TEXT(Tabela1[[#This Row],[Informe a data]],"dd-mm-aa"))</f>
        <v>#NAME?</v>
      </c>
    </row>
    <row r="314" spans="1:29">
      <c r="A314" s="49">
        <v>46148.64508101852</v>
      </c>
      <c r="B314" s="50" t="s">
        <v>1116</v>
      </c>
      <c r="C314" s="50" t="s">
        <v>559</v>
      </c>
      <c r="D314" s="50" t="s">
        <v>560</v>
      </c>
      <c r="E314" s="51">
        <v>46146</v>
      </c>
      <c r="F314" s="52">
        <v>79107</v>
      </c>
      <c r="G314" s="53"/>
      <c r="H314" s="52">
        <v>79158</v>
      </c>
      <c r="I314" s="53"/>
      <c r="J314" s="50" t="s">
        <v>1155</v>
      </c>
      <c r="K314" s="53"/>
      <c r="L314" s="50" t="s">
        <v>60</v>
      </c>
      <c r="M314" s="53"/>
      <c r="N314" s="53"/>
      <c r="O314" s="53"/>
      <c r="P314" s="53"/>
      <c r="Q314" s="53"/>
      <c r="R314" s="53"/>
      <c r="S314" s="53"/>
      <c r="T314" s="53"/>
      <c r="U314" s="85">
        <f>(Tabela1[[#This Row],[Informe o KM final do dia]]-Tabela1[[#This Row],[Informe o KM inicial do dia]])-Tabela1[[#This Row],[Caso tenha rodado particular alguma parte do trajeto, informe o total de KM a ser deduzido.]]</f>
        <v>51</v>
      </c>
      <c r="V314" s="86">
        <f>IF(Tabela1[[#This Row],[Informe a data]]&lt;DATE(2026,3,16), Tabela1[[#This Row],[KM Rodado]]*1.1, Tabela1[[#This Row],[KM Rodado]]*1.23)</f>
        <v>62.73</v>
      </c>
      <c r="W314" s="86">
        <f>IFERROR(SUBSTITUTE(Tabela1[[#This Row],[Pedágio]],".",",",1)*1,0)</f>
        <v>0</v>
      </c>
      <c r="X314" s="86">
        <f>IFERROR(SUBSTITUTE(Tabela1[[#This Row],[Estacionamento]],".",",",1)*1,0)</f>
        <v>0</v>
      </c>
      <c r="Y314" s="86">
        <f>IFERROR(SUBSTITUTE(Tabela1[[#This Row],[Despesas Diversas 
(Jantar em viagem, Impressões, Etc)]],".",",",1)*1,0)</f>
        <v>0</v>
      </c>
      <c r="Z314" s="86">
        <f>IFERROR(SUBSTITUTE(Tabela1[[#This Row],[Hospedagem]],".",",",1)*1,0)</f>
        <v>0</v>
      </c>
      <c r="AA314" s="56" t="str">
        <f>IF(DAY(Tabela1[[#This Row],[Informe a data]])&lt;=15,"1ª Quinzena","2ª Quinzena")</f>
        <v>1ª Quinzena</v>
      </c>
      <c r="AB314" s="56" t="str">
        <f>UPPER(TEXT(Tabela1[[#This Row],[Informe a data]],"mmmm"))</f>
        <v>MAIO</v>
      </c>
      <c r="AC314" s="87" t="e">
        <f ca="1">_xlfn.CONCAT(Tabela1[[#This Row],[Selecione o Usuário]]," - ",TEXT(Tabela1[[#This Row],[Informe a data]],"dd-mm-aa"))</f>
        <v>#NAME?</v>
      </c>
    </row>
    <row r="315" spans="1:29">
      <c r="A315" s="49">
        <v>46159.870312500003</v>
      </c>
      <c r="B315" s="50" t="s">
        <v>1116</v>
      </c>
      <c r="C315" s="50" t="s">
        <v>559</v>
      </c>
      <c r="D315" s="50" t="s">
        <v>560</v>
      </c>
      <c r="E315" s="51">
        <v>46146</v>
      </c>
      <c r="F315" s="52">
        <v>77524</v>
      </c>
      <c r="G315" s="53"/>
      <c r="H315" s="52">
        <v>77632</v>
      </c>
      <c r="I315" s="53"/>
      <c r="J315" s="50" t="s">
        <v>1159</v>
      </c>
      <c r="K315" s="53"/>
      <c r="L315" s="50" t="s">
        <v>60</v>
      </c>
      <c r="M315" s="53"/>
      <c r="N315" s="53"/>
      <c r="O315" s="53"/>
      <c r="P315" s="53"/>
      <c r="Q315" s="53"/>
      <c r="R315" s="53"/>
      <c r="S315" s="53"/>
      <c r="T315" s="53"/>
      <c r="U315" s="85">
        <f>(Tabela1[[#This Row],[Informe o KM final do dia]]-Tabela1[[#This Row],[Informe o KM inicial do dia]])-Tabela1[[#This Row],[Caso tenha rodado particular alguma parte do trajeto, informe o total de KM a ser deduzido.]]</f>
        <v>108</v>
      </c>
      <c r="V315" s="86">
        <f>IF(Tabela1[[#This Row],[Informe a data]]&lt;DATE(2026,3,16), Tabela1[[#This Row],[KM Rodado]]*1.1, Tabela1[[#This Row],[KM Rodado]]*1.23)</f>
        <v>132.84</v>
      </c>
      <c r="W315" s="86">
        <f>IFERROR(SUBSTITUTE(Tabela1[[#This Row],[Pedágio]],".",",",1)*1,0)</f>
        <v>0</v>
      </c>
      <c r="X315" s="86">
        <f>IFERROR(SUBSTITUTE(Tabela1[[#This Row],[Estacionamento]],".",",",1)*1,0)</f>
        <v>0</v>
      </c>
      <c r="Y315" s="86">
        <f>IFERROR(SUBSTITUTE(Tabela1[[#This Row],[Despesas Diversas 
(Jantar em viagem, Impressões, Etc)]],".",",",1)*1,0)</f>
        <v>0</v>
      </c>
      <c r="Z315" s="86">
        <f>IFERROR(SUBSTITUTE(Tabela1[[#This Row],[Hospedagem]],".",",",1)*1,0)</f>
        <v>0</v>
      </c>
      <c r="AA315" s="56" t="str">
        <f>IF(DAY(Tabela1[[#This Row],[Informe a data]])&lt;=15,"1ª Quinzena","2ª Quinzena")</f>
        <v>1ª Quinzena</v>
      </c>
      <c r="AB315" s="56" t="str">
        <f>UPPER(TEXT(Tabela1[[#This Row],[Informe a data]],"mmmm"))</f>
        <v>MAIO</v>
      </c>
      <c r="AC315" s="87" t="e">
        <f ca="1">_xlfn.CONCAT(Tabela1[[#This Row],[Selecione o Usuário]]," - ",TEXT(Tabela1[[#This Row],[Informe a data]],"dd-mm-aa"))</f>
        <v>#NAME?</v>
      </c>
    </row>
    <row r="316" spans="1:29">
      <c r="A316" s="89">
        <v>46148.597268518519</v>
      </c>
      <c r="B316" s="90" t="s">
        <v>497</v>
      </c>
      <c r="C316" s="90" t="s">
        <v>498</v>
      </c>
      <c r="D316" s="90" t="s">
        <v>1150</v>
      </c>
      <c r="E316" s="91">
        <v>46146</v>
      </c>
      <c r="F316" s="92">
        <v>23107</v>
      </c>
      <c r="G316" s="93" t="s">
        <v>1151</v>
      </c>
      <c r="H316" s="92">
        <v>23166</v>
      </c>
      <c r="I316" s="93" t="s">
        <v>1152</v>
      </c>
      <c r="J316" s="90" t="s">
        <v>1153</v>
      </c>
      <c r="K316" s="94"/>
      <c r="L316" s="90" t="s">
        <v>61</v>
      </c>
      <c r="M316" s="94"/>
      <c r="N316" s="94"/>
      <c r="O316" s="94"/>
      <c r="P316" s="94"/>
      <c r="Q316" s="94"/>
      <c r="R316" s="94"/>
      <c r="S316" s="94"/>
      <c r="T316" s="94" t="s">
        <v>1154</v>
      </c>
      <c r="U316" s="85">
        <f>(Tabela1[[#This Row],[Informe o KM final do dia]]-Tabela1[[#This Row],[Informe o KM inicial do dia]])-Tabela1[[#This Row],[Caso tenha rodado particular alguma parte do trajeto, informe o total de KM a ser deduzido.]]</f>
        <v>59</v>
      </c>
      <c r="V316" s="86">
        <f>IF(Tabela1[[#This Row],[Informe a data]]&lt;DATE(2026,3,16), Tabela1[[#This Row],[KM Rodado]]*1.1, Tabela1[[#This Row],[KM Rodado]]*1.23)</f>
        <v>72.569999999999993</v>
      </c>
      <c r="W316" s="86">
        <f>IFERROR(SUBSTITUTE(Tabela1[[#This Row],[Pedágio]],".",",",1)*1,0)</f>
        <v>0</v>
      </c>
      <c r="X316" s="86">
        <f>IFERROR(SUBSTITUTE(Tabela1[[#This Row],[Estacionamento]],".",",",1)*1,0)</f>
        <v>0</v>
      </c>
      <c r="Y316" s="86">
        <f>IFERROR(SUBSTITUTE(Tabela1[[#This Row],[Despesas Diversas 
(Jantar em viagem, Impressões, Etc)]],".",",",1)*1,0)</f>
        <v>0</v>
      </c>
      <c r="Z316" s="86">
        <f>IFERROR(SUBSTITUTE(Tabela1[[#This Row],[Hospedagem]],".",",",1)*1,0)</f>
        <v>0</v>
      </c>
      <c r="AA316" s="56" t="str">
        <f>IF(DAY(Tabela1[[#This Row],[Informe a data]])&lt;=15,"1ª Quinzena","2ª Quinzena")</f>
        <v>1ª Quinzena</v>
      </c>
      <c r="AB316" s="56" t="str">
        <f>UPPER(TEXT(Tabela1[[#This Row],[Informe a data]],"mmmm"))</f>
        <v>MAIO</v>
      </c>
      <c r="AC316" s="87" t="e">
        <f ca="1">_xlfn.CONCAT(Tabela1[[#This Row],[Selecione o Usuário]]," - ",TEXT(Tabela1[[#This Row],[Informe a data]],"dd-mm-aa"))</f>
        <v>#NAME?</v>
      </c>
    </row>
    <row r="317" spans="1:29">
      <c r="A317" s="89">
        <v>46148.656574074077</v>
      </c>
      <c r="B317" s="90" t="s">
        <v>300</v>
      </c>
      <c r="C317" s="90" t="s">
        <v>250</v>
      </c>
      <c r="D317" s="90" t="s">
        <v>228</v>
      </c>
      <c r="E317" s="91">
        <v>46146</v>
      </c>
      <c r="F317" s="92">
        <v>128597</v>
      </c>
      <c r="G317" s="93" t="s">
        <v>1156</v>
      </c>
      <c r="H317" s="92">
        <v>128664</v>
      </c>
      <c r="I317" s="93" t="s">
        <v>1157</v>
      </c>
      <c r="J317" s="90" t="s">
        <v>1158</v>
      </c>
      <c r="K317" s="94"/>
      <c r="L317" s="90" t="s">
        <v>60</v>
      </c>
      <c r="M317" s="94"/>
      <c r="N317" s="94"/>
      <c r="O317" s="94"/>
      <c r="P317" s="94"/>
      <c r="Q317" s="94"/>
      <c r="R317" s="94"/>
      <c r="S317" s="94"/>
      <c r="T317" s="94"/>
      <c r="U317" s="85">
        <f>(Tabela1[[#This Row],[Informe o KM final do dia]]-Tabela1[[#This Row],[Informe o KM inicial do dia]])-Tabela1[[#This Row],[Caso tenha rodado particular alguma parte do trajeto, informe o total de KM a ser deduzido.]]</f>
        <v>67</v>
      </c>
      <c r="V317" s="86">
        <f>IF(Tabela1[[#This Row],[Informe a data]]&lt;DATE(2026,3,16), Tabela1[[#This Row],[KM Rodado]]*1.1, Tabela1[[#This Row],[KM Rodado]]*1.23)</f>
        <v>82.41</v>
      </c>
      <c r="W317" s="86">
        <f>IFERROR(SUBSTITUTE(Tabela1[[#This Row],[Pedágio]],".",",",1)*1,0)</f>
        <v>0</v>
      </c>
      <c r="X317" s="86">
        <f>IFERROR(SUBSTITUTE(Tabela1[[#This Row],[Estacionamento]],".",",",1)*1,0)</f>
        <v>0</v>
      </c>
      <c r="Y317" s="86">
        <f>IFERROR(SUBSTITUTE(Tabela1[[#This Row],[Despesas Diversas 
(Jantar em viagem, Impressões, Etc)]],".",",",1)*1,0)</f>
        <v>0</v>
      </c>
      <c r="Z317" s="86">
        <f>IFERROR(SUBSTITUTE(Tabela1[[#This Row],[Hospedagem]],".",",",1)*1,0)</f>
        <v>0</v>
      </c>
      <c r="AA317" s="56" t="str">
        <f>IF(DAY(Tabela1[[#This Row],[Informe a data]])&lt;=15,"1ª Quinzena","2ª Quinzena")</f>
        <v>1ª Quinzena</v>
      </c>
      <c r="AB317" s="56" t="str">
        <f>UPPER(TEXT(Tabela1[[#This Row],[Informe a data]],"mmmm"))</f>
        <v>MAIO</v>
      </c>
      <c r="AC317" s="87" t="e">
        <f ca="1">_xlfn.CONCAT(Tabela1[[#This Row],[Selecione o Usuário]]," - ",TEXT(Tabela1[[#This Row],[Informe a data]],"dd-mm-aa"))</f>
        <v>#NAME?</v>
      </c>
    </row>
    <row r="318" spans="1:29">
      <c r="A318" s="89">
        <v>46148.646782407406</v>
      </c>
      <c r="B318" s="90" t="s">
        <v>1116</v>
      </c>
      <c r="C318" s="90" t="s">
        <v>559</v>
      </c>
      <c r="D318" s="90" t="s">
        <v>560</v>
      </c>
      <c r="E318" s="91">
        <v>46147</v>
      </c>
      <c r="F318" s="92">
        <v>79843</v>
      </c>
      <c r="G318" s="94"/>
      <c r="H318" s="92">
        <v>79987</v>
      </c>
      <c r="I318" s="94"/>
      <c r="J318" s="90" t="s">
        <v>1167</v>
      </c>
      <c r="K318" s="94"/>
      <c r="L318" s="90" t="s">
        <v>60</v>
      </c>
      <c r="M318" s="94"/>
      <c r="N318" s="94"/>
      <c r="O318" s="94"/>
      <c r="P318" s="94"/>
      <c r="Q318" s="94"/>
      <c r="R318" s="94"/>
      <c r="S318" s="94"/>
      <c r="T318" s="94"/>
      <c r="U318" s="85">
        <f>(Tabela1[[#This Row],[Informe o KM final do dia]]-Tabela1[[#This Row],[Informe o KM inicial do dia]])-Tabela1[[#This Row],[Caso tenha rodado particular alguma parte do trajeto, informe o total de KM a ser deduzido.]]</f>
        <v>144</v>
      </c>
      <c r="V318" s="86">
        <f>IF(Tabela1[[#This Row],[Informe a data]]&lt;DATE(2026,3,16), Tabela1[[#This Row],[KM Rodado]]*1.1, Tabela1[[#This Row],[KM Rodado]]*1.23)</f>
        <v>177.12</v>
      </c>
      <c r="W318" s="86">
        <f>IFERROR(SUBSTITUTE(Tabela1[[#This Row],[Pedágio]],".",",",1)*1,0)</f>
        <v>0</v>
      </c>
      <c r="X318" s="86">
        <f>IFERROR(SUBSTITUTE(Tabela1[[#This Row],[Estacionamento]],".",",",1)*1,0)</f>
        <v>0</v>
      </c>
      <c r="Y318" s="86">
        <f>IFERROR(SUBSTITUTE(Tabela1[[#This Row],[Despesas Diversas 
(Jantar em viagem, Impressões, Etc)]],".",",",1)*1,0)</f>
        <v>0</v>
      </c>
      <c r="Z318" s="86">
        <f>IFERROR(SUBSTITUTE(Tabela1[[#This Row],[Hospedagem]],".",",",1)*1,0)</f>
        <v>0</v>
      </c>
      <c r="AA318" s="56" t="str">
        <f>IF(DAY(Tabela1[[#This Row],[Informe a data]])&lt;=15,"1ª Quinzena","2ª Quinzena")</f>
        <v>1ª Quinzena</v>
      </c>
      <c r="AB318" s="56" t="str">
        <f>UPPER(TEXT(Tabela1[[#This Row],[Informe a data]],"mmmm"))</f>
        <v>MAIO</v>
      </c>
      <c r="AC318" s="87" t="e">
        <f ca="1">_xlfn.CONCAT(Tabela1[[#This Row],[Selecione o Usuário]]," - ",TEXT(Tabela1[[#This Row],[Informe a data]],"dd-mm-aa"))</f>
        <v>#NAME?</v>
      </c>
    </row>
    <row r="319" spans="1:29">
      <c r="A319" s="89">
        <v>46147.418506944443</v>
      </c>
      <c r="B319" s="90" t="s">
        <v>497</v>
      </c>
      <c r="C319" s="90" t="s">
        <v>498</v>
      </c>
      <c r="D319" s="90" t="s">
        <v>1160</v>
      </c>
      <c r="E319" s="91">
        <v>46147</v>
      </c>
      <c r="F319" s="92">
        <v>53155</v>
      </c>
      <c r="G319" s="93" t="s">
        <v>1161</v>
      </c>
      <c r="H319" s="92">
        <v>53315</v>
      </c>
      <c r="I319" s="93" t="s">
        <v>1162</v>
      </c>
      <c r="J319" s="90" t="s">
        <v>1163</v>
      </c>
      <c r="K319" s="94"/>
      <c r="L319" s="90" t="s">
        <v>60</v>
      </c>
      <c r="M319" s="94"/>
      <c r="N319" s="94"/>
      <c r="O319" s="94"/>
      <c r="P319" s="94"/>
      <c r="Q319" s="94"/>
      <c r="R319" s="94"/>
      <c r="S319" s="94"/>
      <c r="T319" s="94"/>
      <c r="U319" s="85">
        <f>(Tabela1[[#This Row],[Informe o KM final do dia]]-Tabela1[[#This Row],[Informe o KM inicial do dia]])-Tabela1[[#This Row],[Caso tenha rodado particular alguma parte do trajeto, informe o total de KM a ser deduzido.]]</f>
        <v>160</v>
      </c>
      <c r="V319" s="86">
        <f>IF(Tabela1[[#This Row],[Informe a data]]&lt;DATE(2026,3,16), Tabela1[[#This Row],[KM Rodado]]*1.1, Tabela1[[#This Row],[KM Rodado]]*1.23)</f>
        <v>196.8</v>
      </c>
      <c r="W319" s="86">
        <f>IFERROR(SUBSTITUTE(Tabela1[[#This Row],[Pedágio]],".",",",1)*1,0)</f>
        <v>0</v>
      </c>
      <c r="X319" s="86">
        <f>IFERROR(SUBSTITUTE(Tabela1[[#This Row],[Estacionamento]],".",",",1)*1,0)</f>
        <v>0</v>
      </c>
      <c r="Y319" s="86">
        <f>IFERROR(SUBSTITUTE(Tabela1[[#This Row],[Despesas Diversas 
(Jantar em viagem, Impressões, Etc)]],".",",",1)*1,0)</f>
        <v>0</v>
      </c>
      <c r="Z319" s="86">
        <f>IFERROR(SUBSTITUTE(Tabela1[[#This Row],[Hospedagem]],".",",",1)*1,0)</f>
        <v>0</v>
      </c>
      <c r="AA319" s="56" t="str">
        <f>IF(DAY(Tabela1[[#This Row],[Informe a data]])&lt;=15,"1ª Quinzena","2ª Quinzena")</f>
        <v>1ª Quinzena</v>
      </c>
      <c r="AB319" s="56" t="str">
        <f>UPPER(TEXT(Tabela1[[#This Row],[Informe a data]],"mmmm"))</f>
        <v>MAIO</v>
      </c>
      <c r="AC319" s="87" t="e">
        <f ca="1">_xlfn.CONCAT(Tabela1[[#This Row],[Selecione o Usuário]]," - ",TEXT(Tabela1[[#This Row],[Informe a data]],"dd-mm-aa"))</f>
        <v>#NAME?</v>
      </c>
    </row>
    <row r="320" spans="1:29">
      <c r="A320" s="49">
        <v>46147.803240740737</v>
      </c>
      <c r="B320" s="50" t="s">
        <v>504</v>
      </c>
      <c r="C320" s="50" t="s">
        <v>505</v>
      </c>
      <c r="D320" s="50" t="s">
        <v>551</v>
      </c>
      <c r="E320" s="51">
        <v>46147</v>
      </c>
      <c r="F320" s="52">
        <v>104302</v>
      </c>
      <c r="G320" s="58" t="s">
        <v>1164</v>
      </c>
      <c r="H320" s="52">
        <v>104459</v>
      </c>
      <c r="I320" s="58" t="s">
        <v>1165</v>
      </c>
      <c r="J320" s="50" t="s">
        <v>1166</v>
      </c>
      <c r="K320" s="52">
        <v>8</v>
      </c>
      <c r="L320" s="50" t="s">
        <v>60</v>
      </c>
      <c r="M320" s="53"/>
      <c r="N320" s="53"/>
      <c r="O320" s="53"/>
      <c r="P320" s="53"/>
      <c r="Q320" s="53"/>
      <c r="R320" s="53"/>
      <c r="S320" s="53"/>
      <c r="T320" s="53"/>
      <c r="U320" s="85">
        <f>(Tabela1[[#This Row],[Informe o KM final do dia]]-Tabela1[[#This Row],[Informe o KM inicial do dia]])-Tabela1[[#This Row],[Caso tenha rodado particular alguma parte do trajeto, informe o total de KM a ser deduzido.]]</f>
        <v>149</v>
      </c>
      <c r="V320" s="86">
        <f>IF(Tabela1[[#This Row],[Informe a data]]&lt;DATE(2026,3,16), Tabela1[[#This Row],[KM Rodado]]*1.1, Tabela1[[#This Row],[KM Rodado]]*1.23)</f>
        <v>183.27</v>
      </c>
      <c r="W320" s="86">
        <f>IFERROR(SUBSTITUTE(Tabela1[[#This Row],[Pedágio]],".",",",1)*1,0)</f>
        <v>0</v>
      </c>
      <c r="X320" s="86">
        <f>IFERROR(SUBSTITUTE(Tabela1[[#This Row],[Estacionamento]],".",",",1)*1,0)</f>
        <v>0</v>
      </c>
      <c r="Y320" s="86">
        <f>IFERROR(SUBSTITUTE(Tabela1[[#This Row],[Despesas Diversas 
(Jantar em viagem, Impressões, Etc)]],".",",",1)*1,0)</f>
        <v>0</v>
      </c>
      <c r="Z320" s="86">
        <f>IFERROR(SUBSTITUTE(Tabela1[[#This Row],[Hospedagem]],".",",",1)*1,0)</f>
        <v>0</v>
      </c>
      <c r="AA320" s="56" t="str">
        <f>IF(DAY(Tabela1[[#This Row],[Informe a data]])&lt;=15,"1ª Quinzena","2ª Quinzena")</f>
        <v>1ª Quinzena</v>
      </c>
      <c r="AB320" s="56" t="str">
        <f>UPPER(TEXT(Tabela1[[#This Row],[Informe a data]],"mmmm"))</f>
        <v>MAIO</v>
      </c>
      <c r="AC320" s="87" t="e">
        <f ca="1">_xlfn.CONCAT(Tabela1[[#This Row],[Selecione o Usuário]]," - ",TEXT(Tabela1[[#This Row],[Informe a data]],"dd-mm-aa"))</f>
        <v>#NAME?</v>
      </c>
    </row>
    <row r="321" spans="1:29">
      <c r="A321" s="49">
        <v>46150.733518518522</v>
      </c>
      <c r="B321" s="50" t="s">
        <v>555</v>
      </c>
      <c r="C321" s="50" t="s">
        <v>141</v>
      </c>
      <c r="D321" s="50" t="s">
        <v>169</v>
      </c>
      <c r="E321" s="51">
        <v>46147</v>
      </c>
      <c r="F321" s="52">
        <v>59825</v>
      </c>
      <c r="G321" s="53"/>
      <c r="H321" s="52">
        <v>59865</v>
      </c>
      <c r="I321" s="53"/>
      <c r="J321" s="50" t="s">
        <v>1168</v>
      </c>
      <c r="K321" s="53"/>
      <c r="L321" s="50" t="s">
        <v>60</v>
      </c>
      <c r="M321" s="53"/>
      <c r="N321" s="53"/>
      <c r="O321" s="53"/>
      <c r="P321" s="53"/>
      <c r="Q321" s="53"/>
      <c r="R321" s="53"/>
      <c r="S321" s="53"/>
      <c r="T321" s="53"/>
      <c r="U321" s="85">
        <f>(Tabela1[[#This Row],[Informe o KM final do dia]]-Tabela1[[#This Row],[Informe o KM inicial do dia]])-Tabela1[[#This Row],[Caso tenha rodado particular alguma parte do trajeto, informe o total de KM a ser deduzido.]]</f>
        <v>40</v>
      </c>
      <c r="V321" s="86">
        <f>IF(Tabela1[[#This Row],[Informe a data]]&lt;DATE(2026,3,16), Tabela1[[#This Row],[KM Rodado]]*1.1, Tabela1[[#This Row],[KM Rodado]]*1.23)</f>
        <v>49.2</v>
      </c>
      <c r="W321" s="86">
        <f>IFERROR(SUBSTITUTE(Tabela1[[#This Row],[Pedágio]],".",",",1)*1,0)</f>
        <v>0</v>
      </c>
      <c r="X321" s="86">
        <f>IFERROR(SUBSTITUTE(Tabela1[[#This Row],[Estacionamento]],".",",",1)*1,0)</f>
        <v>0</v>
      </c>
      <c r="Y321" s="86">
        <f>IFERROR(SUBSTITUTE(Tabela1[[#This Row],[Despesas Diversas 
(Jantar em viagem, Impressões, Etc)]],".",",",1)*1,0)</f>
        <v>0</v>
      </c>
      <c r="Z321" s="86">
        <f>IFERROR(SUBSTITUTE(Tabela1[[#This Row],[Hospedagem]],".",",",1)*1,0)</f>
        <v>0</v>
      </c>
      <c r="AA321" s="56" t="str">
        <f>IF(DAY(Tabela1[[#This Row],[Informe a data]])&lt;=15,"1ª Quinzena","2ª Quinzena")</f>
        <v>1ª Quinzena</v>
      </c>
      <c r="AB321" s="56" t="str">
        <f>UPPER(TEXT(Tabela1[[#This Row],[Informe a data]],"mmmm"))</f>
        <v>MAIO</v>
      </c>
      <c r="AC321" s="87" t="e">
        <f ca="1">_xlfn.CONCAT(Tabela1[[#This Row],[Selecione o Usuário]]," - ",TEXT(Tabela1[[#This Row],[Informe a data]],"dd-mm-aa"))</f>
        <v>#NAME?</v>
      </c>
    </row>
    <row r="322" spans="1:29">
      <c r="A322" s="89">
        <v>46150.743344907409</v>
      </c>
      <c r="B322" s="90" t="s">
        <v>555</v>
      </c>
      <c r="C322" s="90" t="s">
        <v>141</v>
      </c>
      <c r="D322" s="90" t="s">
        <v>169</v>
      </c>
      <c r="E322" s="91">
        <v>46148</v>
      </c>
      <c r="F322" s="92">
        <v>59890</v>
      </c>
      <c r="G322" s="94"/>
      <c r="H322" s="92">
        <v>59950</v>
      </c>
      <c r="I322" s="94"/>
      <c r="J322" s="90" t="s">
        <v>1169</v>
      </c>
      <c r="K322" s="94"/>
      <c r="L322" s="90" t="s">
        <v>61</v>
      </c>
      <c r="M322" s="94"/>
      <c r="N322" s="94"/>
      <c r="O322" s="90" t="s">
        <v>69</v>
      </c>
      <c r="P322" s="93" t="s">
        <v>1170</v>
      </c>
      <c r="Q322" s="94"/>
      <c r="R322" s="94"/>
      <c r="S322" s="94"/>
      <c r="T322" s="94"/>
      <c r="U322" s="85">
        <f>(Tabela1[[#This Row],[Informe o KM final do dia]]-Tabela1[[#This Row],[Informe o KM inicial do dia]])-Tabela1[[#This Row],[Caso tenha rodado particular alguma parte do trajeto, informe o total de KM a ser deduzido.]]</f>
        <v>60</v>
      </c>
      <c r="V322" s="86">
        <f>IF(Tabela1[[#This Row],[Informe a data]]&lt;DATE(2026,3,16), Tabela1[[#This Row],[KM Rodado]]*1.1, Tabela1[[#This Row],[KM Rodado]]*1.23)</f>
        <v>73.8</v>
      </c>
      <c r="W322" s="86">
        <f>IFERROR(SUBSTITUTE(Tabela1[[#This Row],[Pedágio]],".",",",1)*1,0)</f>
        <v>0</v>
      </c>
      <c r="X322" s="86">
        <f>IFERROR(SUBSTITUTE(Tabela1[[#This Row],[Estacionamento]],".",",",1)*1,0)</f>
        <v>18</v>
      </c>
      <c r="Y322" s="86">
        <f>IFERROR(SUBSTITUTE(Tabela1[[#This Row],[Despesas Diversas 
(Jantar em viagem, Impressões, Etc)]],".",",",1)*1,0)</f>
        <v>0</v>
      </c>
      <c r="Z322" s="86">
        <f>IFERROR(SUBSTITUTE(Tabela1[[#This Row],[Hospedagem]],".",",",1)*1,0)</f>
        <v>0</v>
      </c>
      <c r="AA322" s="56" t="str">
        <f>IF(DAY(Tabela1[[#This Row],[Informe a data]])&lt;=15,"1ª Quinzena","2ª Quinzena")</f>
        <v>1ª Quinzena</v>
      </c>
      <c r="AB322" s="56" t="str">
        <f>UPPER(TEXT(Tabela1[[#This Row],[Informe a data]],"mmmm"))</f>
        <v>MAIO</v>
      </c>
      <c r="AC322" s="87" t="e">
        <f ca="1">_xlfn.CONCAT(Tabela1[[#This Row],[Selecione o Usuário]]," - ",TEXT(Tabela1[[#This Row],[Informe a data]],"dd-mm-aa"))</f>
        <v>#NAME?</v>
      </c>
    </row>
    <row r="323" spans="1:29">
      <c r="A323" s="89">
        <v>46149.904224537036</v>
      </c>
      <c r="B323" s="90" t="s">
        <v>1174</v>
      </c>
      <c r="C323" s="90" t="s">
        <v>134</v>
      </c>
      <c r="D323" s="90" t="s">
        <v>209</v>
      </c>
      <c r="E323" s="91">
        <v>46149</v>
      </c>
      <c r="F323" s="92">
        <v>168879</v>
      </c>
      <c r="G323" s="93" t="s">
        <v>1175</v>
      </c>
      <c r="H323" s="92">
        <v>169104</v>
      </c>
      <c r="I323" s="93" t="s">
        <v>1176</v>
      </c>
      <c r="J323" s="90" t="s">
        <v>1177</v>
      </c>
      <c r="K323" s="94"/>
      <c r="L323" s="90" t="s">
        <v>60</v>
      </c>
      <c r="M323" s="94"/>
      <c r="N323" s="94"/>
      <c r="O323" s="94"/>
      <c r="P323" s="94"/>
      <c r="Q323" s="94"/>
      <c r="R323" s="94"/>
      <c r="S323" s="94"/>
      <c r="T323" s="94"/>
      <c r="U323" s="85">
        <f>(Tabela1[[#This Row],[Informe o KM final do dia]]-Tabela1[[#This Row],[Informe o KM inicial do dia]])-Tabela1[[#This Row],[Caso tenha rodado particular alguma parte do trajeto, informe o total de KM a ser deduzido.]]</f>
        <v>225</v>
      </c>
      <c r="V323" s="86">
        <f>IF(Tabela1[[#This Row],[Informe a data]]&lt;DATE(2026,3,16), Tabela1[[#This Row],[KM Rodado]]*1.1, Tabela1[[#This Row],[KM Rodado]]*1.23)</f>
        <v>276.75</v>
      </c>
      <c r="W323" s="86">
        <f>IFERROR(SUBSTITUTE(Tabela1[[#This Row],[Pedágio]],".",",",1)*1,0)</f>
        <v>0</v>
      </c>
      <c r="X323" s="86">
        <f>IFERROR(SUBSTITUTE(Tabela1[[#This Row],[Estacionamento]],".",",",1)*1,0)</f>
        <v>0</v>
      </c>
      <c r="Y323" s="86">
        <f>IFERROR(SUBSTITUTE(Tabela1[[#This Row],[Despesas Diversas 
(Jantar em viagem, Impressões, Etc)]],".",",",1)*1,0)</f>
        <v>0</v>
      </c>
      <c r="Z323" s="86">
        <f>IFERROR(SUBSTITUTE(Tabela1[[#This Row],[Hospedagem]],".",",",1)*1,0)</f>
        <v>0</v>
      </c>
      <c r="AA323" s="56" t="str">
        <f>IF(DAY(Tabela1[[#This Row],[Informe a data]])&lt;=15,"1ª Quinzena","2ª Quinzena")</f>
        <v>1ª Quinzena</v>
      </c>
      <c r="AB323" s="56" t="str">
        <f>UPPER(TEXT(Tabela1[[#This Row],[Informe a data]],"mmmm"))</f>
        <v>MAIO</v>
      </c>
      <c r="AC323" s="87" t="e">
        <f ca="1">_xlfn.CONCAT(Tabela1[[#This Row],[Selecione o Usuário]]," - ",TEXT(Tabela1[[#This Row],[Informe a data]],"dd-mm-aa"))</f>
        <v>#NAME?</v>
      </c>
    </row>
    <row r="324" spans="1:29">
      <c r="A324" s="49">
        <v>46149.748298611114</v>
      </c>
      <c r="B324" s="50" t="s">
        <v>300</v>
      </c>
      <c r="C324" s="50" t="s">
        <v>250</v>
      </c>
      <c r="D324" s="50" t="s">
        <v>228</v>
      </c>
      <c r="E324" s="51">
        <v>46149</v>
      </c>
      <c r="F324" s="52">
        <v>128664</v>
      </c>
      <c r="G324" s="58" t="s">
        <v>1171</v>
      </c>
      <c r="H324" s="52">
        <v>128797</v>
      </c>
      <c r="I324" s="58" t="s">
        <v>1172</v>
      </c>
      <c r="J324" s="50" t="s">
        <v>1173</v>
      </c>
      <c r="K324" s="52">
        <v>4</v>
      </c>
      <c r="L324" s="50" t="s">
        <v>60</v>
      </c>
      <c r="M324" s="53"/>
      <c r="N324" s="53"/>
      <c r="O324" s="53"/>
      <c r="P324" s="53"/>
      <c r="Q324" s="53"/>
      <c r="R324" s="53"/>
      <c r="S324" s="53"/>
      <c r="T324" s="53"/>
      <c r="U324" s="85">
        <f>(Tabela1[[#This Row],[Informe o KM final do dia]]-Tabela1[[#This Row],[Informe o KM inicial do dia]])-Tabela1[[#This Row],[Caso tenha rodado particular alguma parte do trajeto, informe o total de KM a ser deduzido.]]</f>
        <v>129</v>
      </c>
      <c r="V324" s="86">
        <f>IF(Tabela1[[#This Row],[Informe a data]]&lt;DATE(2026,3,16), Tabela1[[#This Row],[KM Rodado]]*1.1, Tabela1[[#This Row],[KM Rodado]]*1.23)</f>
        <v>158.66999999999999</v>
      </c>
      <c r="W324" s="86">
        <f>IFERROR(SUBSTITUTE(Tabela1[[#This Row],[Pedágio]],".",",",1)*1,0)</f>
        <v>0</v>
      </c>
      <c r="X324" s="86">
        <f>IFERROR(SUBSTITUTE(Tabela1[[#This Row],[Estacionamento]],".",",",1)*1,0)</f>
        <v>0</v>
      </c>
      <c r="Y324" s="86">
        <f>IFERROR(SUBSTITUTE(Tabela1[[#This Row],[Despesas Diversas 
(Jantar em viagem, Impressões, Etc)]],".",",",1)*1,0)</f>
        <v>0</v>
      </c>
      <c r="Z324" s="86">
        <f>IFERROR(SUBSTITUTE(Tabela1[[#This Row],[Hospedagem]],".",",",1)*1,0)</f>
        <v>0</v>
      </c>
      <c r="AA324" s="56" t="str">
        <f>IF(DAY(Tabela1[[#This Row],[Informe a data]])&lt;=15,"1ª Quinzena","2ª Quinzena")</f>
        <v>1ª Quinzena</v>
      </c>
      <c r="AB324" s="56" t="str">
        <f>UPPER(TEXT(Tabela1[[#This Row],[Informe a data]],"mmmm"))</f>
        <v>MAIO</v>
      </c>
      <c r="AC324" s="87" t="e">
        <f ca="1">_xlfn.CONCAT(Tabela1[[#This Row],[Selecione o Usuário]]," - ",TEXT(Tabela1[[#This Row],[Informe a data]],"dd-mm-aa"))</f>
        <v>#NAME?</v>
      </c>
    </row>
    <row r="325" spans="1:29">
      <c r="A325" s="89">
        <v>46158.526817129627</v>
      </c>
      <c r="B325" s="90" t="s">
        <v>176</v>
      </c>
      <c r="C325" s="90" t="s">
        <v>136</v>
      </c>
      <c r="D325" s="90" t="s">
        <v>177</v>
      </c>
      <c r="E325" s="91">
        <v>46149</v>
      </c>
      <c r="F325" s="92">
        <v>172305</v>
      </c>
      <c r="G325" s="93" t="s">
        <v>1179</v>
      </c>
      <c r="H325" s="92">
        <v>172510</v>
      </c>
      <c r="I325" s="93" t="s">
        <v>1180</v>
      </c>
      <c r="J325" s="90" t="s">
        <v>630</v>
      </c>
      <c r="K325" s="94"/>
      <c r="L325" s="90" t="s">
        <v>60</v>
      </c>
      <c r="M325" s="94"/>
      <c r="N325" s="94"/>
      <c r="O325" s="94"/>
      <c r="P325" s="94"/>
      <c r="Q325" s="94"/>
      <c r="R325" s="94"/>
      <c r="S325" s="94"/>
      <c r="T325" s="94"/>
      <c r="U325" s="85">
        <f>(Tabela1[[#This Row],[Informe o KM final do dia]]-Tabela1[[#This Row],[Informe o KM inicial do dia]])-Tabela1[[#This Row],[Caso tenha rodado particular alguma parte do trajeto, informe o total de KM a ser deduzido.]]</f>
        <v>205</v>
      </c>
      <c r="V325" s="86">
        <f>IF(Tabela1[[#This Row],[Informe a data]]&lt;DATE(2026,3,16), Tabela1[[#This Row],[KM Rodado]]*1.1, Tabela1[[#This Row],[KM Rodado]]*1.23)</f>
        <v>252.15</v>
      </c>
      <c r="W325" s="86">
        <f>IFERROR(SUBSTITUTE(Tabela1[[#This Row],[Pedágio]],".",",",1)*1,0)</f>
        <v>0</v>
      </c>
      <c r="X325" s="86">
        <f>IFERROR(SUBSTITUTE(Tabela1[[#This Row],[Estacionamento]],".",",",1)*1,0)</f>
        <v>0</v>
      </c>
      <c r="Y325" s="86">
        <f>IFERROR(SUBSTITUTE(Tabela1[[#This Row],[Despesas Diversas 
(Jantar em viagem, Impressões, Etc)]],".",",",1)*1,0)</f>
        <v>0</v>
      </c>
      <c r="Z325" s="86">
        <f>IFERROR(SUBSTITUTE(Tabela1[[#This Row],[Hospedagem]],".",",",1)*1,0)</f>
        <v>0</v>
      </c>
      <c r="AA325" s="56" t="str">
        <f>IF(DAY(Tabela1[[#This Row],[Informe a data]])&lt;=15,"1ª Quinzena","2ª Quinzena")</f>
        <v>1ª Quinzena</v>
      </c>
      <c r="AB325" s="56" t="str">
        <f>UPPER(TEXT(Tabela1[[#This Row],[Informe a data]],"mmmm"))</f>
        <v>MAIO</v>
      </c>
      <c r="AC325" s="87" t="e">
        <f ca="1">_xlfn.CONCAT(Tabela1[[#This Row],[Selecione o Usuário]]," - ",TEXT(Tabela1[[#This Row],[Informe a data]],"dd-mm-aa"))</f>
        <v>#NAME?</v>
      </c>
    </row>
    <row r="326" spans="1:29">
      <c r="A326" s="49">
        <v>46157.490057870367</v>
      </c>
      <c r="B326" s="50" t="s">
        <v>140</v>
      </c>
      <c r="C326" s="50" t="s">
        <v>141</v>
      </c>
      <c r="D326" s="50" t="s">
        <v>169</v>
      </c>
      <c r="E326" s="51">
        <v>46149</v>
      </c>
      <c r="F326" s="52">
        <v>59950</v>
      </c>
      <c r="G326" s="53"/>
      <c r="H326" s="52">
        <v>59990</v>
      </c>
      <c r="I326" s="53"/>
      <c r="J326" s="50" t="s">
        <v>1178</v>
      </c>
      <c r="K326" s="53"/>
      <c r="L326" s="50" t="s">
        <v>60</v>
      </c>
      <c r="M326" s="53"/>
      <c r="N326" s="53"/>
      <c r="O326" s="53"/>
      <c r="P326" s="53"/>
      <c r="Q326" s="53"/>
      <c r="R326" s="53"/>
      <c r="S326" s="53"/>
      <c r="T326" s="53"/>
      <c r="U326" s="85">
        <f>(Tabela1[[#This Row],[Informe o KM final do dia]]-Tabela1[[#This Row],[Informe o KM inicial do dia]])-Tabela1[[#This Row],[Caso tenha rodado particular alguma parte do trajeto, informe o total de KM a ser deduzido.]]</f>
        <v>40</v>
      </c>
      <c r="V326" s="86">
        <f>IF(Tabela1[[#This Row],[Informe a data]]&lt;DATE(2026,3,16), Tabela1[[#This Row],[KM Rodado]]*1.1, Tabela1[[#This Row],[KM Rodado]]*1.23)</f>
        <v>49.2</v>
      </c>
      <c r="W326" s="86">
        <f>IFERROR(SUBSTITUTE(Tabela1[[#This Row],[Pedágio]],".",",",1)*1,0)</f>
        <v>0</v>
      </c>
      <c r="X326" s="86">
        <f>IFERROR(SUBSTITUTE(Tabela1[[#This Row],[Estacionamento]],".",",",1)*1,0)</f>
        <v>0</v>
      </c>
      <c r="Y326" s="86">
        <f>IFERROR(SUBSTITUTE(Tabela1[[#This Row],[Despesas Diversas 
(Jantar em viagem, Impressões, Etc)]],".",",",1)*1,0)</f>
        <v>0</v>
      </c>
      <c r="Z326" s="86">
        <f>IFERROR(SUBSTITUTE(Tabela1[[#This Row],[Hospedagem]],".",",",1)*1,0)</f>
        <v>0</v>
      </c>
      <c r="AA326" s="56" t="str">
        <f>IF(DAY(Tabela1[[#This Row],[Informe a data]])&lt;=15,"1ª Quinzena","2ª Quinzena")</f>
        <v>1ª Quinzena</v>
      </c>
      <c r="AB326" s="56" t="str">
        <f>UPPER(TEXT(Tabela1[[#This Row],[Informe a data]],"mmmm"))</f>
        <v>MAIO</v>
      </c>
      <c r="AC326" s="87" t="e">
        <f ca="1">_xlfn.CONCAT(Tabela1[[#This Row],[Selecione o Usuário]]," - ",TEXT(Tabela1[[#This Row],[Informe a data]],"dd-mm-aa"))</f>
        <v>#NAME?</v>
      </c>
    </row>
    <row r="327" spans="1:29">
      <c r="A327" s="49">
        <v>46153.703101851854</v>
      </c>
      <c r="B327" s="50" t="s">
        <v>1116</v>
      </c>
      <c r="C327" s="50" t="s">
        <v>559</v>
      </c>
      <c r="D327" s="50" t="s">
        <v>560</v>
      </c>
      <c r="E327" s="51">
        <v>46150</v>
      </c>
      <c r="F327" s="52">
        <v>80077</v>
      </c>
      <c r="G327" s="53"/>
      <c r="H327" s="52">
        <v>80122</v>
      </c>
      <c r="I327" s="53"/>
      <c r="J327" s="50" t="s">
        <v>1188</v>
      </c>
      <c r="K327" s="53"/>
      <c r="L327" s="50" t="s">
        <v>60</v>
      </c>
      <c r="M327" s="53"/>
      <c r="N327" s="53"/>
      <c r="O327" s="53"/>
      <c r="P327" s="53"/>
      <c r="Q327" s="53"/>
      <c r="R327" s="53"/>
      <c r="S327" s="53"/>
      <c r="T327" s="53"/>
      <c r="U327" s="85">
        <f>(Tabela1[[#This Row],[Informe o KM final do dia]]-Tabela1[[#This Row],[Informe o KM inicial do dia]])-Tabela1[[#This Row],[Caso tenha rodado particular alguma parte do trajeto, informe o total de KM a ser deduzido.]]</f>
        <v>45</v>
      </c>
      <c r="V327" s="86">
        <f>IF(Tabela1[[#This Row],[Informe a data]]&lt;DATE(2026,3,16), Tabela1[[#This Row],[KM Rodado]]*1.1, Tabela1[[#This Row],[KM Rodado]]*1.23)</f>
        <v>55.35</v>
      </c>
      <c r="W327" s="86">
        <f>IFERROR(SUBSTITUTE(Tabela1[[#This Row],[Pedágio]],".",",",1)*1,0)</f>
        <v>0</v>
      </c>
      <c r="X327" s="86">
        <f>IFERROR(SUBSTITUTE(Tabela1[[#This Row],[Estacionamento]],".",",",1)*1,0)</f>
        <v>0</v>
      </c>
      <c r="Y327" s="86">
        <f>IFERROR(SUBSTITUTE(Tabela1[[#This Row],[Despesas Diversas 
(Jantar em viagem, Impressões, Etc)]],".",",",1)*1,0)</f>
        <v>0</v>
      </c>
      <c r="Z327" s="86">
        <f>IFERROR(SUBSTITUTE(Tabela1[[#This Row],[Hospedagem]],".",",",1)*1,0)</f>
        <v>0</v>
      </c>
      <c r="AA327" s="56" t="str">
        <f>IF(DAY(Tabela1[[#This Row],[Informe a data]])&lt;=15,"1ª Quinzena","2ª Quinzena")</f>
        <v>1ª Quinzena</v>
      </c>
      <c r="AB327" s="56" t="str">
        <f>UPPER(TEXT(Tabela1[[#This Row],[Informe a data]],"mmmm"))</f>
        <v>MAIO</v>
      </c>
      <c r="AC327" s="87" t="e">
        <f ca="1">_xlfn.CONCAT(Tabela1[[#This Row],[Selecione o Usuário]]," - ",TEXT(Tabela1[[#This Row],[Informe a data]],"dd-mm-aa"))</f>
        <v>#NAME?</v>
      </c>
    </row>
    <row r="328" spans="1:29">
      <c r="A328" s="89">
        <v>46160.357881944445</v>
      </c>
      <c r="B328" s="90" t="s">
        <v>504</v>
      </c>
      <c r="C328" s="90" t="s">
        <v>505</v>
      </c>
      <c r="D328" s="90" t="s">
        <v>506</v>
      </c>
      <c r="E328" s="91">
        <v>46150</v>
      </c>
      <c r="F328" s="92">
        <v>104626</v>
      </c>
      <c r="G328" s="94"/>
      <c r="H328" s="92">
        <v>104700</v>
      </c>
      <c r="I328" s="94"/>
      <c r="J328" s="90" t="s">
        <v>1231</v>
      </c>
      <c r="K328" s="94"/>
      <c r="L328" s="90" t="s">
        <v>60</v>
      </c>
      <c r="M328" s="94"/>
      <c r="N328" s="94"/>
      <c r="O328" s="94"/>
      <c r="P328" s="94"/>
      <c r="Q328" s="94"/>
      <c r="R328" s="94"/>
      <c r="S328" s="94"/>
      <c r="T328" s="94"/>
      <c r="U328" s="85">
        <f>(Tabela1[[#This Row],[Informe o KM final do dia]]-Tabela1[[#This Row],[Informe o KM inicial do dia]])-Tabela1[[#This Row],[Caso tenha rodado particular alguma parte do trajeto, informe o total de KM a ser deduzido.]]</f>
        <v>74</v>
      </c>
      <c r="V328" s="86">
        <f>IF(Tabela1[[#This Row],[Informe a data]]&lt;DATE(2026,3,16), Tabela1[[#This Row],[KM Rodado]]*1.1, Tabela1[[#This Row],[KM Rodado]]*1.23)</f>
        <v>91.02</v>
      </c>
      <c r="W328" s="86">
        <f>IFERROR(SUBSTITUTE(Tabela1[[#This Row],[Pedágio]],".",",",1)*1,0)</f>
        <v>0</v>
      </c>
      <c r="X328" s="86">
        <f>IFERROR(SUBSTITUTE(Tabela1[[#This Row],[Estacionamento]],".",",",1)*1,0)</f>
        <v>0</v>
      </c>
      <c r="Y328" s="86">
        <f>IFERROR(SUBSTITUTE(Tabela1[[#This Row],[Despesas Diversas 
(Jantar em viagem, Impressões, Etc)]],".",",",1)*1,0)</f>
        <v>0</v>
      </c>
      <c r="Z328" s="86">
        <f>IFERROR(SUBSTITUTE(Tabela1[[#This Row],[Hospedagem]],".",",",1)*1,0)</f>
        <v>0</v>
      </c>
      <c r="AA328" s="56" t="str">
        <f>IF(DAY(Tabela1[[#This Row],[Informe a data]])&lt;=15,"1ª Quinzena","2ª Quinzena")</f>
        <v>1ª Quinzena</v>
      </c>
      <c r="AB328" s="56" t="str">
        <f>UPPER(TEXT(Tabela1[[#This Row],[Informe a data]],"mmmm"))</f>
        <v>MAIO</v>
      </c>
      <c r="AC328" s="87" t="e">
        <f ca="1">_xlfn.CONCAT(Tabela1[[#This Row],[Selecione o Usuário]]," - ",TEXT(Tabela1[[#This Row],[Informe a data]],"dd-mm-aa"))</f>
        <v>#NAME?</v>
      </c>
    </row>
    <row r="329" spans="1:29">
      <c r="A329" s="89">
        <v>46153.349050925928</v>
      </c>
      <c r="B329" s="90" t="s">
        <v>300</v>
      </c>
      <c r="C329" s="90" t="s">
        <v>250</v>
      </c>
      <c r="D329" s="90" t="s">
        <v>228</v>
      </c>
      <c r="E329" s="91">
        <v>46150</v>
      </c>
      <c r="F329" s="92">
        <v>128804</v>
      </c>
      <c r="G329" s="93" t="s">
        <v>1182</v>
      </c>
      <c r="H329" s="92">
        <v>128903</v>
      </c>
      <c r="I329" s="93" t="s">
        <v>1183</v>
      </c>
      <c r="J329" s="90" t="s">
        <v>1184</v>
      </c>
      <c r="K329" s="94"/>
      <c r="L329" s="90" t="s">
        <v>61</v>
      </c>
      <c r="M329" s="94"/>
      <c r="N329" s="94"/>
      <c r="O329" s="94"/>
      <c r="P329" s="94"/>
      <c r="Q329" s="90" t="s">
        <v>1185</v>
      </c>
      <c r="R329" s="90" t="s">
        <v>1186</v>
      </c>
      <c r="S329" s="94"/>
      <c r="T329" s="94" t="s">
        <v>1187</v>
      </c>
      <c r="U329" s="85">
        <f>(Tabela1[[#This Row],[Informe o KM final do dia]]-Tabela1[[#This Row],[Informe o KM inicial do dia]])-Tabela1[[#This Row],[Caso tenha rodado particular alguma parte do trajeto, informe o total de KM a ser deduzido.]]</f>
        <v>99</v>
      </c>
      <c r="V329" s="86">
        <f>IF(Tabela1[[#This Row],[Informe a data]]&lt;DATE(2026,3,16), Tabela1[[#This Row],[KM Rodado]]*1.1, Tabela1[[#This Row],[KM Rodado]]*1.23)</f>
        <v>121.77</v>
      </c>
      <c r="W329" s="86">
        <f>IFERROR(SUBSTITUTE(Tabela1[[#This Row],[Pedágio]],".",",",1)*1,0)</f>
        <v>0</v>
      </c>
      <c r="X329" s="86">
        <f>IFERROR(SUBSTITUTE(Tabela1[[#This Row],[Estacionamento]],".",",",1)*1,0)</f>
        <v>0</v>
      </c>
      <c r="Y329" s="86">
        <f>IFERROR(SUBSTITUTE(Tabela1[[#This Row],[Despesas Diversas 
(Jantar em viagem, Impressões, Etc)]],".",",",1)*1,0)</f>
        <v>16</v>
      </c>
      <c r="Z329" s="86">
        <f>IFERROR(SUBSTITUTE(Tabela1[[#This Row],[Hospedagem]],".",",",1)*1,0)</f>
        <v>0</v>
      </c>
      <c r="AA329" s="56" t="str">
        <f>IF(DAY(Tabela1[[#This Row],[Informe a data]])&lt;=15,"1ª Quinzena","2ª Quinzena")</f>
        <v>1ª Quinzena</v>
      </c>
      <c r="AB329" s="56" t="str">
        <f>UPPER(TEXT(Tabela1[[#This Row],[Informe a data]],"mmmm"))</f>
        <v>MAIO</v>
      </c>
      <c r="AC329" s="87" t="e">
        <f ca="1">_xlfn.CONCAT(Tabela1[[#This Row],[Selecione o Usuário]]," - ",TEXT(Tabela1[[#This Row],[Informe a data]],"dd-mm-aa"))</f>
        <v>#NAME?</v>
      </c>
    </row>
    <row r="330" spans="1:29">
      <c r="A330" s="49">
        <v>46150.747060185182</v>
      </c>
      <c r="B330" s="50" t="s">
        <v>140</v>
      </c>
      <c r="C330" s="50" t="s">
        <v>141</v>
      </c>
      <c r="D330" s="50" t="s">
        <v>961</v>
      </c>
      <c r="E330" s="51">
        <v>46150</v>
      </c>
      <c r="F330" s="52">
        <v>60005</v>
      </c>
      <c r="G330" s="53"/>
      <c r="H330" s="52">
        <v>60060</v>
      </c>
      <c r="I330" s="53"/>
      <c r="J330" s="50" t="s">
        <v>1181</v>
      </c>
      <c r="K330" s="53"/>
      <c r="L330" s="50" t="s">
        <v>60</v>
      </c>
      <c r="M330" s="53"/>
      <c r="N330" s="53"/>
      <c r="O330" s="53"/>
      <c r="P330" s="53"/>
      <c r="Q330" s="53"/>
      <c r="R330" s="53"/>
      <c r="S330" s="53"/>
      <c r="T330" s="53"/>
      <c r="U330" s="85">
        <f>(Tabela1[[#This Row],[Informe o KM final do dia]]-Tabela1[[#This Row],[Informe o KM inicial do dia]])-Tabela1[[#This Row],[Caso tenha rodado particular alguma parte do trajeto, informe o total de KM a ser deduzido.]]</f>
        <v>55</v>
      </c>
      <c r="V330" s="86">
        <f>IF(Tabela1[[#This Row],[Informe a data]]&lt;DATE(2026,3,16), Tabela1[[#This Row],[KM Rodado]]*1.1, Tabela1[[#This Row],[KM Rodado]]*1.23)</f>
        <v>67.650000000000006</v>
      </c>
      <c r="W330" s="86">
        <f>IFERROR(SUBSTITUTE(Tabela1[[#This Row],[Pedágio]],".",",",1)*1,0)</f>
        <v>0</v>
      </c>
      <c r="X330" s="86">
        <f>IFERROR(SUBSTITUTE(Tabela1[[#This Row],[Estacionamento]],".",",",1)*1,0)</f>
        <v>0</v>
      </c>
      <c r="Y330" s="86">
        <f>IFERROR(SUBSTITUTE(Tabela1[[#This Row],[Despesas Diversas 
(Jantar em viagem, Impressões, Etc)]],".",",",1)*1,0)</f>
        <v>0</v>
      </c>
      <c r="Z330" s="86">
        <f>IFERROR(SUBSTITUTE(Tabela1[[#This Row],[Hospedagem]],".",",",1)*1,0)</f>
        <v>0</v>
      </c>
      <c r="AA330" s="56" t="str">
        <f>IF(DAY(Tabela1[[#This Row],[Informe a data]])&lt;=15,"1ª Quinzena","2ª Quinzena")</f>
        <v>1ª Quinzena</v>
      </c>
      <c r="AB330" s="56" t="str">
        <f>UPPER(TEXT(Tabela1[[#This Row],[Informe a data]],"mmmm"))</f>
        <v>MAIO</v>
      </c>
      <c r="AC330" s="87" t="e">
        <f ca="1">_xlfn.CONCAT(Tabela1[[#This Row],[Selecione o Usuário]]," - ",TEXT(Tabela1[[#This Row],[Informe a data]],"dd-mm-aa"))</f>
        <v>#NAME?</v>
      </c>
    </row>
    <row r="331" spans="1:29">
      <c r="A331" s="49">
        <v>46159.866180555553</v>
      </c>
      <c r="B331" s="50" t="s">
        <v>1116</v>
      </c>
      <c r="C331" s="50" t="s">
        <v>559</v>
      </c>
      <c r="D331" s="50" t="s">
        <v>560</v>
      </c>
      <c r="E331" s="51">
        <v>46151</v>
      </c>
      <c r="F331" s="52">
        <v>78263</v>
      </c>
      <c r="G331" s="53"/>
      <c r="H331" s="52">
        <v>78379</v>
      </c>
      <c r="I331" s="53"/>
      <c r="J331" s="50" t="s">
        <v>1195</v>
      </c>
      <c r="K331" s="53"/>
      <c r="L331" s="50" t="s">
        <v>60</v>
      </c>
      <c r="M331" s="53"/>
      <c r="N331" s="53"/>
      <c r="O331" s="53"/>
      <c r="P331" s="53"/>
      <c r="Q331" s="53"/>
      <c r="R331" s="53"/>
      <c r="S331" s="53"/>
      <c r="T331" s="53"/>
      <c r="U331" s="85">
        <f>(Tabela1[[#This Row],[Informe o KM final do dia]]-Tabela1[[#This Row],[Informe o KM inicial do dia]])-Tabela1[[#This Row],[Caso tenha rodado particular alguma parte do trajeto, informe o total de KM a ser deduzido.]]</f>
        <v>116</v>
      </c>
      <c r="V331" s="86">
        <f>IF(Tabela1[[#This Row],[Informe a data]]&lt;DATE(2026,3,16), Tabela1[[#This Row],[KM Rodado]]*1.1, Tabela1[[#This Row],[KM Rodado]]*1.23)</f>
        <v>142.68</v>
      </c>
      <c r="W331" s="86">
        <f>IFERROR(SUBSTITUTE(Tabela1[[#This Row],[Pedágio]],".",",",1)*1,0)</f>
        <v>0</v>
      </c>
      <c r="X331" s="86">
        <f>IFERROR(SUBSTITUTE(Tabela1[[#This Row],[Estacionamento]],".",",",1)*1,0)</f>
        <v>0</v>
      </c>
      <c r="Y331" s="86">
        <f>IFERROR(SUBSTITUTE(Tabela1[[#This Row],[Despesas Diversas 
(Jantar em viagem, Impressões, Etc)]],".",",",1)*1,0)</f>
        <v>0</v>
      </c>
      <c r="Z331" s="86">
        <f>IFERROR(SUBSTITUTE(Tabela1[[#This Row],[Hospedagem]],".",",",1)*1,0)</f>
        <v>0</v>
      </c>
      <c r="AA331" s="56" t="str">
        <f>IF(DAY(Tabela1[[#This Row],[Informe a data]])&lt;=15,"1ª Quinzena","2ª Quinzena")</f>
        <v>1ª Quinzena</v>
      </c>
      <c r="AB331" s="56" t="str">
        <f>UPPER(TEXT(Tabela1[[#This Row],[Informe a data]],"mmmm"))</f>
        <v>MAIO</v>
      </c>
      <c r="AC331" s="87" t="e">
        <f ca="1">_xlfn.CONCAT(Tabela1[[#This Row],[Selecione o Usuário]]," - ",TEXT(Tabela1[[#This Row],[Informe a data]],"dd-mm-aa"))</f>
        <v>#NAME?</v>
      </c>
    </row>
    <row r="332" spans="1:29">
      <c r="A332" s="89">
        <v>46153.397465277776</v>
      </c>
      <c r="B332" s="90" t="s">
        <v>497</v>
      </c>
      <c r="C332" s="90" t="s">
        <v>498</v>
      </c>
      <c r="D332" s="90" t="s">
        <v>1150</v>
      </c>
      <c r="E332" s="91">
        <v>46151</v>
      </c>
      <c r="F332" s="92">
        <v>24151</v>
      </c>
      <c r="G332" s="93" t="s">
        <v>1189</v>
      </c>
      <c r="H332" s="92">
        <v>24497</v>
      </c>
      <c r="I332" s="93" t="s">
        <v>1190</v>
      </c>
      <c r="J332" s="90" t="s">
        <v>1191</v>
      </c>
      <c r="K332" s="94"/>
      <c r="L332" s="90" t="s">
        <v>61</v>
      </c>
      <c r="M332" s="90" t="s">
        <v>1192</v>
      </c>
      <c r="N332" s="90" t="s">
        <v>1193</v>
      </c>
      <c r="O332" s="94"/>
      <c r="P332" s="94"/>
      <c r="Q332" s="94"/>
      <c r="R332" s="94"/>
      <c r="S332" s="94"/>
      <c r="T332" s="94" t="s">
        <v>1194</v>
      </c>
      <c r="U332" s="85">
        <f>(Tabela1[[#This Row],[Informe o KM final do dia]]-Tabela1[[#This Row],[Informe o KM inicial do dia]])-Tabela1[[#This Row],[Caso tenha rodado particular alguma parte do trajeto, informe o total de KM a ser deduzido.]]</f>
        <v>346</v>
      </c>
      <c r="V332" s="86">
        <f>IF(Tabela1[[#This Row],[Informe a data]]&lt;DATE(2026,3,16), Tabela1[[#This Row],[KM Rodado]]*1.1, Tabela1[[#This Row],[KM Rodado]]*1.23)</f>
        <v>425.58</v>
      </c>
      <c r="W332" s="86">
        <f>IFERROR(SUBSTITUTE(Tabela1[[#This Row],[Pedágio]],".",",",1)*1,0)</f>
        <v>23.4</v>
      </c>
      <c r="X332" s="86">
        <f>IFERROR(SUBSTITUTE(Tabela1[[#This Row],[Estacionamento]],".",",",1)*1,0)</f>
        <v>0</v>
      </c>
      <c r="Y332" s="86">
        <f>IFERROR(SUBSTITUTE(Tabela1[[#This Row],[Despesas Diversas 
(Jantar em viagem, Impressões, Etc)]],".",",",1)*1,0)</f>
        <v>0</v>
      </c>
      <c r="Z332" s="86">
        <f>IFERROR(SUBSTITUTE(Tabela1[[#This Row],[Hospedagem]],".",",",1)*1,0)</f>
        <v>0</v>
      </c>
      <c r="AA332" s="56" t="str">
        <f>IF(DAY(Tabela1[[#This Row],[Informe a data]])&lt;=15,"1ª Quinzena","2ª Quinzena")</f>
        <v>1ª Quinzena</v>
      </c>
      <c r="AB332" s="56" t="str">
        <f>UPPER(TEXT(Tabela1[[#This Row],[Informe a data]],"mmmm"))</f>
        <v>MAIO</v>
      </c>
      <c r="AC332" s="87" t="e">
        <f ca="1">_xlfn.CONCAT(Tabela1[[#This Row],[Selecione o Usuário]]," - ",TEXT(Tabela1[[#This Row],[Informe a data]],"dd-mm-aa"))</f>
        <v>#NAME?</v>
      </c>
    </row>
    <row r="333" spans="1:29">
      <c r="A333" s="49">
        <v>46159.861076388886</v>
      </c>
      <c r="B333" s="50" t="s">
        <v>1116</v>
      </c>
      <c r="C333" s="50" t="s">
        <v>559</v>
      </c>
      <c r="D333" s="50" t="s">
        <v>560</v>
      </c>
      <c r="E333" s="51">
        <v>46153</v>
      </c>
      <c r="F333" s="52">
        <v>78881</v>
      </c>
      <c r="G333" s="53"/>
      <c r="H333" s="52">
        <v>79002</v>
      </c>
      <c r="I333" s="53"/>
      <c r="J333" s="50" t="s">
        <v>1199</v>
      </c>
      <c r="K333" s="53"/>
      <c r="L333" s="50" t="s">
        <v>60</v>
      </c>
      <c r="M333" s="53"/>
      <c r="N333" s="53"/>
      <c r="O333" s="53"/>
      <c r="P333" s="53"/>
      <c r="Q333" s="53"/>
      <c r="R333" s="53"/>
      <c r="S333" s="53"/>
      <c r="T333" s="53"/>
      <c r="U333" s="85">
        <f>(Tabela1[[#This Row],[Informe o KM final do dia]]-Tabela1[[#This Row],[Informe o KM inicial do dia]])-Tabela1[[#This Row],[Caso tenha rodado particular alguma parte do trajeto, informe o total de KM a ser deduzido.]]</f>
        <v>121</v>
      </c>
      <c r="V333" s="86">
        <f>IF(Tabela1[[#This Row],[Informe a data]]&lt;DATE(2026,3,16), Tabela1[[#This Row],[KM Rodado]]*1.1, Tabela1[[#This Row],[KM Rodado]]*1.23)</f>
        <v>148.82999999999998</v>
      </c>
      <c r="W333" s="86">
        <f>IFERROR(SUBSTITUTE(Tabela1[[#This Row],[Pedágio]],".",",",1)*1,0)</f>
        <v>0</v>
      </c>
      <c r="X333" s="86">
        <f>IFERROR(SUBSTITUTE(Tabela1[[#This Row],[Estacionamento]],".",",",1)*1,0)</f>
        <v>0</v>
      </c>
      <c r="Y333" s="86">
        <f>IFERROR(SUBSTITUTE(Tabela1[[#This Row],[Despesas Diversas 
(Jantar em viagem, Impressões, Etc)]],".",",",1)*1,0)</f>
        <v>0</v>
      </c>
      <c r="Z333" s="86">
        <f>IFERROR(SUBSTITUTE(Tabela1[[#This Row],[Hospedagem]],".",",",1)*1,0)</f>
        <v>0</v>
      </c>
      <c r="AA333" s="56" t="str">
        <f>IF(DAY(Tabela1[[#This Row],[Informe a data]])&lt;=15,"1ª Quinzena","2ª Quinzena")</f>
        <v>1ª Quinzena</v>
      </c>
      <c r="AB333" s="56" t="str">
        <f>UPPER(TEXT(Tabela1[[#This Row],[Informe a data]],"mmmm"))</f>
        <v>MAIO</v>
      </c>
      <c r="AC333" s="87" t="e">
        <f ca="1">_xlfn.CONCAT(Tabela1[[#This Row],[Selecione o Usuário]]," - ",TEXT(Tabela1[[#This Row],[Informe a data]],"dd-mm-aa"))</f>
        <v>#NAME?</v>
      </c>
    </row>
    <row r="334" spans="1:29">
      <c r="A334" s="89">
        <v>46154.269699074073</v>
      </c>
      <c r="B334" s="90" t="s">
        <v>300</v>
      </c>
      <c r="C334" s="90" t="s">
        <v>250</v>
      </c>
      <c r="D334" s="90" t="s">
        <v>228</v>
      </c>
      <c r="E334" s="91">
        <v>46153</v>
      </c>
      <c r="F334" s="92">
        <v>129089</v>
      </c>
      <c r="G334" s="93" t="s">
        <v>1196</v>
      </c>
      <c r="H334" s="92">
        <v>129193</v>
      </c>
      <c r="I334" s="93" t="s">
        <v>1197</v>
      </c>
      <c r="J334" s="90" t="s">
        <v>1198</v>
      </c>
      <c r="K334" s="92">
        <v>40</v>
      </c>
      <c r="L334" s="90" t="s">
        <v>60</v>
      </c>
      <c r="M334" s="94"/>
      <c r="N334" s="94"/>
      <c r="O334" s="94"/>
      <c r="P334" s="94"/>
      <c r="Q334" s="94"/>
      <c r="R334" s="94"/>
      <c r="S334" s="94"/>
      <c r="T334" s="94"/>
      <c r="U334" s="85">
        <f>(Tabela1[[#This Row],[Informe o KM final do dia]]-Tabela1[[#This Row],[Informe o KM inicial do dia]])-Tabela1[[#This Row],[Caso tenha rodado particular alguma parte do trajeto, informe o total de KM a ser deduzido.]]</f>
        <v>64</v>
      </c>
      <c r="V334" s="86">
        <f>IF(Tabela1[[#This Row],[Informe a data]]&lt;DATE(2026,3,16), Tabela1[[#This Row],[KM Rodado]]*1.1, Tabela1[[#This Row],[KM Rodado]]*1.23)</f>
        <v>78.72</v>
      </c>
      <c r="W334" s="86">
        <f>IFERROR(SUBSTITUTE(Tabela1[[#This Row],[Pedágio]],".",",",1)*1,0)</f>
        <v>0</v>
      </c>
      <c r="X334" s="86">
        <f>IFERROR(SUBSTITUTE(Tabela1[[#This Row],[Estacionamento]],".",",",1)*1,0)</f>
        <v>0</v>
      </c>
      <c r="Y334" s="86">
        <f>IFERROR(SUBSTITUTE(Tabela1[[#This Row],[Despesas Diversas 
(Jantar em viagem, Impressões, Etc)]],".",",",1)*1,0)</f>
        <v>0</v>
      </c>
      <c r="Z334" s="86">
        <f>IFERROR(SUBSTITUTE(Tabela1[[#This Row],[Hospedagem]],".",",",1)*1,0)</f>
        <v>0</v>
      </c>
      <c r="AA334" s="56" t="str">
        <f>IF(DAY(Tabela1[[#This Row],[Informe a data]])&lt;=15,"1ª Quinzena","2ª Quinzena")</f>
        <v>1ª Quinzena</v>
      </c>
      <c r="AB334" s="56" t="str">
        <f>UPPER(TEXT(Tabela1[[#This Row],[Informe a data]],"mmmm"))</f>
        <v>MAIO</v>
      </c>
      <c r="AC334" s="87" t="e">
        <f ca="1">_xlfn.CONCAT(Tabela1[[#This Row],[Selecione o Usuário]]," - ",TEXT(Tabela1[[#This Row],[Informe a data]],"dd-mm-aa"))</f>
        <v>#NAME?</v>
      </c>
    </row>
    <row r="335" spans="1:29">
      <c r="A335" s="89">
        <v>46155.470243055555</v>
      </c>
      <c r="B335" s="90" t="s">
        <v>497</v>
      </c>
      <c r="C335" s="90" t="s">
        <v>498</v>
      </c>
      <c r="D335" s="90" t="s">
        <v>1072</v>
      </c>
      <c r="E335" s="91">
        <v>46154</v>
      </c>
      <c r="F335" s="92">
        <v>53829</v>
      </c>
      <c r="G335" s="93" t="s">
        <v>1207</v>
      </c>
      <c r="H335" s="92">
        <v>53859</v>
      </c>
      <c r="I335" s="93" t="s">
        <v>1208</v>
      </c>
      <c r="J335" s="90" t="s">
        <v>1209</v>
      </c>
      <c r="K335" s="94"/>
      <c r="L335" s="90" t="s">
        <v>60</v>
      </c>
      <c r="M335" s="94"/>
      <c r="N335" s="94"/>
      <c r="O335" s="94"/>
      <c r="P335" s="94"/>
      <c r="Q335" s="94"/>
      <c r="R335" s="94"/>
      <c r="S335" s="94"/>
      <c r="T335" s="94"/>
      <c r="U335" s="85">
        <f>(Tabela1[[#This Row],[Informe o KM final do dia]]-Tabela1[[#This Row],[Informe o KM inicial do dia]])-Tabela1[[#This Row],[Caso tenha rodado particular alguma parte do trajeto, informe o total de KM a ser deduzido.]]</f>
        <v>30</v>
      </c>
      <c r="V335" s="86">
        <f>IF(Tabela1[[#This Row],[Informe a data]]&lt;DATE(2026,3,16), Tabela1[[#This Row],[KM Rodado]]*1.1, Tabela1[[#This Row],[KM Rodado]]*1.23)</f>
        <v>36.9</v>
      </c>
      <c r="W335" s="86">
        <f>IFERROR(SUBSTITUTE(Tabela1[[#This Row],[Pedágio]],".",",",1)*1,0)</f>
        <v>0</v>
      </c>
      <c r="X335" s="86">
        <f>IFERROR(SUBSTITUTE(Tabela1[[#This Row],[Estacionamento]],".",",",1)*1,0)</f>
        <v>0</v>
      </c>
      <c r="Y335" s="86">
        <f>IFERROR(SUBSTITUTE(Tabela1[[#This Row],[Despesas Diversas 
(Jantar em viagem, Impressões, Etc)]],".",",",1)*1,0)</f>
        <v>0</v>
      </c>
      <c r="Z335" s="86">
        <f>IFERROR(SUBSTITUTE(Tabela1[[#This Row],[Hospedagem]],".",",",1)*1,0)</f>
        <v>0</v>
      </c>
      <c r="AA335" s="56" t="str">
        <f>IF(DAY(Tabela1[[#This Row],[Informe a data]])&lt;=15,"1ª Quinzena","2ª Quinzena")</f>
        <v>1ª Quinzena</v>
      </c>
      <c r="AB335" s="56" t="str">
        <f>UPPER(TEXT(Tabela1[[#This Row],[Informe a data]],"mmmm"))</f>
        <v>MAIO</v>
      </c>
      <c r="AC335" s="87" t="e">
        <f ca="1">_xlfn.CONCAT(Tabela1[[#This Row],[Selecione o Usuário]]," - ",TEXT(Tabela1[[#This Row],[Informe a data]],"dd-mm-aa"))</f>
        <v>#NAME?</v>
      </c>
    </row>
    <row r="336" spans="1:29">
      <c r="A336" s="49">
        <v>46154.892245370371</v>
      </c>
      <c r="B336" s="50" t="s">
        <v>1174</v>
      </c>
      <c r="C336" s="50" t="s">
        <v>134</v>
      </c>
      <c r="D336" s="50" t="s">
        <v>209</v>
      </c>
      <c r="E336" s="51">
        <v>46154</v>
      </c>
      <c r="F336" s="52">
        <v>169435</v>
      </c>
      <c r="G336" s="58" t="s">
        <v>1204</v>
      </c>
      <c r="H336" s="52">
        <v>169684</v>
      </c>
      <c r="I336" s="58" t="s">
        <v>1205</v>
      </c>
      <c r="J336" s="50" t="s">
        <v>1206</v>
      </c>
      <c r="K336" s="53"/>
      <c r="L336" s="50" t="s">
        <v>60</v>
      </c>
      <c r="M336" s="53"/>
      <c r="N336" s="53"/>
      <c r="O336" s="53"/>
      <c r="P336" s="53"/>
      <c r="Q336" s="53"/>
      <c r="R336" s="53"/>
      <c r="S336" s="53"/>
      <c r="T336" s="53"/>
      <c r="U336" s="85">
        <f>(Tabela1[[#This Row],[Informe o KM final do dia]]-Tabela1[[#This Row],[Informe o KM inicial do dia]])-Tabela1[[#This Row],[Caso tenha rodado particular alguma parte do trajeto, informe o total de KM a ser deduzido.]]</f>
        <v>249</v>
      </c>
      <c r="V336" s="86">
        <f>IF(Tabela1[[#This Row],[Informe a data]]&lt;DATE(2026,3,16), Tabela1[[#This Row],[KM Rodado]]*1.1, Tabela1[[#This Row],[KM Rodado]]*1.23)</f>
        <v>306.27</v>
      </c>
      <c r="W336" s="86">
        <f>IFERROR(SUBSTITUTE(Tabela1[[#This Row],[Pedágio]],".",",",1)*1,0)</f>
        <v>0</v>
      </c>
      <c r="X336" s="86">
        <f>IFERROR(SUBSTITUTE(Tabela1[[#This Row],[Estacionamento]],".",",",1)*1,0)</f>
        <v>0</v>
      </c>
      <c r="Y336" s="86">
        <f>IFERROR(SUBSTITUTE(Tabela1[[#This Row],[Despesas Diversas 
(Jantar em viagem, Impressões, Etc)]],".",",",1)*1,0)</f>
        <v>0</v>
      </c>
      <c r="Z336" s="86">
        <f>IFERROR(SUBSTITUTE(Tabela1[[#This Row],[Hospedagem]],".",",",1)*1,0)</f>
        <v>0</v>
      </c>
      <c r="AA336" s="56" t="str">
        <f>IF(DAY(Tabela1[[#This Row],[Informe a data]])&lt;=15,"1ª Quinzena","2ª Quinzena")</f>
        <v>1ª Quinzena</v>
      </c>
      <c r="AB336" s="56" t="str">
        <f>UPPER(TEXT(Tabela1[[#This Row],[Informe a data]],"mmmm"))</f>
        <v>MAIO</v>
      </c>
      <c r="AC336" s="87" t="e">
        <f ca="1">_xlfn.CONCAT(Tabela1[[#This Row],[Selecione o Usuário]]," - ",TEXT(Tabela1[[#This Row],[Informe a data]],"dd-mm-aa"))</f>
        <v>#NAME?</v>
      </c>
    </row>
    <row r="337" spans="1:29">
      <c r="A337" s="49">
        <v>46160.366631944446</v>
      </c>
      <c r="B337" s="50" t="s">
        <v>504</v>
      </c>
      <c r="C337" s="50" t="s">
        <v>505</v>
      </c>
      <c r="D337" s="50" t="s">
        <v>551</v>
      </c>
      <c r="E337" s="51">
        <v>46154</v>
      </c>
      <c r="F337" s="52">
        <v>104748</v>
      </c>
      <c r="G337" s="53"/>
      <c r="H337" s="52">
        <v>104795</v>
      </c>
      <c r="I337" s="53"/>
      <c r="J337" s="50" t="s">
        <v>1233</v>
      </c>
      <c r="K337" s="53"/>
      <c r="L337" s="50" t="s">
        <v>60</v>
      </c>
      <c r="M337" s="53"/>
      <c r="N337" s="53"/>
      <c r="O337" s="53"/>
      <c r="P337" s="53"/>
      <c r="Q337" s="53"/>
      <c r="R337" s="53"/>
      <c r="S337" s="53"/>
      <c r="T337" s="53"/>
      <c r="U337" s="85">
        <f>(Tabela1[[#This Row],[Informe o KM final do dia]]-Tabela1[[#This Row],[Informe o KM inicial do dia]])-Tabela1[[#This Row],[Caso tenha rodado particular alguma parte do trajeto, informe o total de KM a ser deduzido.]]</f>
        <v>47</v>
      </c>
      <c r="V337" s="86">
        <f>IF(Tabela1[[#This Row],[Informe a data]]&lt;DATE(2026,3,16), Tabela1[[#This Row],[KM Rodado]]*1.1, Tabela1[[#This Row],[KM Rodado]]*1.23)</f>
        <v>57.81</v>
      </c>
      <c r="W337" s="86">
        <f>IFERROR(SUBSTITUTE(Tabela1[[#This Row],[Pedágio]],".",",",1)*1,0)</f>
        <v>0</v>
      </c>
      <c r="X337" s="86">
        <f>IFERROR(SUBSTITUTE(Tabela1[[#This Row],[Estacionamento]],".",",",1)*1,0)</f>
        <v>0</v>
      </c>
      <c r="Y337" s="86">
        <f>IFERROR(SUBSTITUTE(Tabela1[[#This Row],[Despesas Diversas 
(Jantar em viagem, Impressões, Etc)]],".",",",1)*1,0)</f>
        <v>0</v>
      </c>
      <c r="Z337" s="86">
        <f>IFERROR(SUBSTITUTE(Tabela1[[#This Row],[Hospedagem]],".",",",1)*1,0)</f>
        <v>0</v>
      </c>
      <c r="AA337" s="56" t="str">
        <f>IF(DAY(Tabela1[[#This Row],[Informe a data]])&lt;=15,"1ª Quinzena","2ª Quinzena")</f>
        <v>1ª Quinzena</v>
      </c>
      <c r="AB337" s="56" t="str">
        <f>UPPER(TEXT(Tabela1[[#This Row],[Informe a data]],"mmmm"))</f>
        <v>MAIO</v>
      </c>
      <c r="AC337" s="87" t="e">
        <f ca="1">_xlfn.CONCAT(Tabela1[[#This Row],[Selecione o Usuário]]," - ",TEXT(Tabela1[[#This Row],[Informe a data]],"dd-mm-aa"))</f>
        <v>#NAME?</v>
      </c>
    </row>
    <row r="338" spans="1:29">
      <c r="A338" s="89">
        <v>46154.71912037037</v>
      </c>
      <c r="B338" s="90" t="s">
        <v>300</v>
      </c>
      <c r="C338" s="90" t="s">
        <v>250</v>
      </c>
      <c r="D338" s="90" t="s">
        <v>1200</v>
      </c>
      <c r="E338" s="91">
        <v>46154</v>
      </c>
      <c r="F338" s="92">
        <v>129193</v>
      </c>
      <c r="G338" s="93" t="s">
        <v>1201</v>
      </c>
      <c r="H338" s="92">
        <v>129314</v>
      </c>
      <c r="I338" s="93" t="s">
        <v>1202</v>
      </c>
      <c r="J338" s="90" t="s">
        <v>1203</v>
      </c>
      <c r="K338" s="92">
        <v>23</v>
      </c>
      <c r="L338" s="90" t="s">
        <v>60</v>
      </c>
      <c r="M338" s="94"/>
      <c r="N338" s="94"/>
      <c r="O338" s="94"/>
      <c r="P338" s="94"/>
      <c r="Q338" s="94"/>
      <c r="R338" s="94"/>
      <c r="S338" s="94"/>
      <c r="T338" s="94"/>
      <c r="U338" s="85">
        <f>(Tabela1[[#This Row],[Informe o KM final do dia]]-Tabela1[[#This Row],[Informe o KM inicial do dia]])-Tabela1[[#This Row],[Caso tenha rodado particular alguma parte do trajeto, informe o total de KM a ser deduzido.]]</f>
        <v>98</v>
      </c>
      <c r="V338" s="86">
        <f>IF(Tabela1[[#This Row],[Informe a data]]&lt;DATE(2026,3,16), Tabela1[[#This Row],[KM Rodado]]*1.1, Tabela1[[#This Row],[KM Rodado]]*1.23)</f>
        <v>120.53999999999999</v>
      </c>
      <c r="W338" s="86">
        <f>IFERROR(SUBSTITUTE(Tabela1[[#This Row],[Pedágio]],".",",",1)*1,0)</f>
        <v>0</v>
      </c>
      <c r="X338" s="86">
        <f>IFERROR(SUBSTITUTE(Tabela1[[#This Row],[Estacionamento]],".",",",1)*1,0)</f>
        <v>0</v>
      </c>
      <c r="Y338" s="86">
        <f>IFERROR(SUBSTITUTE(Tabela1[[#This Row],[Despesas Diversas 
(Jantar em viagem, Impressões, Etc)]],".",",",1)*1,0)</f>
        <v>0</v>
      </c>
      <c r="Z338" s="86">
        <f>IFERROR(SUBSTITUTE(Tabela1[[#This Row],[Hospedagem]],".",",",1)*1,0)</f>
        <v>0</v>
      </c>
      <c r="AA338" s="56" t="str">
        <f>IF(DAY(Tabela1[[#This Row],[Informe a data]])&lt;=15,"1ª Quinzena","2ª Quinzena")</f>
        <v>1ª Quinzena</v>
      </c>
      <c r="AB338" s="56" t="str">
        <f>UPPER(TEXT(Tabela1[[#This Row],[Informe a data]],"mmmm"))</f>
        <v>MAIO</v>
      </c>
      <c r="AC338" s="87" t="e">
        <f ca="1">_xlfn.CONCAT(Tabela1[[#This Row],[Selecione o Usuário]]," - ",TEXT(Tabela1[[#This Row],[Informe a data]],"dd-mm-aa"))</f>
        <v>#NAME?</v>
      </c>
    </row>
    <row r="339" spans="1:29">
      <c r="A339" s="89">
        <v>46158.528553240743</v>
      </c>
      <c r="B339" s="90" t="s">
        <v>176</v>
      </c>
      <c r="C339" s="90" t="s">
        <v>136</v>
      </c>
      <c r="D339" s="90" t="s">
        <v>177</v>
      </c>
      <c r="E339" s="91">
        <v>46154</v>
      </c>
      <c r="F339" s="92">
        <v>172615</v>
      </c>
      <c r="G339" s="93" t="s">
        <v>1211</v>
      </c>
      <c r="H339" s="92">
        <v>172704</v>
      </c>
      <c r="I339" s="93" t="s">
        <v>1212</v>
      </c>
      <c r="J339" s="90" t="s">
        <v>1213</v>
      </c>
      <c r="K339" s="94"/>
      <c r="L339" s="90" t="s">
        <v>60</v>
      </c>
      <c r="M339" s="94"/>
      <c r="N339" s="94"/>
      <c r="O339" s="94"/>
      <c r="P339" s="94"/>
      <c r="Q339" s="94"/>
      <c r="R339" s="94"/>
      <c r="S339" s="94"/>
      <c r="T339" s="94"/>
      <c r="U339" s="85">
        <f>(Tabela1[[#This Row],[Informe o KM final do dia]]-Tabela1[[#This Row],[Informe o KM inicial do dia]])-Tabela1[[#This Row],[Caso tenha rodado particular alguma parte do trajeto, informe o total de KM a ser deduzido.]]</f>
        <v>89</v>
      </c>
      <c r="V339" s="86">
        <f>IF(Tabela1[[#This Row],[Informe a data]]&lt;DATE(2026,3,16), Tabela1[[#This Row],[KM Rodado]]*1.1, Tabela1[[#This Row],[KM Rodado]]*1.23)</f>
        <v>109.47</v>
      </c>
      <c r="W339" s="86">
        <f>IFERROR(SUBSTITUTE(Tabela1[[#This Row],[Pedágio]],".",",",1)*1,0)</f>
        <v>0</v>
      </c>
      <c r="X339" s="86">
        <f>IFERROR(SUBSTITUTE(Tabela1[[#This Row],[Estacionamento]],".",",",1)*1,0)</f>
        <v>0</v>
      </c>
      <c r="Y339" s="86">
        <f>IFERROR(SUBSTITUTE(Tabela1[[#This Row],[Despesas Diversas 
(Jantar em viagem, Impressões, Etc)]],".",",",1)*1,0)</f>
        <v>0</v>
      </c>
      <c r="Z339" s="86">
        <f>IFERROR(SUBSTITUTE(Tabela1[[#This Row],[Hospedagem]],".",",",1)*1,0)</f>
        <v>0</v>
      </c>
      <c r="AA339" s="56" t="str">
        <f>IF(DAY(Tabela1[[#This Row],[Informe a data]])&lt;=15,"1ª Quinzena","2ª Quinzena")</f>
        <v>1ª Quinzena</v>
      </c>
      <c r="AB339" s="56" t="str">
        <f>UPPER(TEXT(Tabela1[[#This Row],[Informe a data]],"mmmm"))</f>
        <v>MAIO</v>
      </c>
      <c r="AC339" s="87" t="e">
        <f ca="1">_xlfn.CONCAT(Tabela1[[#This Row],[Selecione o Usuário]]," - ",TEXT(Tabela1[[#This Row],[Informe a data]],"dd-mm-aa"))</f>
        <v>#NAME?</v>
      </c>
    </row>
    <row r="340" spans="1:29">
      <c r="A340" s="49">
        <v>46157.481574074074</v>
      </c>
      <c r="B340" s="50" t="s">
        <v>140</v>
      </c>
      <c r="C340" s="50" t="s">
        <v>141</v>
      </c>
      <c r="D340" s="50" t="s">
        <v>169</v>
      </c>
      <c r="E340" s="51">
        <v>46154</v>
      </c>
      <c r="F340" s="52">
        <v>60160</v>
      </c>
      <c r="G340" s="53"/>
      <c r="H340" s="52">
        <v>60238</v>
      </c>
      <c r="I340" s="53"/>
      <c r="J340" s="50" t="s">
        <v>1210</v>
      </c>
      <c r="K340" s="53"/>
      <c r="L340" s="50" t="s">
        <v>60</v>
      </c>
      <c r="M340" s="53"/>
      <c r="N340" s="53"/>
      <c r="O340" s="53"/>
      <c r="P340" s="53"/>
      <c r="Q340" s="53"/>
      <c r="R340" s="53"/>
      <c r="S340" s="53"/>
      <c r="T340" s="53"/>
      <c r="U340" s="85">
        <f>(Tabela1[[#This Row],[Informe o KM final do dia]]-Tabela1[[#This Row],[Informe o KM inicial do dia]])-Tabela1[[#This Row],[Caso tenha rodado particular alguma parte do trajeto, informe o total de KM a ser deduzido.]]</f>
        <v>78</v>
      </c>
      <c r="V340" s="86">
        <f>IF(Tabela1[[#This Row],[Informe a data]]&lt;DATE(2026,3,16), Tabela1[[#This Row],[KM Rodado]]*1.1, Tabela1[[#This Row],[KM Rodado]]*1.23)</f>
        <v>95.94</v>
      </c>
      <c r="W340" s="86">
        <f>IFERROR(SUBSTITUTE(Tabela1[[#This Row],[Pedágio]],".",",",1)*1,0)</f>
        <v>0</v>
      </c>
      <c r="X340" s="86">
        <f>IFERROR(SUBSTITUTE(Tabela1[[#This Row],[Estacionamento]],".",",",1)*1,0)</f>
        <v>0</v>
      </c>
      <c r="Y340" s="86">
        <f>IFERROR(SUBSTITUTE(Tabela1[[#This Row],[Despesas Diversas 
(Jantar em viagem, Impressões, Etc)]],".",",",1)*1,0)</f>
        <v>0</v>
      </c>
      <c r="Z340" s="86">
        <f>IFERROR(SUBSTITUTE(Tabela1[[#This Row],[Hospedagem]],".",",",1)*1,0)</f>
        <v>0</v>
      </c>
      <c r="AA340" s="56" t="str">
        <f>IF(DAY(Tabela1[[#This Row],[Informe a data]])&lt;=15,"1ª Quinzena","2ª Quinzena")</f>
        <v>1ª Quinzena</v>
      </c>
      <c r="AB340" s="56" t="str">
        <f>UPPER(TEXT(Tabela1[[#This Row],[Informe a data]],"mmmm"))</f>
        <v>MAIO</v>
      </c>
      <c r="AC340" s="87" t="e">
        <f ca="1">_xlfn.CONCAT(Tabela1[[#This Row],[Selecione o Usuário]]," - ",TEXT(Tabela1[[#This Row],[Informe a data]],"dd-mm-aa"))</f>
        <v>#NAME?</v>
      </c>
    </row>
    <row r="341" spans="1:29">
      <c r="A341" s="49">
        <v>46156.754791666666</v>
      </c>
      <c r="B341" s="50" t="s">
        <v>1116</v>
      </c>
      <c r="C341" s="50" t="s">
        <v>559</v>
      </c>
      <c r="D341" s="50" t="s">
        <v>560</v>
      </c>
      <c r="E341" s="51">
        <v>46155</v>
      </c>
      <c r="F341" s="52">
        <v>80225</v>
      </c>
      <c r="G341" s="53"/>
      <c r="H341" s="52">
        <v>80349</v>
      </c>
      <c r="I341" s="53"/>
      <c r="J341" s="50" t="s">
        <v>1220</v>
      </c>
      <c r="K341" s="53"/>
      <c r="L341" s="50" t="s">
        <v>60</v>
      </c>
      <c r="M341" s="53"/>
      <c r="N341" s="53"/>
      <c r="O341" s="53"/>
      <c r="P341" s="53"/>
      <c r="Q341" s="53"/>
      <c r="R341" s="53"/>
      <c r="S341" s="53"/>
      <c r="T341" s="53"/>
      <c r="U341" s="85">
        <f>(Tabela1[[#This Row],[Informe o KM final do dia]]-Tabela1[[#This Row],[Informe o KM inicial do dia]])-Tabela1[[#This Row],[Caso tenha rodado particular alguma parte do trajeto, informe o total de KM a ser deduzido.]]</f>
        <v>124</v>
      </c>
      <c r="V341" s="86">
        <f>IF(Tabela1[[#This Row],[Informe a data]]&lt;DATE(2026,3,16), Tabela1[[#This Row],[KM Rodado]]*1.1, Tabela1[[#This Row],[KM Rodado]]*1.23)</f>
        <v>152.52000000000001</v>
      </c>
      <c r="W341" s="86">
        <f>IFERROR(SUBSTITUTE(Tabela1[[#This Row],[Pedágio]],".",",",1)*1,0)</f>
        <v>0</v>
      </c>
      <c r="X341" s="86">
        <f>IFERROR(SUBSTITUTE(Tabela1[[#This Row],[Estacionamento]],".",",",1)*1,0)</f>
        <v>0</v>
      </c>
      <c r="Y341" s="86">
        <f>IFERROR(SUBSTITUTE(Tabela1[[#This Row],[Despesas Diversas 
(Jantar em viagem, Impressões, Etc)]],".",",",1)*1,0)</f>
        <v>0</v>
      </c>
      <c r="Z341" s="86">
        <f>IFERROR(SUBSTITUTE(Tabela1[[#This Row],[Hospedagem]],".",",",1)*1,0)</f>
        <v>0</v>
      </c>
      <c r="AA341" s="56" t="str">
        <f>IF(DAY(Tabela1[[#This Row],[Informe a data]])&lt;=15,"1ª Quinzena","2ª Quinzena")</f>
        <v>1ª Quinzena</v>
      </c>
      <c r="AB341" s="56" t="str">
        <f>UPPER(TEXT(Tabela1[[#This Row],[Informe a data]],"mmmm"))</f>
        <v>MAIO</v>
      </c>
      <c r="AC341" s="87" t="e">
        <f ca="1">_xlfn.CONCAT(Tabela1[[#This Row],[Selecione o Usuário]]," - ",TEXT(Tabela1[[#This Row],[Informe a data]],"dd-mm-aa"))</f>
        <v>#NAME?</v>
      </c>
    </row>
    <row r="342" spans="1:29">
      <c r="A342" s="49">
        <v>46155.504699074074</v>
      </c>
      <c r="B342" s="50" t="s">
        <v>1174</v>
      </c>
      <c r="C342" s="50" t="s">
        <v>134</v>
      </c>
      <c r="D342" s="50" t="s">
        <v>209</v>
      </c>
      <c r="E342" s="51">
        <v>46155</v>
      </c>
      <c r="F342" s="52">
        <v>169684</v>
      </c>
      <c r="G342" s="58" t="s">
        <v>1214</v>
      </c>
      <c r="H342" s="52">
        <v>169933</v>
      </c>
      <c r="I342" s="58" t="s">
        <v>1215</v>
      </c>
      <c r="J342" s="50" t="s">
        <v>1216</v>
      </c>
      <c r="K342" s="53"/>
      <c r="L342" s="50" t="s">
        <v>60</v>
      </c>
      <c r="M342" s="53"/>
      <c r="N342" s="53"/>
      <c r="O342" s="53"/>
      <c r="P342" s="53"/>
      <c r="Q342" s="53"/>
      <c r="R342" s="53"/>
      <c r="S342" s="53"/>
      <c r="T342" s="53"/>
      <c r="U342" s="85">
        <f>(Tabela1[[#This Row],[Informe o KM final do dia]]-Tabela1[[#This Row],[Informe o KM inicial do dia]])-Tabela1[[#This Row],[Caso tenha rodado particular alguma parte do trajeto, informe o total de KM a ser deduzido.]]</f>
        <v>249</v>
      </c>
      <c r="V342" s="86">
        <f>IF(Tabela1[[#This Row],[Informe a data]]&lt;DATE(2026,3,16), Tabela1[[#This Row],[KM Rodado]]*1.1, Tabela1[[#This Row],[KM Rodado]]*1.23)</f>
        <v>306.27</v>
      </c>
      <c r="W342" s="86">
        <f>IFERROR(SUBSTITUTE(Tabela1[[#This Row],[Pedágio]],".",",",1)*1,0)</f>
        <v>0</v>
      </c>
      <c r="X342" s="86">
        <f>IFERROR(SUBSTITUTE(Tabela1[[#This Row],[Estacionamento]],".",",",1)*1,0)</f>
        <v>0</v>
      </c>
      <c r="Y342" s="86">
        <f>IFERROR(SUBSTITUTE(Tabela1[[#This Row],[Despesas Diversas 
(Jantar em viagem, Impressões, Etc)]],".",",",1)*1,0)</f>
        <v>0</v>
      </c>
      <c r="Z342" s="86">
        <f>IFERROR(SUBSTITUTE(Tabela1[[#This Row],[Hospedagem]],".",",",1)*1,0)</f>
        <v>0</v>
      </c>
      <c r="AA342" s="56" t="str">
        <f>IF(DAY(Tabela1[[#This Row],[Informe a data]])&lt;=15,"1ª Quinzena","2ª Quinzena")</f>
        <v>1ª Quinzena</v>
      </c>
      <c r="AB342" s="56" t="str">
        <f>UPPER(TEXT(Tabela1[[#This Row],[Informe a data]],"mmmm"))</f>
        <v>MAIO</v>
      </c>
      <c r="AC342" s="87" t="e">
        <f ca="1">_xlfn.CONCAT(Tabela1[[#This Row],[Selecione o Usuário]]," - ",TEXT(Tabela1[[#This Row],[Informe a data]],"dd-mm-aa"))</f>
        <v>#NAME?</v>
      </c>
    </row>
    <row r="343" spans="1:29">
      <c r="A343" s="89">
        <v>46160.367430555554</v>
      </c>
      <c r="B343" s="90" t="s">
        <v>504</v>
      </c>
      <c r="C343" s="90" t="s">
        <v>505</v>
      </c>
      <c r="D343" s="90" t="s">
        <v>506</v>
      </c>
      <c r="E343" s="91">
        <v>46155</v>
      </c>
      <c r="F343" s="92">
        <v>104799</v>
      </c>
      <c r="G343" s="94"/>
      <c r="H343" s="92">
        <v>104852</v>
      </c>
      <c r="I343" s="94"/>
      <c r="J343" s="90" t="s">
        <v>1234</v>
      </c>
      <c r="K343" s="94"/>
      <c r="L343" s="90" t="s">
        <v>60</v>
      </c>
      <c r="M343" s="94"/>
      <c r="N343" s="94"/>
      <c r="O343" s="94"/>
      <c r="P343" s="94"/>
      <c r="Q343" s="94"/>
      <c r="R343" s="94"/>
      <c r="S343" s="94"/>
      <c r="T343" s="94"/>
      <c r="U343" s="85">
        <f>(Tabela1[[#This Row],[Informe o KM final do dia]]-Tabela1[[#This Row],[Informe o KM inicial do dia]])-Tabela1[[#This Row],[Caso tenha rodado particular alguma parte do trajeto, informe o total de KM a ser deduzido.]]</f>
        <v>53</v>
      </c>
      <c r="V343" s="86">
        <f>IF(Tabela1[[#This Row],[Informe a data]]&lt;DATE(2026,3,16), Tabela1[[#This Row],[KM Rodado]]*1.1, Tabela1[[#This Row],[KM Rodado]]*1.23)</f>
        <v>65.19</v>
      </c>
      <c r="W343" s="86">
        <f>IFERROR(SUBSTITUTE(Tabela1[[#This Row],[Pedágio]],".",",",1)*1,0)</f>
        <v>0</v>
      </c>
      <c r="X343" s="86">
        <f>IFERROR(SUBSTITUTE(Tabela1[[#This Row],[Estacionamento]],".",",",1)*1,0)</f>
        <v>0</v>
      </c>
      <c r="Y343" s="86">
        <f>IFERROR(SUBSTITUTE(Tabela1[[#This Row],[Despesas Diversas 
(Jantar em viagem, Impressões, Etc)]],".",",",1)*1,0)</f>
        <v>0</v>
      </c>
      <c r="Z343" s="86">
        <f>IFERROR(SUBSTITUTE(Tabela1[[#This Row],[Hospedagem]],".",",",1)*1,0)</f>
        <v>0</v>
      </c>
      <c r="AA343" s="56" t="str">
        <f>IF(DAY(Tabela1[[#This Row],[Informe a data]])&lt;=15,"1ª Quinzena","2ª Quinzena")</f>
        <v>1ª Quinzena</v>
      </c>
      <c r="AB343" s="56" t="str">
        <f>UPPER(TEXT(Tabela1[[#This Row],[Informe a data]],"mmmm"))</f>
        <v>MAIO</v>
      </c>
      <c r="AC343" s="87" t="e">
        <f ca="1">_xlfn.CONCAT(Tabela1[[#This Row],[Selecione o Usuário]]," - ",TEXT(Tabela1[[#This Row],[Informe a data]],"dd-mm-aa"))</f>
        <v>#NAME?</v>
      </c>
    </row>
    <row r="344" spans="1:29">
      <c r="A344" s="89">
        <v>46156.664050925923</v>
      </c>
      <c r="B344" s="90" t="s">
        <v>300</v>
      </c>
      <c r="C344" s="90" t="s">
        <v>250</v>
      </c>
      <c r="D344" s="90" t="s">
        <v>228</v>
      </c>
      <c r="E344" s="91">
        <v>46155</v>
      </c>
      <c r="F344" s="92">
        <v>129457</v>
      </c>
      <c r="G344" s="93" t="s">
        <v>1217</v>
      </c>
      <c r="H344" s="92">
        <v>129613</v>
      </c>
      <c r="I344" s="93" t="s">
        <v>1218</v>
      </c>
      <c r="J344" s="90" t="s">
        <v>1219</v>
      </c>
      <c r="K344" s="92">
        <v>52</v>
      </c>
      <c r="L344" s="90" t="s">
        <v>60</v>
      </c>
      <c r="M344" s="94"/>
      <c r="N344" s="94"/>
      <c r="O344" s="94"/>
      <c r="P344" s="94"/>
      <c r="Q344" s="94"/>
      <c r="R344" s="94"/>
      <c r="S344" s="94"/>
      <c r="T344" s="94"/>
      <c r="U344" s="85">
        <f>(Tabela1[[#This Row],[Informe o KM final do dia]]-Tabela1[[#This Row],[Informe o KM inicial do dia]])-Tabela1[[#This Row],[Caso tenha rodado particular alguma parte do trajeto, informe o total de KM a ser deduzido.]]</f>
        <v>104</v>
      </c>
      <c r="V344" s="86">
        <f>IF(Tabela1[[#This Row],[Informe a data]]&lt;DATE(2026,3,16), Tabela1[[#This Row],[KM Rodado]]*1.1, Tabela1[[#This Row],[KM Rodado]]*1.23)</f>
        <v>127.92</v>
      </c>
      <c r="W344" s="86">
        <f>IFERROR(SUBSTITUTE(Tabela1[[#This Row],[Pedágio]],".",",",1)*1,0)</f>
        <v>0</v>
      </c>
      <c r="X344" s="86">
        <f>IFERROR(SUBSTITUTE(Tabela1[[#This Row],[Estacionamento]],".",",",1)*1,0)</f>
        <v>0</v>
      </c>
      <c r="Y344" s="86">
        <f>IFERROR(SUBSTITUTE(Tabela1[[#This Row],[Despesas Diversas 
(Jantar em viagem, Impressões, Etc)]],".",",",1)*1,0)</f>
        <v>0</v>
      </c>
      <c r="Z344" s="86">
        <f>IFERROR(SUBSTITUTE(Tabela1[[#This Row],[Hospedagem]],".",",",1)*1,0)</f>
        <v>0</v>
      </c>
      <c r="AA344" s="56" t="str">
        <f>IF(DAY(Tabela1[[#This Row],[Informe a data]])&lt;=15,"1ª Quinzena","2ª Quinzena")</f>
        <v>1ª Quinzena</v>
      </c>
      <c r="AB344" s="56" t="str">
        <f>UPPER(TEXT(Tabela1[[#This Row],[Informe a data]],"mmmm"))</f>
        <v>MAIO</v>
      </c>
      <c r="AC344" s="87" t="e">
        <f ca="1">_xlfn.CONCAT(Tabela1[[#This Row],[Selecione o Usuário]]," - ",TEXT(Tabela1[[#This Row],[Informe a data]],"dd-mm-aa"))</f>
        <v>#NAME?</v>
      </c>
    </row>
    <row r="345" spans="1:29">
      <c r="A345" s="89">
        <v>46157.48474537037</v>
      </c>
      <c r="B345" s="90" t="s">
        <v>140</v>
      </c>
      <c r="C345" s="90" t="s">
        <v>141</v>
      </c>
      <c r="D345" s="90" t="s">
        <v>169</v>
      </c>
      <c r="E345" s="91">
        <v>46155</v>
      </c>
      <c r="F345" s="92">
        <v>60238</v>
      </c>
      <c r="G345" s="94"/>
      <c r="H345" s="92">
        <v>60288</v>
      </c>
      <c r="I345" s="94"/>
      <c r="J345" s="90" t="s">
        <v>1221</v>
      </c>
      <c r="K345" s="94"/>
      <c r="L345" s="90" t="s">
        <v>60</v>
      </c>
      <c r="M345" s="94"/>
      <c r="N345" s="94"/>
      <c r="O345" s="94"/>
      <c r="P345" s="94"/>
      <c r="Q345" s="94"/>
      <c r="R345" s="94"/>
      <c r="S345" s="94"/>
      <c r="T345" s="94"/>
      <c r="U345" s="85">
        <f>(Tabela1[[#This Row],[Informe o KM final do dia]]-Tabela1[[#This Row],[Informe o KM inicial do dia]])-Tabela1[[#This Row],[Caso tenha rodado particular alguma parte do trajeto, informe o total de KM a ser deduzido.]]</f>
        <v>50</v>
      </c>
      <c r="V345" s="86">
        <f>IF(Tabela1[[#This Row],[Informe a data]]&lt;DATE(2026,3,16), Tabela1[[#This Row],[KM Rodado]]*1.1, Tabela1[[#This Row],[KM Rodado]]*1.23)</f>
        <v>61.5</v>
      </c>
      <c r="W345" s="86">
        <f>IFERROR(SUBSTITUTE(Tabela1[[#This Row],[Pedágio]],".",",",1)*1,0)</f>
        <v>0</v>
      </c>
      <c r="X345" s="86">
        <f>IFERROR(SUBSTITUTE(Tabela1[[#This Row],[Estacionamento]],".",",",1)*1,0)</f>
        <v>0</v>
      </c>
      <c r="Y345" s="86">
        <f>IFERROR(SUBSTITUTE(Tabela1[[#This Row],[Despesas Diversas 
(Jantar em viagem, Impressões, Etc)]],".",",",1)*1,0)</f>
        <v>0</v>
      </c>
      <c r="Z345" s="86">
        <f>IFERROR(SUBSTITUTE(Tabela1[[#This Row],[Hospedagem]],".",",",1)*1,0)</f>
        <v>0</v>
      </c>
      <c r="AA345" s="56" t="str">
        <f>IF(DAY(Tabela1[[#This Row],[Informe a data]])&lt;=15,"1ª Quinzena","2ª Quinzena")</f>
        <v>1ª Quinzena</v>
      </c>
      <c r="AB345" s="56" t="str">
        <f>UPPER(TEXT(Tabela1[[#This Row],[Informe a data]],"mmmm"))</f>
        <v>MAIO</v>
      </c>
      <c r="AC345" s="87" t="e">
        <f ca="1">_xlfn.CONCAT(Tabela1[[#This Row],[Selecione o Usuário]]," - ",TEXT(Tabela1[[#This Row],[Informe a data]],"dd-mm-aa"))</f>
        <v>#NAME?</v>
      </c>
    </row>
    <row r="346" spans="1:29">
      <c r="A346" s="49">
        <v>46159.858981481484</v>
      </c>
      <c r="B346" s="50" t="s">
        <v>1116</v>
      </c>
      <c r="C346" s="50" t="s">
        <v>559</v>
      </c>
      <c r="D346" s="50" t="s">
        <v>560</v>
      </c>
      <c r="E346" s="51">
        <v>46156</v>
      </c>
      <c r="F346" s="52">
        <v>78003</v>
      </c>
      <c r="G346" s="53"/>
      <c r="H346" s="52">
        <v>78134</v>
      </c>
      <c r="I346" s="53"/>
      <c r="J346" s="50" t="s">
        <v>1226</v>
      </c>
      <c r="K346" s="53"/>
      <c r="L346" s="50" t="s">
        <v>60</v>
      </c>
      <c r="M346" s="53"/>
      <c r="N346" s="53"/>
      <c r="O346" s="53"/>
      <c r="P346" s="53"/>
      <c r="Q346" s="53"/>
      <c r="R346" s="53"/>
      <c r="S346" s="53"/>
      <c r="T346" s="53"/>
      <c r="U346" s="85">
        <f>(Tabela1[[#This Row],[Informe o KM final do dia]]-Tabela1[[#This Row],[Informe o KM inicial do dia]])-Tabela1[[#This Row],[Caso tenha rodado particular alguma parte do trajeto, informe o total de KM a ser deduzido.]]</f>
        <v>131</v>
      </c>
      <c r="V346" s="86">
        <f>IF(Tabela1[[#This Row],[Informe a data]]&lt;DATE(2026,3,16), Tabela1[[#This Row],[KM Rodado]]*1.1, Tabela1[[#This Row],[KM Rodado]]*1.23)</f>
        <v>161.13</v>
      </c>
      <c r="W346" s="86">
        <f>IFERROR(SUBSTITUTE(Tabela1[[#This Row],[Pedágio]],".",",",1)*1,0)</f>
        <v>0</v>
      </c>
      <c r="X346" s="86">
        <f>IFERROR(SUBSTITUTE(Tabela1[[#This Row],[Estacionamento]],".",",",1)*1,0)</f>
        <v>0</v>
      </c>
      <c r="Y346" s="86">
        <f>IFERROR(SUBSTITUTE(Tabela1[[#This Row],[Despesas Diversas 
(Jantar em viagem, Impressões, Etc)]],".",",",1)*1,0)</f>
        <v>0</v>
      </c>
      <c r="Z346" s="86">
        <f>IFERROR(SUBSTITUTE(Tabela1[[#This Row],[Hospedagem]],".",",",1)*1,0)</f>
        <v>0</v>
      </c>
      <c r="AA346" s="56" t="str">
        <f>IF(DAY(Tabela1[[#This Row],[Informe a data]])&lt;=15,"1ª Quinzena","2ª Quinzena")</f>
        <v>1ª Quinzena</v>
      </c>
      <c r="AB346" s="56" t="str">
        <f>UPPER(TEXT(Tabela1[[#This Row],[Informe a data]],"mmmm"))</f>
        <v>MAIO</v>
      </c>
      <c r="AC346" s="87" t="e">
        <f ca="1">_xlfn.CONCAT(Tabela1[[#This Row],[Selecione o Usuário]]," - ",TEXT(Tabela1[[#This Row],[Informe a data]],"dd-mm-aa"))</f>
        <v>#NAME?</v>
      </c>
    </row>
    <row r="347" spans="1:29">
      <c r="A347" s="49">
        <v>46160.368703703702</v>
      </c>
      <c r="B347" s="50" t="s">
        <v>504</v>
      </c>
      <c r="C347" s="50" t="s">
        <v>505</v>
      </c>
      <c r="D347" s="50" t="s">
        <v>506</v>
      </c>
      <c r="E347" s="51">
        <v>46156</v>
      </c>
      <c r="F347" s="52">
        <v>104833</v>
      </c>
      <c r="G347" s="53"/>
      <c r="H347" s="52">
        <v>104861</v>
      </c>
      <c r="I347" s="53"/>
      <c r="J347" s="50" t="s">
        <v>1235</v>
      </c>
      <c r="K347" s="53"/>
      <c r="L347" s="50" t="s">
        <v>60</v>
      </c>
      <c r="M347" s="53"/>
      <c r="N347" s="53"/>
      <c r="O347" s="53"/>
      <c r="P347" s="53"/>
      <c r="Q347" s="53"/>
      <c r="R347" s="53"/>
      <c r="S347" s="53"/>
      <c r="T347" s="53"/>
      <c r="U347" s="85">
        <f>(Tabela1[[#This Row],[Informe o KM final do dia]]-Tabela1[[#This Row],[Informe o KM inicial do dia]])-Tabela1[[#This Row],[Caso tenha rodado particular alguma parte do trajeto, informe o total de KM a ser deduzido.]]</f>
        <v>28</v>
      </c>
      <c r="V347" s="86">
        <f>IF(Tabela1[[#This Row],[Informe a data]]&lt;DATE(2026,3,16), Tabela1[[#This Row],[KM Rodado]]*1.1, Tabela1[[#This Row],[KM Rodado]]*1.23)</f>
        <v>34.44</v>
      </c>
      <c r="W347" s="86">
        <f>IFERROR(SUBSTITUTE(Tabela1[[#This Row],[Pedágio]],".",",",1)*1,0)</f>
        <v>0</v>
      </c>
      <c r="X347" s="86">
        <f>IFERROR(SUBSTITUTE(Tabela1[[#This Row],[Estacionamento]],".",",",1)*1,0)</f>
        <v>0</v>
      </c>
      <c r="Y347" s="86">
        <f>IFERROR(SUBSTITUTE(Tabela1[[#This Row],[Despesas Diversas 
(Jantar em viagem, Impressões, Etc)]],".",",",1)*1,0)</f>
        <v>0</v>
      </c>
      <c r="Z347" s="86">
        <f>IFERROR(SUBSTITUTE(Tabela1[[#This Row],[Hospedagem]],".",",",1)*1,0)</f>
        <v>0</v>
      </c>
      <c r="AA347" s="56" t="str">
        <f>IF(DAY(Tabela1[[#This Row],[Informe a data]])&lt;=15,"1ª Quinzena","2ª Quinzena")</f>
        <v>1ª Quinzena</v>
      </c>
      <c r="AB347" s="56" t="str">
        <f>UPPER(TEXT(Tabela1[[#This Row],[Informe a data]],"mmmm"))</f>
        <v>MAIO</v>
      </c>
      <c r="AC347" s="87" t="e">
        <f ca="1">_xlfn.CONCAT(Tabela1[[#This Row],[Selecione o Usuário]]," - ",TEXT(Tabela1[[#This Row],[Informe a data]],"dd-mm-aa"))</f>
        <v>#NAME?</v>
      </c>
    </row>
    <row r="348" spans="1:29">
      <c r="A348" s="113">
        <v>46158.342858796299</v>
      </c>
      <c r="B348" s="114" t="s">
        <v>300</v>
      </c>
      <c r="C348" s="114" t="s">
        <v>250</v>
      </c>
      <c r="D348" s="114" t="s">
        <v>228</v>
      </c>
      <c r="E348" s="115">
        <v>46156</v>
      </c>
      <c r="F348" s="116">
        <v>129618</v>
      </c>
      <c r="G348" s="117" t="s">
        <v>1223</v>
      </c>
      <c r="H348" s="116">
        <v>129816</v>
      </c>
      <c r="I348" s="117" t="s">
        <v>1224</v>
      </c>
      <c r="J348" s="114" t="s">
        <v>1225</v>
      </c>
      <c r="K348" s="116">
        <v>100</v>
      </c>
      <c r="L348" s="114" t="s">
        <v>60</v>
      </c>
      <c r="M348" s="118"/>
      <c r="N348" s="118"/>
      <c r="O348" s="118"/>
      <c r="P348" s="118"/>
      <c r="Q348" s="118"/>
      <c r="R348" s="118"/>
      <c r="S348" s="118"/>
      <c r="T348" s="118"/>
      <c r="U348" s="95">
        <f>(Tabela1[[#This Row],[Informe o KM final do dia]]-Tabela1[[#This Row],[Informe o KM inicial do dia]])-Tabela1[[#This Row],[Caso tenha rodado particular alguma parte do trajeto, informe o total de KM a ser deduzido.]]</f>
        <v>98</v>
      </c>
      <c r="V348" s="97">
        <f>IF(Tabela1[[#This Row],[Informe a data]]&lt;DATE(2026,3,16), Tabela1[[#This Row],[KM Rodado]]*1.1, Tabela1[[#This Row],[KM Rodado]]*1.23)</f>
        <v>120.53999999999999</v>
      </c>
      <c r="W348" s="97">
        <f>IFERROR(SUBSTITUTE(Tabela1[[#This Row],[Pedágio]],".",",",1)*1,0)</f>
        <v>0</v>
      </c>
      <c r="X348" s="97">
        <f>IFERROR(SUBSTITUTE(Tabela1[[#This Row],[Estacionamento]],".",",",1)*1,0)</f>
        <v>0</v>
      </c>
      <c r="Y348" s="97">
        <f>IFERROR(SUBSTITUTE(Tabela1[[#This Row],[Despesas Diversas 
(Jantar em viagem, Impressões, Etc)]],".",",",1)*1,0)</f>
        <v>0</v>
      </c>
      <c r="Z348" s="97">
        <f>IFERROR(SUBSTITUTE(Tabela1[[#This Row],[Hospedagem]],".",",",1)*1,0)</f>
        <v>0</v>
      </c>
      <c r="AA348" s="98" t="str">
        <f>IF(DAY(Tabela1[[#This Row],[Informe a data]])&lt;=15,"1ª Quinzena","2ª Quinzena")</f>
        <v>1ª Quinzena</v>
      </c>
      <c r="AB348" s="98" t="str">
        <f>UPPER(TEXT(Tabela1[[#This Row],[Informe a data]],"mmmm"))</f>
        <v>MAIO</v>
      </c>
      <c r="AC348" s="99" t="e">
        <f ca="1">_xlfn.CONCAT(Tabela1[[#This Row],[Selecione o Usuário]]," - ",TEXT(Tabela1[[#This Row],[Informe a data]],"dd-mm-aa"))</f>
        <v>#NAME?</v>
      </c>
    </row>
    <row r="349" spans="1:29">
      <c r="A349" s="49">
        <v>46157.487337962964</v>
      </c>
      <c r="B349" s="50" t="s">
        <v>140</v>
      </c>
      <c r="C349" s="50" t="s">
        <v>141</v>
      </c>
      <c r="D349" s="50" t="s">
        <v>169</v>
      </c>
      <c r="E349" s="51">
        <v>46156</v>
      </c>
      <c r="F349" s="52">
        <v>60288</v>
      </c>
      <c r="G349" s="53"/>
      <c r="H349" s="52">
        <v>60316</v>
      </c>
      <c r="I349" s="53"/>
      <c r="J349" s="50" t="s">
        <v>1222</v>
      </c>
      <c r="K349" s="53"/>
      <c r="L349" s="50" t="s">
        <v>60</v>
      </c>
      <c r="M349" s="53"/>
      <c r="N349" s="53"/>
      <c r="O349" s="53"/>
      <c r="P349" s="53"/>
      <c r="Q349" s="53"/>
      <c r="R349" s="53"/>
      <c r="S349" s="53"/>
      <c r="T349" s="53"/>
      <c r="U349" s="85">
        <f>(Tabela1[[#This Row],[Informe o KM final do dia]]-Tabela1[[#This Row],[Informe o KM inicial do dia]])-Tabela1[[#This Row],[Caso tenha rodado particular alguma parte do trajeto, informe o total de KM a ser deduzido.]]</f>
        <v>28</v>
      </c>
      <c r="V349" s="86">
        <f>IF(Tabela1[[#This Row],[Informe a data]]&lt;DATE(2026,3,16), Tabela1[[#This Row],[KM Rodado]]*1.1, Tabela1[[#This Row],[KM Rodado]]*1.23)</f>
        <v>34.44</v>
      </c>
      <c r="W349" s="86">
        <f>IFERROR(SUBSTITUTE(Tabela1[[#This Row],[Pedágio]],".",",",1)*1,0)</f>
        <v>0</v>
      </c>
      <c r="X349" s="86">
        <f>IFERROR(SUBSTITUTE(Tabela1[[#This Row],[Estacionamento]],".",",",1)*1,0)</f>
        <v>0</v>
      </c>
      <c r="Y349" s="86">
        <f>IFERROR(SUBSTITUTE(Tabela1[[#This Row],[Despesas Diversas 
(Jantar em viagem, Impressões, Etc)]],".",",",1)*1,0)</f>
        <v>0</v>
      </c>
      <c r="Z349" s="86">
        <f>IFERROR(SUBSTITUTE(Tabela1[[#This Row],[Hospedagem]],".",",",1)*1,0)</f>
        <v>0</v>
      </c>
      <c r="AA349" s="56" t="str">
        <f>IF(DAY(Tabela1[[#This Row],[Informe a data]])&lt;=15,"1ª Quinzena","2ª Quinzena")</f>
        <v>1ª Quinzena</v>
      </c>
      <c r="AB349" s="56" t="str">
        <f>UPPER(TEXT(Tabela1[[#This Row],[Informe a data]],"mmmm"))</f>
        <v>MAIO</v>
      </c>
      <c r="AC349" s="87" t="e">
        <f ca="1">_xlfn.CONCAT(Tabela1[[#This Row],[Selecione o Usuário]]," - ",TEXT(Tabela1[[#This Row],[Informe a data]],"dd-mm-aa"))</f>
        <v>#NAME?</v>
      </c>
    </row>
    <row r="350" spans="1:29">
      <c r="A350" s="49">
        <v>46159.848912037036</v>
      </c>
      <c r="B350" s="50" t="s">
        <v>1116</v>
      </c>
      <c r="C350" s="50" t="s">
        <v>559</v>
      </c>
      <c r="D350" s="50" t="s">
        <v>560</v>
      </c>
      <c r="E350" s="51">
        <v>46157</v>
      </c>
      <c r="F350" s="52">
        <v>80387</v>
      </c>
      <c r="G350" s="53"/>
      <c r="H350" s="52">
        <v>80556</v>
      </c>
      <c r="I350" s="53"/>
      <c r="J350" s="50" t="s">
        <v>1230</v>
      </c>
      <c r="K350" s="53"/>
      <c r="L350" s="50" t="s">
        <v>60</v>
      </c>
      <c r="M350" s="53"/>
      <c r="N350" s="53"/>
      <c r="O350" s="53"/>
      <c r="P350" s="53"/>
      <c r="Q350" s="53"/>
      <c r="R350" s="53"/>
      <c r="S350" s="53"/>
      <c r="T350" s="53"/>
      <c r="U350" s="85">
        <f>(Tabela1[[#This Row],[Informe o KM final do dia]]-Tabela1[[#This Row],[Informe o KM inicial do dia]])-Tabela1[[#This Row],[Caso tenha rodado particular alguma parte do trajeto, informe o total de KM a ser deduzido.]]</f>
        <v>169</v>
      </c>
      <c r="V350" s="86">
        <f>IF(Tabela1[[#This Row],[Informe a data]]&lt;DATE(2026,3,16), Tabela1[[#This Row],[KM Rodado]]*1.1, Tabela1[[#This Row],[KM Rodado]]*1.23)</f>
        <v>207.87</v>
      </c>
      <c r="W350" s="86">
        <f>IFERROR(SUBSTITUTE(Tabela1[[#This Row],[Pedágio]],".",",",1)*1,0)</f>
        <v>0</v>
      </c>
      <c r="X350" s="86">
        <f>IFERROR(SUBSTITUTE(Tabela1[[#This Row],[Estacionamento]],".",",",1)*1,0)</f>
        <v>0</v>
      </c>
      <c r="Y350" s="86">
        <f>IFERROR(SUBSTITUTE(Tabela1[[#This Row],[Despesas Diversas 
(Jantar em viagem, Impressões, Etc)]],".",",",1)*1,0)</f>
        <v>0</v>
      </c>
      <c r="Z350" s="86">
        <f>IFERROR(SUBSTITUTE(Tabela1[[#This Row],[Hospedagem]],".",",",1)*1,0)</f>
        <v>0</v>
      </c>
      <c r="AA350" s="56" t="str">
        <f>IF(DAY(Tabela1[[#This Row],[Informe a data]])&lt;=15,"1ª Quinzena","2ª Quinzena")</f>
        <v>1ª Quinzena</v>
      </c>
      <c r="AB350" s="56" t="str">
        <f>UPPER(TEXT(Tabela1[[#This Row],[Informe a data]],"mmmm"))</f>
        <v>MAIO</v>
      </c>
      <c r="AC350" s="87" t="e">
        <f ca="1">_xlfn.CONCAT(Tabela1[[#This Row],[Selecione o Usuário]]," - ",TEXT(Tabela1[[#This Row],[Informe a data]],"dd-mm-aa"))</f>
        <v>#NAME?</v>
      </c>
    </row>
    <row r="351" spans="1:29">
      <c r="A351" s="89">
        <v>46160.369722222225</v>
      </c>
      <c r="B351" s="90" t="s">
        <v>504</v>
      </c>
      <c r="C351" s="90" t="s">
        <v>505</v>
      </c>
      <c r="D351" s="90" t="s">
        <v>1236</v>
      </c>
      <c r="E351" s="91">
        <v>46157</v>
      </c>
      <c r="F351" s="92">
        <v>104862</v>
      </c>
      <c r="G351" s="94"/>
      <c r="H351" s="92">
        <v>104917</v>
      </c>
      <c r="I351" s="94"/>
      <c r="J351" s="90" t="s">
        <v>1237</v>
      </c>
      <c r="K351" s="94"/>
      <c r="L351" s="90" t="s">
        <v>60</v>
      </c>
      <c r="M351" s="94"/>
      <c r="N351" s="94"/>
      <c r="O351" s="94"/>
      <c r="P351" s="94"/>
      <c r="Q351" s="94"/>
      <c r="R351" s="94"/>
      <c r="S351" s="94"/>
      <c r="T351" s="94"/>
      <c r="U351" s="85">
        <f>(Tabela1[[#This Row],[Informe o KM final do dia]]-Tabela1[[#This Row],[Informe o KM inicial do dia]])-Tabela1[[#This Row],[Caso tenha rodado particular alguma parte do trajeto, informe o total de KM a ser deduzido.]]</f>
        <v>55</v>
      </c>
      <c r="V351" s="86">
        <f>IF(Tabela1[[#This Row],[Informe a data]]&lt;DATE(2026,3,16), Tabela1[[#This Row],[KM Rodado]]*1.1, Tabela1[[#This Row],[KM Rodado]]*1.23)</f>
        <v>67.650000000000006</v>
      </c>
      <c r="W351" s="86">
        <f>IFERROR(SUBSTITUTE(Tabela1[[#This Row],[Pedágio]],".",",",1)*1,0)</f>
        <v>0</v>
      </c>
      <c r="X351" s="86">
        <f>IFERROR(SUBSTITUTE(Tabela1[[#This Row],[Estacionamento]],".",",",1)*1,0)</f>
        <v>0</v>
      </c>
      <c r="Y351" s="86">
        <f>IFERROR(SUBSTITUTE(Tabela1[[#This Row],[Despesas Diversas 
(Jantar em viagem, Impressões, Etc)]],".",",",1)*1,0)</f>
        <v>0</v>
      </c>
      <c r="Z351" s="86">
        <f>IFERROR(SUBSTITUTE(Tabela1[[#This Row],[Hospedagem]],".",",",1)*1,0)</f>
        <v>0</v>
      </c>
      <c r="AA351" s="56" t="str">
        <f>IF(DAY(Tabela1[[#This Row],[Informe a data]])&lt;=15,"1ª Quinzena","2ª Quinzena")</f>
        <v>1ª Quinzena</v>
      </c>
      <c r="AB351" s="56" t="str">
        <f>UPPER(TEXT(Tabela1[[#This Row],[Informe a data]],"mmmm"))</f>
        <v>MAIO</v>
      </c>
      <c r="AC351" s="87" t="e">
        <f ca="1">_xlfn.CONCAT(Tabela1[[#This Row],[Selecione o Usuário]]," - ",TEXT(Tabela1[[#This Row],[Informe a data]],"dd-mm-aa"))</f>
        <v>#NAME?</v>
      </c>
    </row>
    <row r="352" spans="1:29">
      <c r="A352" s="113">
        <v>46158.530277777776</v>
      </c>
      <c r="B352" s="114" t="s">
        <v>176</v>
      </c>
      <c r="C352" s="114" t="s">
        <v>136</v>
      </c>
      <c r="D352" s="114" t="s">
        <v>177</v>
      </c>
      <c r="E352" s="115">
        <v>46157</v>
      </c>
      <c r="F352" s="116">
        <v>172823</v>
      </c>
      <c r="G352" s="117" t="s">
        <v>1227</v>
      </c>
      <c r="H352" s="116">
        <v>173167</v>
      </c>
      <c r="I352" s="117" t="s">
        <v>1228</v>
      </c>
      <c r="J352" s="114" t="s">
        <v>1229</v>
      </c>
      <c r="K352" s="118"/>
      <c r="L352" s="114" t="s">
        <v>60</v>
      </c>
      <c r="M352" s="118"/>
      <c r="N352" s="118"/>
      <c r="O352" s="118"/>
      <c r="P352" s="118"/>
      <c r="Q352" s="118"/>
      <c r="R352" s="118"/>
      <c r="S352" s="118"/>
      <c r="T352" s="118"/>
      <c r="U352" s="95">
        <f>(Tabela1[[#This Row],[Informe o KM final do dia]]-Tabela1[[#This Row],[Informe o KM inicial do dia]])-Tabela1[[#This Row],[Caso tenha rodado particular alguma parte do trajeto, informe o total de KM a ser deduzido.]]</f>
        <v>344</v>
      </c>
      <c r="V352" s="97">
        <f>IF(Tabela1[[#This Row],[Informe a data]]&lt;DATE(2026,3,16), Tabela1[[#This Row],[KM Rodado]]*1.1, Tabela1[[#This Row],[KM Rodado]]*1.23)</f>
        <v>423.12</v>
      </c>
      <c r="W352" s="97">
        <f>IFERROR(SUBSTITUTE(Tabela1[[#This Row],[Pedágio]],".",",",1)*1,0)</f>
        <v>0</v>
      </c>
      <c r="X352" s="97">
        <f>IFERROR(SUBSTITUTE(Tabela1[[#This Row],[Estacionamento]],".",",",1)*1,0)</f>
        <v>0</v>
      </c>
      <c r="Y352" s="97">
        <f>IFERROR(SUBSTITUTE(Tabela1[[#This Row],[Despesas Diversas 
(Jantar em viagem, Impressões, Etc)]],".",",",1)*1,0)</f>
        <v>0</v>
      </c>
      <c r="Z352" s="97">
        <f>IFERROR(SUBSTITUTE(Tabela1[[#This Row],[Hospedagem]],".",",",1)*1,0)</f>
        <v>0</v>
      </c>
      <c r="AA352" s="98" t="str">
        <f>IF(DAY(Tabela1[[#This Row],[Informe a data]])&lt;=15,"1ª Quinzena","2ª Quinzena")</f>
        <v>1ª Quinzena</v>
      </c>
      <c r="AB352" s="98" t="str">
        <f>UPPER(TEXT(Tabela1[[#This Row],[Informe a data]],"mmmm"))</f>
        <v>MAIO</v>
      </c>
      <c r="AC352" s="99" t="e">
        <f ca="1">_xlfn.CONCAT(Tabela1[[#This Row],[Selecione o Usuário]]," - ",TEXT(Tabela1[[#This Row],[Informe a data]],"dd-mm-aa"))</f>
        <v>#NAME?</v>
      </c>
    </row>
    <row r="353" spans="1:29">
      <c r="A353" s="49">
        <v>46160.370439814818</v>
      </c>
      <c r="B353" s="50" t="s">
        <v>504</v>
      </c>
      <c r="C353" s="50" t="s">
        <v>505</v>
      </c>
      <c r="D353" s="50" t="s">
        <v>506</v>
      </c>
      <c r="E353" s="51">
        <v>46158</v>
      </c>
      <c r="F353" s="52">
        <v>104918</v>
      </c>
      <c r="G353" s="53"/>
      <c r="H353" s="52">
        <v>104999</v>
      </c>
      <c r="I353" s="53"/>
      <c r="J353" s="50" t="s">
        <v>1238</v>
      </c>
      <c r="K353" s="53"/>
      <c r="L353" s="50" t="s">
        <v>60</v>
      </c>
      <c r="M353" s="53"/>
      <c r="N353" s="53"/>
      <c r="O353" s="53"/>
      <c r="P353" s="53"/>
      <c r="Q353" s="53"/>
      <c r="R353" s="53"/>
      <c r="S353" s="53"/>
      <c r="T353" s="53"/>
      <c r="U353" s="85">
        <f>(Tabela1[[#This Row],[Informe o KM final do dia]]-Tabela1[[#This Row],[Informe o KM inicial do dia]])-Tabela1[[#This Row],[Caso tenha rodado particular alguma parte do trajeto, informe o total de KM a ser deduzido.]]</f>
        <v>81</v>
      </c>
      <c r="V353" s="86">
        <f>IF(Tabela1[[#This Row],[Informe a data]]&lt;DATE(2026,3,16), Tabela1[[#This Row],[KM Rodado]]*1.1, Tabela1[[#This Row],[KM Rodado]]*1.23)</f>
        <v>99.63</v>
      </c>
      <c r="W353" s="86">
        <f>IFERROR(SUBSTITUTE(Tabela1[[#This Row],[Pedágio]],".",",",1)*1,0)</f>
        <v>0</v>
      </c>
      <c r="X353" s="86">
        <f>IFERROR(SUBSTITUTE(Tabela1[[#This Row],[Estacionamento]],".",",",1)*1,0)</f>
        <v>0</v>
      </c>
      <c r="Y353" s="86">
        <f>IFERROR(SUBSTITUTE(Tabela1[[#This Row],[Despesas Diversas 
(Jantar em viagem, Impressões, Etc)]],".",",",1)*1,0)</f>
        <v>0</v>
      </c>
      <c r="Z353" s="86">
        <f>IFERROR(SUBSTITUTE(Tabela1[[#This Row],[Hospedagem]],".",",",1)*1,0)</f>
        <v>0</v>
      </c>
      <c r="AA353" s="56" t="str">
        <f>IF(DAY(Tabela1[[#This Row],[Informe a data]])&lt;=15,"1ª Quinzena","2ª Quinzena")</f>
        <v>2ª Quinzena</v>
      </c>
      <c r="AB353" s="56" t="str">
        <f>UPPER(TEXT(Tabela1[[#This Row],[Informe a data]],"mmmm"))</f>
        <v>MAIO</v>
      </c>
      <c r="AC353" s="87" t="e">
        <f ca="1">_xlfn.CONCAT(Tabela1[[#This Row],[Selecione o Usuário]]," - ",TEXT(Tabela1[[#This Row],[Informe a data]],"dd-mm-aa"))</f>
        <v>#NAME?</v>
      </c>
    </row>
    <row r="354" spans="1:29">
      <c r="A354" s="49">
        <v>46167.476481481484</v>
      </c>
      <c r="B354" s="50" t="s">
        <v>1260</v>
      </c>
      <c r="C354" s="50" t="s">
        <v>505</v>
      </c>
      <c r="D354" s="50" t="s">
        <v>551</v>
      </c>
      <c r="E354" s="51">
        <v>46160</v>
      </c>
      <c r="F354" s="52">
        <v>104935</v>
      </c>
      <c r="G354" s="58" t="s">
        <v>1261</v>
      </c>
      <c r="H354" s="52">
        <v>105034</v>
      </c>
      <c r="I354" s="58" t="s">
        <v>1262</v>
      </c>
      <c r="J354" s="50" t="s">
        <v>1263</v>
      </c>
      <c r="K354" s="53"/>
      <c r="L354" s="50" t="s">
        <v>60</v>
      </c>
      <c r="M354" s="53"/>
      <c r="N354" s="53"/>
      <c r="O354" s="53"/>
      <c r="P354" s="53"/>
      <c r="Q354" s="53"/>
      <c r="R354" s="53"/>
      <c r="S354" s="53"/>
      <c r="T354" s="53"/>
      <c r="U354" s="85">
        <f>(Tabela1[[#This Row],[Informe o KM final do dia]]-Tabela1[[#This Row],[Informe o KM inicial do dia]])-Tabela1[[#This Row],[Caso tenha rodado particular alguma parte do trajeto, informe o total de KM a ser deduzido.]]</f>
        <v>99</v>
      </c>
      <c r="V354" s="86">
        <f>IF(Tabela1[[#This Row],[Informe a data]]&lt;DATE(2026,3,16), Tabela1[[#This Row],[KM Rodado]]*1.1, Tabela1[[#This Row],[KM Rodado]]*1.23)</f>
        <v>121.77</v>
      </c>
      <c r="W354" s="86">
        <f>IFERROR(SUBSTITUTE(Tabela1[[#This Row],[Pedágio]],".",",",1)*1,0)</f>
        <v>0</v>
      </c>
      <c r="X354" s="86">
        <f>IFERROR(SUBSTITUTE(Tabela1[[#This Row],[Estacionamento]],".",",",1)*1,0)</f>
        <v>0</v>
      </c>
      <c r="Y354" s="86">
        <f>IFERROR(SUBSTITUTE(Tabela1[[#This Row],[Despesas Diversas 
(Jantar em viagem, Impressões, Etc)]],".",",",1)*1,0)</f>
        <v>0</v>
      </c>
      <c r="Z354" s="86">
        <f>IFERROR(SUBSTITUTE(Tabela1[[#This Row],[Hospedagem]],".",",",1)*1,0)</f>
        <v>0</v>
      </c>
      <c r="AA354" s="56" t="str">
        <f>IF(DAY(Tabela1[[#This Row],[Informe a data]])&lt;=15,"1ª Quinzena","2ª Quinzena")</f>
        <v>2ª Quinzena</v>
      </c>
      <c r="AB354" s="56" t="str">
        <f>UPPER(TEXT(Tabela1[[#This Row],[Informe a data]],"mmmm"))</f>
        <v>MAIO</v>
      </c>
      <c r="AC354" s="87" t="e">
        <f ca="1">_xlfn.CONCAT(Tabela1[[#This Row],[Selecione o Usuário]]," - ",TEXT(Tabela1[[#This Row],[Informe a data]],"dd-mm-aa"))</f>
        <v>#NAME?</v>
      </c>
    </row>
    <row r="355" spans="1:29">
      <c r="A355" s="49">
        <v>46161.938784722224</v>
      </c>
      <c r="B355" s="50" t="s">
        <v>131</v>
      </c>
      <c r="C355" s="50" t="s">
        <v>132</v>
      </c>
      <c r="D355" s="50" t="s">
        <v>133</v>
      </c>
      <c r="E355" s="51">
        <v>46161</v>
      </c>
      <c r="F355" s="52">
        <v>192976</v>
      </c>
      <c r="G355" s="58" t="s">
        <v>1243</v>
      </c>
      <c r="H355" s="52">
        <v>193028</v>
      </c>
      <c r="I355" s="58" t="s">
        <v>1244</v>
      </c>
      <c r="J355" s="50" t="s">
        <v>1245</v>
      </c>
      <c r="K355" s="53"/>
      <c r="L355" s="50" t="s">
        <v>60</v>
      </c>
      <c r="M355" s="53"/>
      <c r="N355" s="53"/>
      <c r="O355" s="53"/>
      <c r="P355" s="53"/>
      <c r="Q355" s="53"/>
      <c r="R355" s="53"/>
      <c r="S355" s="53"/>
      <c r="T355" s="53"/>
      <c r="U355" s="85">
        <f>(Tabela1[[#This Row],[Informe o KM final do dia]]-Tabela1[[#This Row],[Informe o KM inicial do dia]])-Tabela1[[#This Row],[Caso tenha rodado particular alguma parte do trajeto, informe o total de KM a ser deduzido.]]</f>
        <v>52</v>
      </c>
      <c r="V355" s="86">
        <f>IF(Tabela1[[#This Row],[Informe a data]]&lt;DATE(2026,3,16), Tabela1[[#This Row],[KM Rodado]]*1.1, Tabela1[[#This Row],[KM Rodado]]*1.23)</f>
        <v>63.96</v>
      </c>
      <c r="W355" s="86">
        <f>IFERROR(SUBSTITUTE(Tabela1[[#This Row],[Pedágio]],".",",",1)*1,0)</f>
        <v>0</v>
      </c>
      <c r="X355" s="86">
        <f>IFERROR(SUBSTITUTE(Tabela1[[#This Row],[Estacionamento]],".",",",1)*1,0)</f>
        <v>0</v>
      </c>
      <c r="Y355" s="86">
        <f>IFERROR(SUBSTITUTE(Tabela1[[#This Row],[Despesas Diversas 
(Jantar em viagem, Impressões, Etc)]],".",",",1)*1,0)</f>
        <v>0</v>
      </c>
      <c r="Z355" s="86">
        <f>IFERROR(SUBSTITUTE(Tabela1[[#This Row],[Hospedagem]],".",",",1)*1,0)</f>
        <v>0</v>
      </c>
      <c r="AA355" s="56" t="str">
        <f>IF(DAY(Tabela1[[#This Row],[Informe a data]])&lt;=15,"1ª Quinzena","2ª Quinzena")</f>
        <v>2ª Quinzena</v>
      </c>
      <c r="AB355" s="56" t="str">
        <f>UPPER(TEXT(Tabela1[[#This Row],[Informe a data]],"mmmm"))</f>
        <v>MAIO</v>
      </c>
      <c r="AC355" s="87" t="e">
        <f ca="1">_xlfn.CONCAT(Tabela1[[#This Row],[Selecione o Usuário]]," - ",TEXT(Tabela1[[#This Row],[Informe a data]],"dd-mm-aa"))</f>
        <v>#NAME?</v>
      </c>
    </row>
    <row r="356" spans="1:29">
      <c r="A356" s="89">
        <v>46167.477546296293</v>
      </c>
      <c r="B356" s="90" t="s">
        <v>1260</v>
      </c>
      <c r="C356" s="90" t="s">
        <v>505</v>
      </c>
      <c r="D356" s="90" t="s">
        <v>506</v>
      </c>
      <c r="E356" s="91">
        <v>46161</v>
      </c>
      <c r="F356" s="92">
        <v>105054</v>
      </c>
      <c r="G356" s="93" t="s">
        <v>1264</v>
      </c>
      <c r="H356" s="92">
        <v>105109</v>
      </c>
      <c r="I356" s="93" t="s">
        <v>1265</v>
      </c>
      <c r="J356" s="90" t="s">
        <v>1266</v>
      </c>
      <c r="K356" s="94"/>
      <c r="L356" s="90" t="s">
        <v>60</v>
      </c>
      <c r="M356" s="94"/>
      <c r="N356" s="94"/>
      <c r="O356" s="94"/>
      <c r="P356" s="94"/>
      <c r="Q356" s="94"/>
      <c r="R356" s="94"/>
      <c r="S356" s="94"/>
      <c r="T356" s="94"/>
      <c r="U356" s="85">
        <f>(Tabela1[[#This Row],[Informe o KM final do dia]]-Tabela1[[#This Row],[Informe o KM inicial do dia]])-Tabela1[[#This Row],[Caso tenha rodado particular alguma parte do trajeto, informe o total de KM a ser deduzido.]]</f>
        <v>55</v>
      </c>
      <c r="V356" s="86">
        <f>IF(Tabela1[[#This Row],[Informe a data]]&lt;DATE(2026,3,16), Tabela1[[#This Row],[KM Rodado]]*1.1, Tabela1[[#This Row],[KM Rodado]]*1.23)</f>
        <v>67.650000000000006</v>
      </c>
      <c r="W356" s="86">
        <f>IFERROR(SUBSTITUTE(Tabela1[[#This Row],[Pedágio]],".",",",1)*1,0)</f>
        <v>0</v>
      </c>
      <c r="X356" s="86">
        <f>IFERROR(SUBSTITUTE(Tabela1[[#This Row],[Estacionamento]],".",",",1)*1,0)</f>
        <v>0</v>
      </c>
      <c r="Y356" s="86">
        <f>IFERROR(SUBSTITUTE(Tabela1[[#This Row],[Despesas Diversas 
(Jantar em viagem, Impressões, Etc)]],".",",",1)*1,0)</f>
        <v>0</v>
      </c>
      <c r="Z356" s="86">
        <f>IFERROR(SUBSTITUTE(Tabela1[[#This Row],[Hospedagem]],".",",",1)*1,0)</f>
        <v>0</v>
      </c>
      <c r="AA356" s="56" t="str">
        <f>IF(DAY(Tabela1[[#This Row],[Informe a data]])&lt;=15,"1ª Quinzena","2ª Quinzena")</f>
        <v>2ª Quinzena</v>
      </c>
      <c r="AB356" s="56" t="str">
        <f>UPPER(TEXT(Tabela1[[#This Row],[Informe a data]],"mmmm"))</f>
        <v>MAIO</v>
      </c>
      <c r="AC356" s="87" t="e">
        <f ca="1">_xlfn.CONCAT(Tabela1[[#This Row],[Selecione o Usuário]]," - ",TEXT(Tabela1[[#This Row],[Informe a data]],"dd-mm-aa"))</f>
        <v>#NAME?</v>
      </c>
    </row>
    <row r="357" spans="1:29">
      <c r="A357" s="89">
        <v>46161.734166666669</v>
      </c>
      <c r="B357" s="90" t="s">
        <v>300</v>
      </c>
      <c r="C357" s="90" t="s">
        <v>250</v>
      </c>
      <c r="D357" s="90" t="s">
        <v>228</v>
      </c>
      <c r="E357" s="91">
        <v>46161</v>
      </c>
      <c r="F357" s="92">
        <v>130080</v>
      </c>
      <c r="G357" s="93" t="s">
        <v>1239</v>
      </c>
      <c r="H357" s="92">
        <v>130171</v>
      </c>
      <c r="I357" s="93" t="s">
        <v>1240</v>
      </c>
      <c r="J357" s="90" t="s">
        <v>1241</v>
      </c>
      <c r="K357" s="94"/>
      <c r="L357" s="90" t="s">
        <v>61</v>
      </c>
      <c r="M357" s="94"/>
      <c r="N357" s="94"/>
      <c r="O357" s="94"/>
      <c r="P357" s="94"/>
      <c r="Q357" s="90" t="s">
        <v>291</v>
      </c>
      <c r="R357" s="93" t="s">
        <v>1242</v>
      </c>
      <c r="S357" s="94"/>
      <c r="T357" s="94"/>
      <c r="U357" s="85">
        <f>(Tabela1[[#This Row],[Informe o KM final do dia]]-Tabela1[[#This Row],[Informe o KM inicial do dia]])-Tabela1[[#This Row],[Caso tenha rodado particular alguma parte do trajeto, informe o total de KM a ser deduzido.]]</f>
        <v>91</v>
      </c>
      <c r="V357" s="86">
        <f>IF(Tabela1[[#This Row],[Informe a data]]&lt;DATE(2026,3,16), Tabela1[[#This Row],[KM Rodado]]*1.1, Tabela1[[#This Row],[KM Rodado]]*1.23)</f>
        <v>111.92999999999999</v>
      </c>
      <c r="W357" s="86">
        <f>IFERROR(SUBSTITUTE(Tabela1[[#This Row],[Pedágio]],".",",",1)*1,0)</f>
        <v>0</v>
      </c>
      <c r="X357" s="86">
        <f>IFERROR(SUBSTITUTE(Tabela1[[#This Row],[Estacionamento]],".",",",1)*1,0)</f>
        <v>0</v>
      </c>
      <c r="Y357" s="86">
        <f>IFERROR(SUBSTITUTE(Tabela1[[#This Row],[Despesas Diversas 
(Jantar em viagem, Impressões, Etc)]],".",",",1)*1,0)</f>
        <v>5.7</v>
      </c>
      <c r="Z357" s="86">
        <f>IFERROR(SUBSTITUTE(Tabela1[[#This Row],[Hospedagem]],".",",",1)*1,0)</f>
        <v>0</v>
      </c>
      <c r="AA357" s="56" t="str">
        <f>IF(DAY(Tabela1[[#This Row],[Informe a data]])&lt;=15,"1ª Quinzena","2ª Quinzena")</f>
        <v>2ª Quinzena</v>
      </c>
      <c r="AB357" s="56" t="str">
        <f>UPPER(TEXT(Tabela1[[#This Row],[Informe a data]],"mmmm"))</f>
        <v>MAIO</v>
      </c>
      <c r="AC357" s="87" t="e">
        <f ca="1">_xlfn.CONCAT(Tabela1[[#This Row],[Selecione o Usuário]]," - ",TEXT(Tabela1[[#This Row],[Informe a data]],"dd-mm-aa"))</f>
        <v>#NAME?</v>
      </c>
    </row>
    <row r="358" spans="1:29">
      <c r="A358" s="49">
        <v>46172.022407407407</v>
      </c>
      <c r="B358" s="50" t="s">
        <v>176</v>
      </c>
      <c r="C358" s="50" t="s">
        <v>136</v>
      </c>
      <c r="D358" s="50" t="s">
        <v>177</v>
      </c>
      <c r="E358" s="51">
        <v>46161</v>
      </c>
      <c r="F358" s="52">
        <v>173005</v>
      </c>
      <c r="G358" s="58" t="s">
        <v>1295</v>
      </c>
      <c r="H358" s="52">
        <v>173095</v>
      </c>
      <c r="I358" s="58" t="s">
        <v>1296</v>
      </c>
      <c r="J358" s="50" t="s">
        <v>1297</v>
      </c>
      <c r="K358" s="53"/>
      <c r="L358" s="50" t="s">
        <v>60</v>
      </c>
      <c r="M358" s="53"/>
      <c r="N358" s="53"/>
      <c r="O358" s="53"/>
      <c r="P358" s="53"/>
      <c r="Q358" s="53"/>
      <c r="R358" s="53"/>
      <c r="S358" s="53"/>
      <c r="T358" s="53"/>
      <c r="U358" s="85">
        <f>(Tabela1[[#This Row],[Informe o KM final do dia]]-Tabela1[[#This Row],[Informe o KM inicial do dia]])-Tabela1[[#This Row],[Caso tenha rodado particular alguma parte do trajeto, informe o total de KM a ser deduzido.]]</f>
        <v>90</v>
      </c>
      <c r="V358" s="86">
        <f>IF(Tabela1[[#This Row],[Informe a data]]&lt;DATE(2026,3,16), Tabela1[[#This Row],[KM Rodado]]*1.1, Tabela1[[#This Row],[KM Rodado]]*1.23)</f>
        <v>110.7</v>
      </c>
      <c r="W358" s="86">
        <f>IFERROR(SUBSTITUTE(Tabela1[[#This Row],[Pedágio]],".",",",1)*1,0)</f>
        <v>0</v>
      </c>
      <c r="X358" s="86">
        <f>IFERROR(SUBSTITUTE(Tabela1[[#This Row],[Estacionamento]],".",",",1)*1,0)</f>
        <v>0</v>
      </c>
      <c r="Y358" s="86">
        <f>IFERROR(SUBSTITUTE(Tabela1[[#This Row],[Despesas Diversas 
(Jantar em viagem, Impressões, Etc)]],".",",",1)*1,0)</f>
        <v>0</v>
      </c>
      <c r="Z358" s="86">
        <f>IFERROR(SUBSTITUTE(Tabela1[[#This Row],[Hospedagem]],".",",",1)*1,0)</f>
        <v>0</v>
      </c>
      <c r="AA358" s="56" t="str">
        <f>IF(DAY(Tabela1[[#This Row],[Informe a data]])&lt;=15,"1ª Quinzena","2ª Quinzena")</f>
        <v>2ª Quinzena</v>
      </c>
      <c r="AB358" s="56" t="str">
        <f>UPPER(TEXT(Tabela1[[#This Row],[Informe a data]],"mmmm"))</f>
        <v>MAIO</v>
      </c>
      <c r="AC358" s="87" t="e">
        <f ca="1">_xlfn.CONCAT(Tabela1[[#This Row],[Selecione o Usuário]]," - ",TEXT(Tabela1[[#This Row],[Informe a data]],"dd-mm-aa"))</f>
        <v>#NAME?</v>
      </c>
    </row>
    <row r="359" spans="1:29">
      <c r="A359" s="89">
        <v>46173.800868055558</v>
      </c>
      <c r="B359" s="90" t="s">
        <v>140</v>
      </c>
      <c r="C359" s="90" t="s">
        <v>141</v>
      </c>
      <c r="D359" s="90" t="s">
        <v>169</v>
      </c>
      <c r="E359" s="91">
        <v>46161</v>
      </c>
      <c r="F359" s="92">
        <v>60308</v>
      </c>
      <c r="G359" s="94"/>
      <c r="H359" s="92">
        <v>60377</v>
      </c>
      <c r="I359" s="94"/>
      <c r="J359" s="90" t="s">
        <v>1314</v>
      </c>
      <c r="K359" s="94"/>
      <c r="L359" s="90" t="s">
        <v>60</v>
      </c>
      <c r="M359" s="94"/>
      <c r="N359" s="94"/>
      <c r="O359" s="94"/>
      <c r="P359" s="94"/>
      <c r="Q359" s="94"/>
      <c r="R359" s="94"/>
      <c r="S359" s="94"/>
      <c r="T359" s="94"/>
      <c r="U359" s="85">
        <f>(Tabela1[[#This Row],[Informe o KM final do dia]]-Tabela1[[#This Row],[Informe o KM inicial do dia]])-Tabela1[[#This Row],[Caso tenha rodado particular alguma parte do trajeto, informe o total de KM a ser deduzido.]]</f>
        <v>69</v>
      </c>
      <c r="V359" s="86">
        <f>IF(Tabela1[[#This Row],[Informe a data]]&lt;DATE(2026,3,16), Tabela1[[#This Row],[KM Rodado]]*1.1, Tabela1[[#This Row],[KM Rodado]]*1.23)</f>
        <v>84.87</v>
      </c>
      <c r="W359" s="86">
        <f>IFERROR(SUBSTITUTE(Tabela1[[#This Row],[Pedágio]],".",",",1)*1,0)</f>
        <v>0</v>
      </c>
      <c r="X359" s="86">
        <f>IFERROR(SUBSTITUTE(Tabela1[[#This Row],[Estacionamento]],".",",",1)*1,0)</f>
        <v>0</v>
      </c>
      <c r="Y359" s="86">
        <f>IFERROR(SUBSTITUTE(Tabela1[[#This Row],[Despesas Diversas 
(Jantar em viagem, Impressões, Etc)]],".",",",1)*1,0)</f>
        <v>0</v>
      </c>
      <c r="Z359" s="86">
        <f>IFERROR(SUBSTITUTE(Tabela1[[#This Row],[Hospedagem]],".",",",1)*1,0)</f>
        <v>0</v>
      </c>
      <c r="AA359" s="56" t="str">
        <f>IF(DAY(Tabela1[[#This Row],[Informe a data]])&lt;=15,"1ª Quinzena","2ª Quinzena")</f>
        <v>2ª Quinzena</v>
      </c>
      <c r="AB359" s="56" t="str">
        <f>UPPER(TEXT(Tabela1[[#This Row],[Informe a data]],"mmmm"))</f>
        <v>MAIO</v>
      </c>
      <c r="AC359" s="87" t="e">
        <f ca="1">_xlfn.CONCAT(Tabela1[[#This Row],[Selecione o Usuário]]," - ",TEXT(Tabela1[[#This Row],[Informe a data]],"dd-mm-aa"))</f>
        <v>#NAME?</v>
      </c>
    </row>
    <row r="360" spans="1:29">
      <c r="A360" s="89">
        <v>46162.876377314817</v>
      </c>
      <c r="B360" s="90" t="s">
        <v>131</v>
      </c>
      <c r="C360" s="90" t="s">
        <v>132</v>
      </c>
      <c r="D360" s="90" t="s">
        <v>133</v>
      </c>
      <c r="E360" s="91">
        <v>46162</v>
      </c>
      <c r="F360" s="92">
        <v>193028</v>
      </c>
      <c r="G360" s="93" t="s">
        <v>1246</v>
      </c>
      <c r="H360" s="92">
        <v>193067</v>
      </c>
      <c r="I360" s="93" t="s">
        <v>1247</v>
      </c>
      <c r="J360" s="90" t="s">
        <v>1248</v>
      </c>
      <c r="K360" s="94"/>
      <c r="L360" s="90" t="s">
        <v>61</v>
      </c>
      <c r="M360" s="94"/>
      <c r="N360" s="94"/>
      <c r="O360" s="90" t="s">
        <v>317</v>
      </c>
      <c r="P360" s="93" t="s">
        <v>1249</v>
      </c>
      <c r="Q360" s="94"/>
      <c r="R360" s="94"/>
      <c r="S360" s="94"/>
      <c r="T360" s="94"/>
      <c r="U360" s="85">
        <f>(Tabela1[[#This Row],[Informe o KM final do dia]]-Tabela1[[#This Row],[Informe o KM inicial do dia]])-Tabela1[[#This Row],[Caso tenha rodado particular alguma parte do trajeto, informe o total de KM a ser deduzido.]]</f>
        <v>39</v>
      </c>
      <c r="V360" s="86">
        <f>IF(Tabela1[[#This Row],[Informe a data]]&lt;DATE(2026,3,16), Tabela1[[#This Row],[KM Rodado]]*1.1, Tabela1[[#This Row],[KM Rodado]]*1.23)</f>
        <v>47.97</v>
      </c>
      <c r="W360" s="86">
        <f>IFERROR(SUBSTITUTE(Tabela1[[#This Row],[Pedágio]],".",",",1)*1,0)</f>
        <v>0</v>
      </c>
      <c r="X360" s="86">
        <f>IFERROR(SUBSTITUTE(Tabela1[[#This Row],[Estacionamento]],".",",",1)*1,0)</f>
        <v>20</v>
      </c>
      <c r="Y360" s="86">
        <f>IFERROR(SUBSTITUTE(Tabela1[[#This Row],[Despesas Diversas 
(Jantar em viagem, Impressões, Etc)]],".",",",1)*1,0)</f>
        <v>0</v>
      </c>
      <c r="Z360" s="86">
        <f>IFERROR(SUBSTITUTE(Tabela1[[#This Row],[Hospedagem]],".",",",1)*1,0)</f>
        <v>0</v>
      </c>
      <c r="AA360" s="56" t="str">
        <f>IF(DAY(Tabela1[[#This Row],[Informe a data]])&lt;=15,"1ª Quinzena","2ª Quinzena")</f>
        <v>2ª Quinzena</v>
      </c>
      <c r="AB360" s="56" t="str">
        <f>UPPER(TEXT(Tabela1[[#This Row],[Informe a data]],"mmmm"))</f>
        <v>MAIO</v>
      </c>
      <c r="AC360" s="87" t="e">
        <f ca="1">_xlfn.CONCAT(Tabela1[[#This Row],[Selecione o Usuário]]," - ",TEXT(Tabela1[[#This Row],[Informe a data]],"dd-mm-aa"))</f>
        <v>#NAME?</v>
      </c>
    </row>
    <row r="361" spans="1:29">
      <c r="A361" s="89">
        <v>46172.024062500001</v>
      </c>
      <c r="B361" s="90" t="s">
        <v>176</v>
      </c>
      <c r="C361" s="90" t="s">
        <v>136</v>
      </c>
      <c r="D361" s="90" t="s">
        <v>177</v>
      </c>
      <c r="E361" s="91">
        <v>46162</v>
      </c>
      <c r="F361" s="92">
        <v>173118</v>
      </c>
      <c r="G361" s="93" t="s">
        <v>1298</v>
      </c>
      <c r="H361" s="92">
        <v>173168</v>
      </c>
      <c r="I361" s="93" t="s">
        <v>1299</v>
      </c>
      <c r="J361" s="90" t="s">
        <v>1300</v>
      </c>
      <c r="K361" s="94"/>
      <c r="L361" s="90" t="s">
        <v>60</v>
      </c>
      <c r="M361" s="94"/>
      <c r="N361" s="94"/>
      <c r="O361" s="94"/>
      <c r="P361" s="94"/>
      <c r="Q361" s="94"/>
      <c r="R361" s="94"/>
      <c r="S361" s="94"/>
      <c r="T361" s="94"/>
      <c r="U361" s="85">
        <f>(Tabela1[[#This Row],[Informe o KM final do dia]]-Tabela1[[#This Row],[Informe o KM inicial do dia]])-Tabela1[[#This Row],[Caso tenha rodado particular alguma parte do trajeto, informe o total de KM a ser deduzido.]]</f>
        <v>50</v>
      </c>
      <c r="V361" s="86">
        <f>IF(Tabela1[[#This Row],[Informe a data]]&lt;DATE(2026,3,16), Tabela1[[#This Row],[KM Rodado]]*1.1, Tabela1[[#This Row],[KM Rodado]]*1.23)</f>
        <v>61.5</v>
      </c>
      <c r="W361" s="86">
        <f>IFERROR(SUBSTITUTE(Tabela1[[#This Row],[Pedágio]],".",",",1)*1,0)</f>
        <v>0</v>
      </c>
      <c r="X361" s="86">
        <f>IFERROR(SUBSTITUTE(Tabela1[[#This Row],[Estacionamento]],".",",",1)*1,0)</f>
        <v>0</v>
      </c>
      <c r="Y361" s="86">
        <f>IFERROR(SUBSTITUTE(Tabela1[[#This Row],[Despesas Diversas 
(Jantar em viagem, Impressões, Etc)]],".",",",1)*1,0)</f>
        <v>0</v>
      </c>
      <c r="Z361" s="86">
        <f>IFERROR(SUBSTITUTE(Tabela1[[#This Row],[Hospedagem]],".",",",1)*1,0)</f>
        <v>0</v>
      </c>
      <c r="AA361" s="56" t="str">
        <f>IF(DAY(Tabela1[[#This Row],[Informe a data]])&lt;=15,"1ª Quinzena","2ª Quinzena")</f>
        <v>2ª Quinzena</v>
      </c>
      <c r="AB361" s="56" t="str">
        <f>UPPER(TEXT(Tabela1[[#This Row],[Informe a data]],"mmmm"))</f>
        <v>MAIO</v>
      </c>
      <c r="AC361" s="87" t="e">
        <f ca="1">_xlfn.CONCAT(Tabela1[[#This Row],[Selecione o Usuário]]," - ",TEXT(Tabela1[[#This Row],[Informe a data]],"dd-mm-aa"))</f>
        <v>#NAME?</v>
      </c>
    </row>
    <row r="362" spans="1:29">
      <c r="A362" s="49">
        <v>46167.478877314818</v>
      </c>
      <c r="B362" s="50" t="s">
        <v>1260</v>
      </c>
      <c r="C362" s="50" t="s">
        <v>505</v>
      </c>
      <c r="D362" s="50" t="s">
        <v>506</v>
      </c>
      <c r="E362" s="51">
        <v>46163</v>
      </c>
      <c r="F362" s="52">
        <v>105141</v>
      </c>
      <c r="G362" s="58" t="s">
        <v>1267</v>
      </c>
      <c r="H362" s="52">
        <v>105223</v>
      </c>
      <c r="I362" s="58" t="s">
        <v>1268</v>
      </c>
      <c r="J362" s="50" t="s">
        <v>1269</v>
      </c>
      <c r="K362" s="53"/>
      <c r="L362" s="50" t="s">
        <v>60</v>
      </c>
      <c r="M362" s="53"/>
      <c r="N362" s="53"/>
      <c r="O362" s="53"/>
      <c r="P362" s="53"/>
      <c r="Q362" s="53"/>
      <c r="R362" s="53"/>
      <c r="S362" s="53"/>
      <c r="T362" s="53"/>
      <c r="U362" s="85">
        <f>(Tabela1[[#This Row],[Informe o KM final do dia]]-Tabela1[[#This Row],[Informe o KM inicial do dia]])-Tabela1[[#This Row],[Caso tenha rodado particular alguma parte do trajeto, informe o total de KM a ser deduzido.]]</f>
        <v>82</v>
      </c>
      <c r="V362" s="86">
        <f>IF(Tabela1[[#This Row],[Informe a data]]&lt;DATE(2026,3,16), Tabela1[[#This Row],[KM Rodado]]*1.1, Tabela1[[#This Row],[KM Rodado]]*1.23)</f>
        <v>100.86</v>
      </c>
      <c r="W362" s="86">
        <f>IFERROR(SUBSTITUTE(Tabela1[[#This Row],[Pedágio]],".",",",1)*1,0)</f>
        <v>0</v>
      </c>
      <c r="X362" s="86">
        <f>IFERROR(SUBSTITUTE(Tabela1[[#This Row],[Estacionamento]],".",",",1)*1,0)</f>
        <v>0</v>
      </c>
      <c r="Y362" s="86">
        <f>IFERROR(SUBSTITUTE(Tabela1[[#This Row],[Despesas Diversas 
(Jantar em viagem, Impressões, Etc)]],".",",",1)*1,0)</f>
        <v>0</v>
      </c>
      <c r="Z362" s="86">
        <f>IFERROR(SUBSTITUTE(Tabela1[[#This Row],[Hospedagem]],".",",",1)*1,0)</f>
        <v>0</v>
      </c>
      <c r="AA362" s="56" t="str">
        <f>IF(DAY(Tabela1[[#This Row],[Informe a data]])&lt;=15,"1ª Quinzena","2ª Quinzena")</f>
        <v>2ª Quinzena</v>
      </c>
      <c r="AB362" s="56" t="str">
        <f>UPPER(TEXT(Tabela1[[#This Row],[Informe a data]],"mmmm"))</f>
        <v>MAIO</v>
      </c>
      <c r="AC362" s="87" t="e">
        <f ca="1">_xlfn.CONCAT(Tabela1[[#This Row],[Selecione o Usuário]]," - ",TEXT(Tabela1[[#This Row],[Informe a data]],"dd-mm-aa"))</f>
        <v>#NAME?</v>
      </c>
    </row>
    <row r="363" spans="1:29">
      <c r="A363" s="49">
        <v>46163.787881944445</v>
      </c>
      <c r="B363" s="50" t="s">
        <v>300</v>
      </c>
      <c r="C363" s="50" t="s">
        <v>250</v>
      </c>
      <c r="D363" s="50" t="s">
        <v>228</v>
      </c>
      <c r="E363" s="51">
        <v>46163</v>
      </c>
      <c r="F363" s="52">
        <v>130199</v>
      </c>
      <c r="G363" s="58" t="s">
        <v>1250</v>
      </c>
      <c r="H363" s="52">
        <v>130394</v>
      </c>
      <c r="I363" s="58" t="s">
        <v>1251</v>
      </c>
      <c r="J363" s="50" t="s">
        <v>1252</v>
      </c>
      <c r="K363" s="53"/>
      <c r="L363" s="50" t="s">
        <v>60</v>
      </c>
      <c r="M363" s="53"/>
      <c r="N363" s="53"/>
      <c r="O363" s="53"/>
      <c r="P363" s="53"/>
      <c r="Q363" s="53"/>
      <c r="R363" s="53"/>
      <c r="S363" s="53"/>
      <c r="T363" s="53"/>
      <c r="U363" s="85">
        <f>(Tabela1[[#This Row],[Informe o KM final do dia]]-Tabela1[[#This Row],[Informe o KM inicial do dia]])-Tabela1[[#This Row],[Caso tenha rodado particular alguma parte do trajeto, informe o total de KM a ser deduzido.]]</f>
        <v>195</v>
      </c>
      <c r="V363" s="86">
        <f>IF(Tabela1[[#This Row],[Informe a data]]&lt;DATE(2026,3,16), Tabela1[[#This Row],[KM Rodado]]*1.1, Tabela1[[#This Row],[KM Rodado]]*1.23)</f>
        <v>239.85</v>
      </c>
      <c r="W363" s="86">
        <f>IFERROR(SUBSTITUTE(Tabela1[[#This Row],[Pedágio]],".",",",1)*1,0)</f>
        <v>0</v>
      </c>
      <c r="X363" s="86">
        <f>IFERROR(SUBSTITUTE(Tabela1[[#This Row],[Estacionamento]],".",",",1)*1,0)</f>
        <v>0</v>
      </c>
      <c r="Y363" s="86">
        <f>IFERROR(SUBSTITUTE(Tabela1[[#This Row],[Despesas Diversas 
(Jantar em viagem, Impressões, Etc)]],".",",",1)*1,0)</f>
        <v>0</v>
      </c>
      <c r="Z363" s="86">
        <f>IFERROR(SUBSTITUTE(Tabela1[[#This Row],[Hospedagem]],".",",",1)*1,0)</f>
        <v>0</v>
      </c>
      <c r="AA363" s="56" t="str">
        <f>IF(DAY(Tabela1[[#This Row],[Informe a data]])&lt;=15,"1ª Quinzena","2ª Quinzena")</f>
        <v>2ª Quinzena</v>
      </c>
      <c r="AB363" s="56" t="str">
        <f>UPPER(TEXT(Tabela1[[#This Row],[Informe a data]],"mmmm"))</f>
        <v>MAIO</v>
      </c>
      <c r="AC363" s="87" t="e">
        <f ca="1">_xlfn.CONCAT(Tabela1[[#This Row],[Selecione o Usuário]]," - ",TEXT(Tabela1[[#This Row],[Informe a data]],"dd-mm-aa"))</f>
        <v>#NAME?</v>
      </c>
    </row>
    <row r="364" spans="1:29">
      <c r="A364" s="49">
        <v>46173.804016203707</v>
      </c>
      <c r="B364" s="50" t="s">
        <v>140</v>
      </c>
      <c r="C364" s="50" t="s">
        <v>141</v>
      </c>
      <c r="D364" s="50" t="s">
        <v>169</v>
      </c>
      <c r="E364" s="51">
        <v>46163</v>
      </c>
      <c r="F364" s="52">
        <v>60390</v>
      </c>
      <c r="G364" s="53"/>
      <c r="H364" s="52">
        <v>60442</v>
      </c>
      <c r="I364" s="53"/>
      <c r="J364" s="50" t="s">
        <v>1315</v>
      </c>
      <c r="K364" s="53"/>
      <c r="L364" s="50" t="s">
        <v>60</v>
      </c>
      <c r="M364" s="53"/>
      <c r="N364" s="53"/>
      <c r="O364" s="53"/>
      <c r="P364" s="53"/>
      <c r="Q364" s="53"/>
      <c r="R364" s="53"/>
      <c r="S364" s="53"/>
      <c r="T364" s="53"/>
      <c r="U364" s="85">
        <f>(Tabela1[[#This Row],[Informe o KM final do dia]]-Tabela1[[#This Row],[Informe o KM inicial do dia]])-Tabela1[[#This Row],[Caso tenha rodado particular alguma parte do trajeto, informe o total de KM a ser deduzido.]]</f>
        <v>52</v>
      </c>
      <c r="V364" s="86">
        <f>IF(Tabela1[[#This Row],[Informe a data]]&lt;DATE(2026,3,16), Tabela1[[#This Row],[KM Rodado]]*1.1, Tabela1[[#This Row],[KM Rodado]]*1.23)</f>
        <v>63.96</v>
      </c>
      <c r="W364" s="86">
        <f>IFERROR(SUBSTITUTE(Tabela1[[#This Row],[Pedágio]],".",",",1)*1,0)</f>
        <v>0</v>
      </c>
      <c r="X364" s="86">
        <f>IFERROR(SUBSTITUTE(Tabela1[[#This Row],[Estacionamento]],".",",",1)*1,0)</f>
        <v>0</v>
      </c>
      <c r="Y364" s="86">
        <f>IFERROR(SUBSTITUTE(Tabela1[[#This Row],[Despesas Diversas 
(Jantar em viagem, Impressões, Etc)]],".",",",1)*1,0)</f>
        <v>0</v>
      </c>
      <c r="Z364" s="86">
        <f>IFERROR(SUBSTITUTE(Tabela1[[#This Row],[Hospedagem]],".",",",1)*1,0)</f>
        <v>0</v>
      </c>
      <c r="AA364" s="56" t="str">
        <f>IF(DAY(Tabela1[[#This Row],[Informe a data]])&lt;=15,"1ª Quinzena","2ª Quinzena")</f>
        <v>2ª Quinzena</v>
      </c>
      <c r="AB364" s="56" t="str">
        <f>UPPER(TEXT(Tabela1[[#This Row],[Informe a data]],"mmmm"))</f>
        <v>MAIO</v>
      </c>
      <c r="AC364" s="87" t="e">
        <f ca="1">_xlfn.CONCAT(Tabela1[[#This Row],[Selecione o Usuário]]," - ",TEXT(Tabela1[[#This Row],[Informe a data]],"dd-mm-aa"))</f>
        <v>#NAME?</v>
      </c>
    </row>
    <row r="365" spans="1:29">
      <c r="A365" s="49">
        <v>46164.742835648147</v>
      </c>
      <c r="B365" s="50" t="s">
        <v>131</v>
      </c>
      <c r="C365" s="50" t="s">
        <v>132</v>
      </c>
      <c r="D365" s="50" t="s">
        <v>133</v>
      </c>
      <c r="E365" s="51">
        <v>46164</v>
      </c>
      <c r="F365" s="52">
        <v>193477</v>
      </c>
      <c r="G365" s="58" t="s">
        <v>1253</v>
      </c>
      <c r="H365" s="52">
        <v>193637</v>
      </c>
      <c r="I365" s="58" t="s">
        <v>1254</v>
      </c>
      <c r="J365" s="50" t="s">
        <v>1255</v>
      </c>
      <c r="K365" s="53"/>
      <c r="L365" s="50" t="s">
        <v>61</v>
      </c>
      <c r="M365" s="53"/>
      <c r="N365" s="53"/>
      <c r="O365" s="50" t="s">
        <v>317</v>
      </c>
      <c r="P365" s="58" t="s">
        <v>1256</v>
      </c>
      <c r="Q365" s="53"/>
      <c r="R365" s="53"/>
      <c r="S365" s="53"/>
      <c r="T365" s="53"/>
      <c r="U365" s="85">
        <f>(Tabela1[[#This Row],[Informe o KM final do dia]]-Tabela1[[#This Row],[Informe o KM inicial do dia]])-Tabela1[[#This Row],[Caso tenha rodado particular alguma parte do trajeto, informe o total de KM a ser deduzido.]]</f>
        <v>160</v>
      </c>
      <c r="V365" s="86">
        <f>IF(Tabela1[[#This Row],[Informe a data]]&lt;DATE(2026,3,16), Tabela1[[#This Row],[KM Rodado]]*1.1, Tabela1[[#This Row],[KM Rodado]]*1.23)</f>
        <v>196.8</v>
      </c>
      <c r="W365" s="86">
        <f>IFERROR(SUBSTITUTE(Tabela1[[#This Row],[Pedágio]],".",",",1)*1,0)</f>
        <v>0</v>
      </c>
      <c r="X365" s="86">
        <f>IFERROR(SUBSTITUTE(Tabela1[[#This Row],[Estacionamento]],".",",",1)*1,0)</f>
        <v>20</v>
      </c>
      <c r="Y365" s="86">
        <f>IFERROR(SUBSTITUTE(Tabela1[[#This Row],[Despesas Diversas 
(Jantar em viagem, Impressões, Etc)]],".",",",1)*1,0)</f>
        <v>0</v>
      </c>
      <c r="Z365" s="86">
        <f>IFERROR(SUBSTITUTE(Tabela1[[#This Row],[Hospedagem]],".",",",1)*1,0)</f>
        <v>0</v>
      </c>
      <c r="AA365" s="56" t="str">
        <f>IF(DAY(Tabela1[[#This Row],[Informe a data]])&lt;=15,"1ª Quinzena","2ª Quinzena")</f>
        <v>2ª Quinzena</v>
      </c>
      <c r="AB365" s="56" t="str">
        <f>UPPER(TEXT(Tabela1[[#This Row],[Informe a data]],"mmmm"))</f>
        <v>MAIO</v>
      </c>
      <c r="AC365" s="87" t="e">
        <f ca="1">_xlfn.CONCAT(Tabela1[[#This Row],[Selecione o Usuário]]," - ",TEXT(Tabela1[[#This Row],[Informe a data]],"dd-mm-aa"))</f>
        <v>#NAME?</v>
      </c>
    </row>
    <row r="366" spans="1:29">
      <c r="A366" s="89">
        <v>46167.480706018519</v>
      </c>
      <c r="B366" s="90" t="s">
        <v>1260</v>
      </c>
      <c r="C366" s="90" t="s">
        <v>505</v>
      </c>
      <c r="D366" s="90" t="s">
        <v>506</v>
      </c>
      <c r="E366" s="91">
        <v>46164</v>
      </c>
      <c r="F366" s="92">
        <v>105279</v>
      </c>
      <c r="G366" s="93" t="s">
        <v>1270</v>
      </c>
      <c r="H366" s="92">
        <v>105346</v>
      </c>
      <c r="I366" s="93" t="s">
        <v>1271</v>
      </c>
      <c r="J366" s="90" t="s">
        <v>1272</v>
      </c>
      <c r="K366" s="94"/>
      <c r="L366" s="90" t="s">
        <v>60</v>
      </c>
      <c r="M366" s="94"/>
      <c r="N366" s="94"/>
      <c r="O366" s="94"/>
      <c r="P366" s="94"/>
      <c r="Q366" s="94"/>
      <c r="R366" s="94"/>
      <c r="S366" s="94"/>
      <c r="T366" s="94"/>
      <c r="U366" s="85">
        <f>(Tabela1[[#This Row],[Informe o KM final do dia]]-Tabela1[[#This Row],[Informe o KM inicial do dia]])-Tabela1[[#This Row],[Caso tenha rodado particular alguma parte do trajeto, informe o total de KM a ser deduzido.]]</f>
        <v>67</v>
      </c>
      <c r="V366" s="86">
        <f>IF(Tabela1[[#This Row],[Informe a data]]&lt;DATE(2026,3,16), Tabela1[[#This Row],[KM Rodado]]*1.1, Tabela1[[#This Row],[KM Rodado]]*1.23)</f>
        <v>82.41</v>
      </c>
      <c r="W366" s="86">
        <f>IFERROR(SUBSTITUTE(Tabela1[[#This Row],[Pedágio]],".",",",1)*1,0)</f>
        <v>0</v>
      </c>
      <c r="X366" s="86">
        <f>IFERROR(SUBSTITUTE(Tabela1[[#This Row],[Estacionamento]],".",",",1)*1,0)</f>
        <v>0</v>
      </c>
      <c r="Y366" s="86">
        <f>IFERROR(SUBSTITUTE(Tabela1[[#This Row],[Despesas Diversas 
(Jantar em viagem, Impressões, Etc)]],".",",",1)*1,0)</f>
        <v>0</v>
      </c>
      <c r="Z366" s="86">
        <f>IFERROR(SUBSTITUTE(Tabela1[[#This Row],[Hospedagem]],".",",",1)*1,0)</f>
        <v>0</v>
      </c>
      <c r="AA366" s="56" t="str">
        <f>IF(DAY(Tabela1[[#This Row],[Informe a data]])&lt;=15,"1ª Quinzena","2ª Quinzena")</f>
        <v>2ª Quinzena</v>
      </c>
      <c r="AB366" s="56" t="str">
        <f>UPPER(TEXT(Tabela1[[#This Row],[Informe a data]],"mmmm"))</f>
        <v>MAIO</v>
      </c>
      <c r="AC366" s="87" t="e">
        <f ca="1">_xlfn.CONCAT(Tabela1[[#This Row],[Selecione o Usuário]]," - ",TEXT(Tabela1[[#This Row],[Informe a data]],"dd-mm-aa"))</f>
        <v>#NAME?</v>
      </c>
    </row>
    <row r="367" spans="1:29">
      <c r="A367" s="49">
        <v>46172.025451388887</v>
      </c>
      <c r="B367" s="50" t="s">
        <v>176</v>
      </c>
      <c r="C367" s="50" t="s">
        <v>136</v>
      </c>
      <c r="D367" s="50" t="s">
        <v>177</v>
      </c>
      <c r="E367" s="51">
        <v>46164</v>
      </c>
      <c r="F367" s="52">
        <v>173168</v>
      </c>
      <c r="G367" s="58" t="s">
        <v>1301</v>
      </c>
      <c r="H367" s="52">
        <v>173243</v>
      </c>
      <c r="I367" s="58" t="s">
        <v>1302</v>
      </c>
      <c r="J367" s="50" t="s">
        <v>1303</v>
      </c>
      <c r="K367" s="53"/>
      <c r="L367" s="50" t="s">
        <v>60</v>
      </c>
      <c r="M367" s="53"/>
      <c r="N367" s="53"/>
      <c r="O367" s="53"/>
      <c r="P367" s="53"/>
      <c r="Q367" s="53"/>
      <c r="R367" s="53"/>
      <c r="S367" s="53"/>
      <c r="T367" s="53"/>
      <c r="U367" s="85">
        <f>(Tabela1[[#This Row],[Informe o KM final do dia]]-Tabela1[[#This Row],[Informe o KM inicial do dia]])-Tabela1[[#This Row],[Caso tenha rodado particular alguma parte do trajeto, informe o total de KM a ser deduzido.]]</f>
        <v>75</v>
      </c>
      <c r="V367" s="86">
        <f>IF(Tabela1[[#This Row],[Informe a data]]&lt;DATE(2026,3,16), Tabela1[[#This Row],[KM Rodado]]*1.1, Tabela1[[#This Row],[KM Rodado]]*1.23)</f>
        <v>92.25</v>
      </c>
      <c r="W367" s="86">
        <f>IFERROR(SUBSTITUTE(Tabela1[[#This Row],[Pedágio]],".",",",1)*1,0)</f>
        <v>0</v>
      </c>
      <c r="X367" s="86">
        <f>IFERROR(SUBSTITUTE(Tabela1[[#This Row],[Estacionamento]],".",",",1)*1,0)</f>
        <v>0</v>
      </c>
      <c r="Y367" s="86">
        <f>IFERROR(SUBSTITUTE(Tabela1[[#This Row],[Despesas Diversas 
(Jantar em viagem, Impressões, Etc)]],".",",",1)*1,0)</f>
        <v>0</v>
      </c>
      <c r="Z367" s="86">
        <f>IFERROR(SUBSTITUTE(Tabela1[[#This Row],[Hospedagem]],".",",",1)*1,0)</f>
        <v>0</v>
      </c>
      <c r="AA367" s="56" t="str">
        <f>IF(DAY(Tabela1[[#This Row],[Informe a data]])&lt;=15,"1ª Quinzena","2ª Quinzena")</f>
        <v>2ª Quinzena</v>
      </c>
      <c r="AB367" s="56" t="str">
        <f>UPPER(TEXT(Tabela1[[#This Row],[Informe a data]],"mmmm"))</f>
        <v>MAIO</v>
      </c>
      <c r="AC367" s="87" t="e">
        <f ca="1">_xlfn.CONCAT(Tabela1[[#This Row],[Selecione o Usuário]]," - ",TEXT(Tabela1[[#This Row],[Informe a data]],"dd-mm-aa"))</f>
        <v>#NAME?</v>
      </c>
    </row>
    <row r="368" spans="1:29">
      <c r="A368" s="89">
        <v>46165.524814814817</v>
      </c>
      <c r="B368" s="90" t="s">
        <v>131</v>
      </c>
      <c r="C368" s="90" t="s">
        <v>132</v>
      </c>
      <c r="D368" s="90" t="s">
        <v>133</v>
      </c>
      <c r="E368" s="91">
        <v>46165</v>
      </c>
      <c r="F368" s="92">
        <v>193637</v>
      </c>
      <c r="G368" s="93" t="s">
        <v>1257</v>
      </c>
      <c r="H368" s="92">
        <v>193651</v>
      </c>
      <c r="I368" s="93" t="s">
        <v>1258</v>
      </c>
      <c r="J368" s="90" t="s">
        <v>1259</v>
      </c>
      <c r="K368" s="94"/>
      <c r="L368" s="90" t="s">
        <v>60</v>
      </c>
      <c r="M368" s="94"/>
      <c r="N368" s="94"/>
      <c r="O368" s="94"/>
      <c r="P368" s="94"/>
      <c r="Q368" s="94"/>
      <c r="R368" s="94"/>
      <c r="S368" s="94"/>
      <c r="T368" s="94"/>
      <c r="U368" s="85">
        <f>(Tabela1[[#This Row],[Informe o KM final do dia]]-Tabela1[[#This Row],[Informe o KM inicial do dia]])-Tabela1[[#This Row],[Caso tenha rodado particular alguma parte do trajeto, informe o total de KM a ser deduzido.]]</f>
        <v>14</v>
      </c>
      <c r="V368" s="86">
        <f>IF(Tabela1[[#This Row],[Informe a data]]&lt;DATE(2026,3,16), Tabela1[[#This Row],[KM Rodado]]*1.1, Tabela1[[#This Row],[KM Rodado]]*1.23)</f>
        <v>17.22</v>
      </c>
      <c r="W368" s="86">
        <f>IFERROR(SUBSTITUTE(Tabela1[[#This Row],[Pedágio]],".",",",1)*1,0)</f>
        <v>0</v>
      </c>
      <c r="X368" s="86">
        <f>IFERROR(SUBSTITUTE(Tabela1[[#This Row],[Estacionamento]],".",",",1)*1,0)</f>
        <v>0</v>
      </c>
      <c r="Y368" s="86">
        <f>IFERROR(SUBSTITUTE(Tabela1[[#This Row],[Despesas Diversas 
(Jantar em viagem, Impressões, Etc)]],".",",",1)*1,0)</f>
        <v>0</v>
      </c>
      <c r="Z368" s="86">
        <f>IFERROR(SUBSTITUTE(Tabela1[[#This Row],[Hospedagem]],".",",",1)*1,0)</f>
        <v>0</v>
      </c>
      <c r="AA368" s="56" t="str">
        <f>IF(DAY(Tabela1[[#This Row],[Informe a data]])&lt;=15,"1ª Quinzena","2ª Quinzena")</f>
        <v>2ª Quinzena</v>
      </c>
      <c r="AB368" s="56" t="str">
        <f>UPPER(TEXT(Tabela1[[#This Row],[Informe a data]],"mmmm"))</f>
        <v>MAIO</v>
      </c>
      <c r="AC368" s="87" t="e">
        <f ca="1">_xlfn.CONCAT(Tabela1[[#This Row],[Selecione o Usuário]]," - ",TEXT(Tabela1[[#This Row],[Informe a data]],"dd-mm-aa"))</f>
        <v>#NAME?</v>
      </c>
    </row>
    <row r="369" spans="1:29">
      <c r="A369" s="49">
        <v>46168.746168981481</v>
      </c>
      <c r="B369" s="50" t="s">
        <v>131</v>
      </c>
      <c r="C369" s="50" t="s">
        <v>132</v>
      </c>
      <c r="D369" s="50" t="s">
        <v>133</v>
      </c>
      <c r="E369" s="51">
        <v>46168</v>
      </c>
      <c r="F369" s="52">
        <v>193670</v>
      </c>
      <c r="G369" s="58" t="s">
        <v>1273</v>
      </c>
      <c r="H369" s="52">
        <v>193733</v>
      </c>
      <c r="I369" s="58" t="s">
        <v>1274</v>
      </c>
      <c r="J369" s="50" t="s">
        <v>1275</v>
      </c>
      <c r="K369" s="53"/>
      <c r="L369" s="50" t="s">
        <v>60</v>
      </c>
      <c r="M369" s="53"/>
      <c r="N369" s="53"/>
      <c r="O369" s="53"/>
      <c r="P369" s="53"/>
      <c r="Q369" s="53"/>
      <c r="R369" s="53"/>
      <c r="S369" s="53"/>
      <c r="T369" s="53"/>
      <c r="U369" s="85">
        <f>(Tabela1[[#This Row],[Informe o KM final do dia]]-Tabela1[[#This Row],[Informe o KM inicial do dia]])-Tabela1[[#This Row],[Caso tenha rodado particular alguma parte do trajeto, informe o total de KM a ser deduzido.]]</f>
        <v>63</v>
      </c>
      <c r="V369" s="86">
        <f>IF(Tabela1[[#This Row],[Informe a data]]&lt;DATE(2026,3,16), Tabela1[[#This Row],[KM Rodado]]*1.1, Tabela1[[#This Row],[KM Rodado]]*1.23)</f>
        <v>77.489999999999995</v>
      </c>
      <c r="W369" s="86">
        <f>IFERROR(SUBSTITUTE(Tabela1[[#This Row],[Pedágio]],".",",",1)*1,0)</f>
        <v>0</v>
      </c>
      <c r="X369" s="86">
        <f>IFERROR(SUBSTITUTE(Tabela1[[#This Row],[Estacionamento]],".",",",1)*1,0)</f>
        <v>0</v>
      </c>
      <c r="Y369" s="86">
        <f>IFERROR(SUBSTITUTE(Tabela1[[#This Row],[Despesas Diversas 
(Jantar em viagem, Impressões, Etc)]],".",",",1)*1,0)</f>
        <v>0</v>
      </c>
      <c r="Z369" s="86">
        <f>IFERROR(SUBSTITUTE(Tabela1[[#This Row],[Hospedagem]],".",",",1)*1,0)</f>
        <v>0</v>
      </c>
      <c r="AA369" s="56" t="str">
        <f>IF(DAY(Tabela1[[#This Row],[Informe a data]])&lt;=15,"1ª Quinzena","2ª Quinzena")</f>
        <v>2ª Quinzena</v>
      </c>
      <c r="AB369" s="56" t="str">
        <f>UPPER(TEXT(Tabela1[[#This Row],[Informe a data]],"mmmm"))</f>
        <v>MAIO</v>
      </c>
      <c r="AC369" s="87" t="e">
        <f ca="1">_xlfn.CONCAT(Tabela1[[#This Row],[Selecione o Usuário]]," - ",TEXT(Tabela1[[#This Row],[Informe a data]],"dd-mm-aa"))</f>
        <v>#NAME?</v>
      </c>
    </row>
    <row r="370" spans="1:29">
      <c r="A370" s="89">
        <v>46170.717581018522</v>
      </c>
      <c r="B370" s="90" t="s">
        <v>1260</v>
      </c>
      <c r="C370" s="90" t="s">
        <v>505</v>
      </c>
      <c r="D370" s="90" t="s">
        <v>506</v>
      </c>
      <c r="E370" s="91">
        <v>46168</v>
      </c>
      <c r="F370" s="92">
        <v>105394</v>
      </c>
      <c r="G370" s="93" t="s">
        <v>1286</v>
      </c>
      <c r="H370" s="92">
        <v>105525</v>
      </c>
      <c r="I370" s="93" t="s">
        <v>1287</v>
      </c>
      <c r="J370" s="90" t="s">
        <v>1288</v>
      </c>
      <c r="K370" s="94"/>
      <c r="L370" s="90" t="s">
        <v>60</v>
      </c>
      <c r="M370" s="94"/>
      <c r="N370" s="94"/>
      <c r="O370" s="94"/>
      <c r="P370" s="94"/>
      <c r="Q370" s="94"/>
      <c r="R370" s="94"/>
      <c r="S370" s="94"/>
      <c r="T370" s="94"/>
      <c r="U370" s="85">
        <f>(Tabela1[[#This Row],[Informe o KM final do dia]]-Tabela1[[#This Row],[Informe o KM inicial do dia]])-Tabela1[[#This Row],[Caso tenha rodado particular alguma parte do trajeto, informe o total de KM a ser deduzido.]]</f>
        <v>131</v>
      </c>
      <c r="V370" s="86">
        <f>IF(Tabela1[[#This Row],[Informe a data]]&lt;DATE(2026,3,16), Tabela1[[#This Row],[KM Rodado]]*1.1, Tabela1[[#This Row],[KM Rodado]]*1.23)</f>
        <v>161.13</v>
      </c>
      <c r="W370" s="86">
        <f>IFERROR(SUBSTITUTE(Tabela1[[#This Row],[Pedágio]],".",",",1)*1,0)</f>
        <v>0</v>
      </c>
      <c r="X370" s="86">
        <f>IFERROR(SUBSTITUTE(Tabela1[[#This Row],[Estacionamento]],".",",",1)*1,0)</f>
        <v>0</v>
      </c>
      <c r="Y370" s="86">
        <f>IFERROR(SUBSTITUTE(Tabela1[[#This Row],[Despesas Diversas 
(Jantar em viagem, Impressões, Etc)]],".",",",1)*1,0)</f>
        <v>0</v>
      </c>
      <c r="Z370" s="86">
        <f>IFERROR(SUBSTITUTE(Tabela1[[#This Row],[Hospedagem]],".",",",1)*1,0)</f>
        <v>0</v>
      </c>
      <c r="AA370" s="56" t="str">
        <f>IF(DAY(Tabela1[[#This Row],[Informe a data]])&lt;=15,"1ª Quinzena","2ª Quinzena")</f>
        <v>2ª Quinzena</v>
      </c>
      <c r="AB370" s="56" t="str">
        <f>UPPER(TEXT(Tabela1[[#This Row],[Informe a data]],"mmmm"))</f>
        <v>MAIO</v>
      </c>
      <c r="AC370" s="87" t="e">
        <f ca="1">_xlfn.CONCAT(Tabela1[[#This Row],[Selecione o Usuário]]," - ",TEXT(Tabela1[[#This Row],[Informe a data]],"dd-mm-aa"))</f>
        <v>#NAME?</v>
      </c>
    </row>
    <row r="371" spans="1:29">
      <c r="A371" s="49">
        <v>46169.393587962964</v>
      </c>
      <c r="B371" s="50" t="s">
        <v>300</v>
      </c>
      <c r="C371" s="50" t="s">
        <v>250</v>
      </c>
      <c r="D371" s="50" t="s">
        <v>228</v>
      </c>
      <c r="E371" s="51">
        <v>46168</v>
      </c>
      <c r="F371" s="52">
        <v>130838</v>
      </c>
      <c r="G371" s="58" t="s">
        <v>1276</v>
      </c>
      <c r="H371" s="52">
        <v>130942</v>
      </c>
      <c r="I371" s="58" t="s">
        <v>1277</v>
      </c>
      <c r="J371" s="50" t="s">
        <v>1278</v>
      </c>
      <c r="K371" s="53"/>
      <c r="L371" s="50" t="s">
        <v>60</v>
      </c>
      <c r="M371" s="53"/>
      <c r="N371" s="53"/>
      <c r="O371" s="53"/>
      <c r="P371" s="53"/>
      <c r="Q371" s="53"/>
      <c r="R371" s="53"/>
      <c r="S371" s="53"/>
      <c r="T371" s="53"/>
      <c r="U371" s="85">
        <f>(Tabela1[[#This Row],[Informe o KM final do dia]]-Tabela1[[#This Row],[Informe o KM inicial do dia]])-Tabela1[[#This Row],[Caso tenha rodado particular alguma parte do trajeto, informe o total de KM a ser deduzido.]]</f>
        <v>104</v>
      </c>
      <c r="V371" s="86">
        <f>IF(Tabela1[[#This Row],[Informe a data]]&lt;DATE(2026,3,16), Tabela1[[#This Row],[KM Rodado]]*1.1, Tabela1[[#This Row],[KM Rodado]]*1.23)</f>
        <v>127.92</v>
      </c>
      <c r="W371" s="86">
        <f>IFERROR(SUBSTITUTE(Tabela1[[#This Row],[Pedágio]],".",",",1)*1,0)</f>
        <v>0</v>
      </c>
      <c r="X371" s="86">
        <f>IFERROR(SUBSTITUTE(Tabela1[[#This Row],[Estacionamento]],".",",",1)*1,0)</f>
        <v>0</v>
      </c>
      <c r="Y371" s="86">
        <f>IFERROR(SUBSTITUTE(Tabela1[[#This Row],[Despesas Diversas 
(Jantar em viagem, Impressões, Etc)]],".",",",1)*1,0)</f>
        <v>0</v>
      </c>
      <c r="Z371" s="86">
        <f>IFERROR(SUBSTITUTE(Tabela1[[#This Row],[Hospedagem]],".",",",1)*1,0)</f>
        <v>0</v>
      </c>
      <c r="AA371" s="56" t="str">
        <f>IF(DAY(Tabela1[[#This Row],[Informe a data]])&lt;=15,"1ª Quinzena","2ª Quinzena")</f>
        <v>2ª Quinzena</v>
      </c>
      <c r="AB371" s="56" t="str">
        <f>UPPER(TEXT(Tabela1[[#This Row],[Informe a data]],"mmmm"))</f>
        <v>MAIO</v>
      </c>
      <c r="AC371" s="87" t="e">
        <f ca="1">_xlfn.CONCAT(Tabela1[[#This Row],[Selecione o Usuário]]," - ",TEXT(Tabela1[[#This Row],[Informe a data]],"dd-mm-aa"))</f>
        <v>#NAME?</v>
      </c>
    </row>
    <row r="372" spans="1:29">
      <c r="A372" s="89">
        <v>46172.027384259258</v>
      </c>
      <c r="B372" s="90" t="s">
        <v>176</v>
      </c>
      <c r="C372" s="90" t="s">
        <v>136</v>
      </c>
      <c r="D372" s="90" t="s">
        <v>177</v>
      </c>
      <c r="E372" s="91">
        <v>46168</v>
      </c>
      <c r="F372" s="92">
        <v>173283</v>
      </c>
      <c r="G372" s="93" t="s">
        <v>1304</v>
      </c>
      <c r="H372" s="92">
        <v>173364</v>
      </c>
      <c r="I372" s="93" t="s">
        <v>1305</v>
      </c>
      <c r="J372" s="90" t="s">
        <v>1306</v>
      </c>
      <c r="K372" s="94"/>
      <c r="L372" s="90" t="s">
        <v>60</v>
      </c>
      <c r="M372" s="94"/>
      <c r="N372" s="94"/>
      <c r="O372" s="94"/>
      <c r="P372" s="94"/>
      <c r="Q372" s="94"/>
      <c r="R372" s="94"/>
      <c r="S372" s="94"/>
      <c r="T372" s="94"/>
      <c r="U372" s="85">
        <f>(Tabela1[[#This Row],[Informe o KM final do dia]]-Tabela1[[#This Row],[Informe o KM inicial do dia]])-Tabela1[[#This Row],[Caso tenha rodado particular alguma parte do trajeto, informe o total de KM a ser deduzido.]]</f>
        <v>81</v>
      </c>
      <c r="V372" s="86">
        <f>IF(Tabela1[[#This Row],[Informe a data]]&lt;DATE(2026,3,16), Tabela1[[#This Row],[KM Rodado]]*1.1, Tabela1[[#This Row],[KM Rodado]]*1.23)</f>
        <v>99.63</v>
      </c>
      <c r="W372" s="86">
        <f>IFERROR(SUBSTITUTE(Tabela1[[#This Row],[Pedágio]],".",",",1)*1,0)</f>
        <v>0</v>
      </c>
      <c r="X372" s="86">
        <f>IFERROR(SUBSTITUTE(Tabela1[[#This Row],[Estacionamento]],".",",",1)*1,0)</f>
        <v>0</v>
      </c>
      <c r="Y372" s="86">
        <f>IFERROR(SUBSTITUTE(Tabela1[[#This Row],[Despesas Diversas 
(Jantar em viagem, Impressões, Etc)]],".",",",1)*1,0)</f>
        <v>0</v>
      </c>
      <c r="Z372" s="86">
        <f>IFERROR(SUBSTITUTE(Tabela1[[#This Row],[Hospedagem]],".",",",1)*1,0)</f>
        <v>0</v>
      </c>
      <c r="AA372" s="56" t="str">
        <f>IF(DAY(Tabela1[[#This Row],[Informe a data]])&lt;=15,"1ª Quinzena","2ª Quinzena")</f>
        <v>2ª Quinzena</v>
      </c>
      <c r="AB372" s="56" t="str">
        <f>UPPER(TEXT(Tabela1[[#This Row],[Informe a data]],"mmmm"))</f>
        <v>MAIO</v>
      </c>
      <c r="AC372" s="87" t="e">
        <f ca="1">_xlfn.CONCAT(Tabela1[[#This Row],[Selecione o Usuário]]," - ",TEXT(Tabela1[[#This Row],[Informe a data]],"dd-mm-aa"))</f>
        <v>#NAME?</v>
      </c>
    </row>
    <row r="373" spans="1:29">
      <c r="A373" s="89">
        <v>46173.807743055557</v>
      </c>
      <c r="B373" s="90" t="s">
        <v>140</v>
      </c>
      <c r="C373" s="90" t="s">
        <v>141</v>
      </c>
      <c r="D373" s="90" t="s">
        <v>961</v>
      </c>
      <c r="E373" s="91">
        <v>46168</v>
      </c>
      <c r="F373" s="92">
        <v>60493</v>
      </c>
      <c r="G373" s="94"/>
      <c r="H373" s="92">
        <v>60641</v>
      </c>
      <c r="I373" s="94"/>
      <c r="J373" s="90" t="s">
        <v>1316</v>
      </c>
      <c r="K373" s="94"/>
      <c r="L373" s="90" t="s">
        <v>60</v>
      </c>
      <c r="M373" s="94"/>
      <c r="N373" s="94"/>
      <c r="O373" s="94"/>
      <c r="P373" s="94"/>
      <c r="Q373" s="94"/>
      <c r="R373" s="94"/>
      <c r="S373" s="94"/>
      <c r="T373" s="94"/>
      <c r="U373" s="85">
        <f>(Tabela1[[#This Row],[Informe o KM final do dia]]-Tabela1[[#This Row],[Informe o KM inicial do dia]])-Tabela1[[#This Row],[Caso tenha rodado particular alguma parte do trajeto, informe o total de KM a ser deduzido.]]</f>
        <v>148</v>
      </c>
      <c r="V373" s="86">
        <f>IF(Tabela1[[#This Row],[Informe a data]]&lt;DATE(2026,3,16), Tabela1[[#This Row],[KM Rodado]]*1.1, Tabela1[[#This Row],[KM Rodado]]*1.23)</f>
        <v>182.04</v>
      </c>
      <c r="W373" s="86">
        <f>IFERROR(SUBSTITUTE(Tabela1[[#This Row],[Pedágio]],".",",",1)*1,0)</f>
        <v>0</v>
      </c>
      <c r="X373" s="86">
        <f>IFERROR(SUBSTITUTE(Tabela1[[#This Row],[Estacionamento]],".",",",1)*1,0)</f>
        <v>0</v>
      </c>
      <c r="Y373" s="86">
        <f>IFERROR(SUBSTITUTE(Tabela1[[#This Row],[Despesas Diversas 
(Jantar em viagem, Impressões, Etc)]],".",",",1)*1,0)</f>
        <v>0</v>
      </c>
      <c r="Z373" s="86">
        <f>IFERROR(SUBSTITUTE(Tabela1[[#This Row],[Hospedagem]],".",",",1)*1,0)</f>
        <v>0</v>
      </c>
      <c r="AA373" s="56" t="str">
        <f>IF(DAY(Tabela1[[#This Row],[Informe a data]])&lt;=15,"1ª Quinzena","2ª Quinzena")</f>
        <v>2ª Quinzena</v>
      </c>
      <c r="AB373" s="56" t="str">
        <f>UPPER(TEXT(Tabela1[[#This Row],[Informe a data]],"mmmm"))</f>
        <v>MAIO</v>
      </c>
      <c r="AC373" s="87" t="e">
        <f ca="1">_xlfn.CONCAT(Tabela1[[#This Row],[Selecione o Usuário]]," - ",TEXT(Tabela1[[#This Row],[Informe a data]],"dd-mm-aa"))</f>
        <v>#NAME?</v>
      </c>
    </row>
    <row r="374" spans="1:29">
      <c r="A374" s="89">
        <v>46170.206805555557</v>
      </c>
      <c r="B374" s="90" t="s">
        <v>131</v>
      </c>
      <c r="C374" s="90" t="s">
        <v>132</v>
      </c>
      <c r="D374" s="90" t="s">
        <v>133</v>
      </c>
      <c r="E374" s="91">
        <v>46169</v>
      </c>
      <c r="F374" s="92">
        <v>193736</v>
      </c>
      <c r="G374" s="93" t="s">
        <v>1279</v>
      </c>
      <c r="H374" s="92">
        <v>193769</v>
      </c>
      <c r="I374" s="93" t="s">
        <v>1280</v>
      </c>
      <c r="J374" s="90" t="s">
        <v>1281</v>
      </c>
      <c r="K374" s="94"/>
      <c r="L374" s="90" t="s">
        <v>60</v>
      </c>
      <c r="M374" s="94"/>
      <c r="N374" s="94"/>
      <c r="O374" s="94"/>
      <c r="P374" s="94"/>
      <c r="Q374" s="94"/>
      <c r="R374" s="94"/>
      <c r="S374" s="94"/>
      <c r="T374" s="94"/>
      <c r="U374" s="85">
        <f>(Tabela1[[#This Row],[Informe o KM final do dia]]-Tabela1[[#This Row],[Informe o KM inicial do dia]])-Tabela1[[#This Row],[Caso tenha rodado particular alguma parte do trajeto, informe o total de KM a ser deduzido.]]</f>
        <v>33</v>
      </c>
      <c r="V374" s="86">
        <f>IF(Tabela1[[#This Row],[Informe a data]]&lt;DATE(2026,3,16), Tabela1[[#This Row],[KM Rodado]]*1.1, Tabela1[[#This Row],[KM Rodado]]*1.23)</f>
        <v>40.589999999999996</v>
      </c>
      <c r="W374" s="86">
        <f>IFERROR(SUBSTITUTE(Tabela1[[#This Row],[Pedágio]],".",",",1)*1,0)</f>
        <v>0</v>
      </c>
      <c r="X374" s="86">
        <f>IFERROR(SUBSTITUTE(Tabela1[[#This Row],[Estacionamento]],".",",",1)*1,0)</f>
        <v>0</v>
      </c>
      <c r="Y374" s="86">
        <f>IFERROR(SUBSTITUTE(Tabela1[[#This Row],[Despesas Diversas 
(Jantar em viagem, Impressões, Etc)]],".",",",1)*1,0)</f>
        <v>0</v>
      </c>
      <c r="Z374" s="86">
        <f>IFERROR(SUBSTITUTE(Tabela1[[#This Row],[Hospedagem]],".",",",1)*1,0)</f>
        <v>0</v>
      </c>
      <c r="AA374" s="56" t="str">
        <f>IF(DAY(Tabela1[[#This Row],[Informe a data]])&lt;=15,"1ª Quinzena","2ª Quinzena")</f>
        <v>2ª Quinzena</v>
      </c>
      <c r="AB374" s="56" t="str">
        <f>UPPER(TEXT(Tabela1[[#This Row],[Informe a data]],"mmmm"))</f>
        <v>MAIO</v>
      </c>
      <c r="AC374" s="87" t="e">
        <f ca="1">_xlfn.CONCAT(Tabela1[[#This Row],[Selecione o Usuário]]," - ",TEXT(Tabela1[[#This Row],[Informe a data]],"dd-mm-aa"))</f>
        <v>#NAME?</v>
      </c>
    </row>
    <row r="375" spans="1:29">
      <c r="A375" s="49">
        <v>46170.411412037036</v>
      </c>
      <c r="B375" s="50" t="s">
        <v>1174</v>
      </c>
      <c r="C375" s="50" t="s">
        <v>134</v>
      </c>
      <c r="D375" s="50" t="s">
        <v>1282</v>
      </c>
      <c r="E375" s="51">
        <v>46169</v>
      </c>
      <c r="F375" s="52">
        <v>231207</v>
      </c>
      <c r="G375" s="58" t="s">
        <v>1283</v>
      </c>
      <c r="H375" s="52">
        <v>231269</v>
      </c>
      <c r="I375" s="58" t="s">
        <v>1284</v>
      </c>
      <c r="J375" s="50" t="s">
        <v>1285</v>
      </c>
      <c r="K375" s="53"/>
      <c r="L375" s="50" t="s">
        <v>60</v>
      </c>
      <c r="M375" s="53"/>
      <c r="N375" s="53"/>
      <c r="O375" s="53"/>
      <c r="P375" s="53"/>
      <c r="Q375" s="53"/>
      <c r="R375" s="53"/>
      <c r="S375" s="53"/>
      <c r="T375" s="53"/>
      <c r="U375" s="85">
        <f>(Tabela1[[#This Row],[Informe o KM final do dia]]-Tabela1[[#This Row],[Informe o KM inicial do dia]])-Tabela1[[#This Row],[Caso tenha rodado particular alguma parte do trajeto, informe o total de KM a ser deduzido.]]</f>
        <v>62</v>
      </c>
      <c r="V375" s="86">
        <f>IF(Tabela1[[#This Row],[Informe a data]]&lt;DATE(2026,3,16), Tabela1[[#This Row],[KM Rodado]]*1.1, Tabela1[[#This Row],[KM Rodado]]*1.23)</f>
        <v>76.260000000000005</v>
      </c>
      <c r="W375" s="86">
        <f>IFERROR(SUBSTITUTE(Tabela1[[#This Row],[Pedágio]],".",",",1)*1,0)</f>
        <v>0</v>
      </c>
      <c r="X375" s="86">
        <f>IFERROR(SUBSTITUTE(Tabela1[[#This Row],[Estacionamento]],".",",",1)*1,0)</f>
        <v>0</v>
      </c>
      <c r="Y375" s="86">
        <f>IFERROR(SUBSTITUTE(Tabela1[[#This Row],[Despesas Diversas 
(Jantar em viagem, Impressões, Etc)]],".",",",1)*1,0)</f>
        <v>0</v>
      </c>
      <c r="Z375" s="86">
        <f>IFERROR(SUBSTITUTE(Tabela1[[#This Row],[Hospedagem]],".",",",1)*1,0)</f>
        <v>0</v>
      </c>
      <c r="AA375" s="56" t="str">
        <f>IF(DAY(Tabela1[[#This Row],[Informe a data]])&lt;=15,"1ª Quinzena","2ª Quinzena")</f>
        <v>2ª Quinzena</v>
      </c>
      <c r="AB375" s="56" t="str">
        <f>UPPER(TEXT(Tabela1[[#This Row],[Informe a data]],"mmmm"))</f>
        <v>MAIO</v>
      </c>
      <c r="AC375" s="87" t="e">
        <f ca="1">_xlfn.CONCAT(Tabela1[[#This Row],[Selecione o Usuário]]," - ",TEXT(Tabela1[[#This Row],[Informe a data]],"dd-mm-aa"))</f>
        <v>#NAME?</v>
      </c>
    </row>
    <row r="376" spans="1:29">
      <c r="A376" s="49">
        <v>46173.810763888891</v>
      </c>
      <c r="B376" s="50" t="s">
        <v>140</v>
      </c>
      <c r="C376" s="50" t="s">
        <v>141</v>
      </c>
      <c r="D376" s="50" t="s">
        <v>169</v>
      </c>
      <c r="E376" s="51">
        <v>46169</v>
      </c>
      <c r="F376" s="52">
        <v>60654</v>
      </c>
      <c r="G376" s="53"/>
      <c r="H376" s="52">
        <v>60677</v>
      </c>
      <c r="I376" s="53"/>
      <c r="J376" s="50" t="s">
        <v>1317</v>
      </c>
      <c r="K376" s="53"/>
      <c r="L376" s="50" t="s">
        <v>60</v>
      </c>
      <c r="M376" s="53"/>
      <c r="N376" s="53"/>
      <c r="O376" s="53"/>
      <c r="P376" s="53"/>
      <c r="Q376" s="53"/>
      <c r="R376" s="53"/>
      <c r="S376" s="53"/>
      <c r="T376" s="53"/>
      <c r="U376" s="85">
        <f>(Tabela1[[#This Row],[Informe o KM final do dia]]-Tabela1[[#This Row],[Informe o KM inicial do dia]])-Tabela1[[#This Row],[Caso tenha rodado particular alguma parte do trajeto, informe o total de KM a ser deduzido.]]</f>
        <v>23</v>
      </c>
      <c r="V376" s="86">
        <f>IF(Tabela1[[#This Row],[Informe a data]]&lt;DATE(2026,3,16), Tabela1[[#This Row],[KM Rodado]]*1.1, Tabela1[[#This Row],[KM Rodado]]*1.23)</f>
        <v>28.29</v>
      </c>
      <c r="W376" s="86">
        <f>IFERROR(SUBSTITUTE(Tabela1[[#This Row],[Pedágio]],".",",",1)*1,0)</f>
        <v>0</v>
      </c>
      <c r="X376" s="86">
        <f>IFERROR(SUBSTITUTE(Tabela1[[#This Row],[Estacionamento]],".",",",1)*1,0)</f>
        <v>0</v>
      </c>
      <c r="Y376" s="86">
        <f>IFERROR(SUBSTITUTE(Tabela1[[#This Row],[Despesas Diversas 
(Jantar em viagem, Impressões, Etc)]],".",",",1)*1,0)</f>
        <v>0</v>
      </c>
      <c r="Z376" s="86">
        <f>IFERROR(SUBSTITUTE(Tabela1[[#This Row],[Hospedagem]],".",",",1)*1,0)</f>
        <v>0</v>
      </c>
      <c r="AA376" s="56" t="str">
        <f>IF(DAY(Tabela1[[#This Row],[Informe a data]])&lt;=15,"1ª Quinzena","2ª Quinzena")</f>
        <v>2ª Quinzena</v>
      </c>
      <c r="AB376" s="56" t="str">
        <f>UPPER(TEXT(Tabela1[[#This Row],[Informe a data]],"mmmm"))</f>
        <v>MAIO</v>
      </c>
      <c r="AC376" s="87" t="e">
        <f ca="1">_xlfn.CONCAT(Tabela1[[#This Row],[Selecione o Usuário]]," - ",TEXT(Tabela1[[#This Row],[Informe a data]],"dd-mm-aa"))</f>
        <v>#NAME?</v>
      </c>
    </row>
    <row r="377" spans="1:29">
      <c r="A377" s="49">
        <v>46170.821516203701</v>
      </c>
      <c r="B377" s="50" t="s">
        <v>131</v>
      </c>
      <c r="C377" s="50" t="s">
        <v>132</v>
      </c>
      <c r="D377" s="50" t="s">
        <v>133</v>
      </c>
      <c r="E377" s="51">
        <v>46170</v>
      </c>
      <c r="F377" s="52">
        <v>193769</v>
      </c>
      <c r="G377" s="58" t="s">
        <v>1289</v>
      </c>
      <c r="H377" s="52">
        <v>193805</v>
      </c>
      <c r="I377" s="58" t="s">
        <v>1290</v>
      </c>
      <c r="J377" s="50" t="s">
        <v>1291</v>
      </c>
      <c r="K377" s="53"/>
      <c r="L377" s="50" t="s">
        <v>60</v>
      </c>
      <c r="M377" s="53"/>
      <c r="N377" s="53"/>
      <c r="O377" s="53"/>
      <c r="P377" s="53"/>
      <c r="Q377" s="53"/>
      <c r="R377" s="53"/>
      <c r="S377" s="53"/>
      <c r="T377" s="53"/>
      <c r="U377" s="85">
        <f>(Tabela1[[#This Row],[Informe o KM final do dia]]-Tabela1[[#This Row],[Informe o KM inicial do dia]])-Tabela1[[#This Row],[Caso tenha rodado particular alguma parte do trajeto, informe o total de KM a ser deduzido.]]</f>
        <v>36</v>
      </c>
      <c r="V377" s="86">
        <f>IF(Tabela1[[#This Row],[Informe a data]]&lt;DATE(2026,3,16), Tabela1[[#This Row],[KM Rodado]]*1.1, Tabela1[[#This Row],[KM Rodado]]*1.23)</f>
        <v>44.28</v>
      </c>
      <c r="W377" s="86">
        <f>IFERROR(SUBSTITUTE(Tabela1[[#This Row],[Pedágio]],".",",",1)*1,0)</f>
        <v>0</v>
      </c>
      <c r="X377" s="86">
        <f>IFERROR(SUBSTITUTE(Tabela1[[#This Row],[Estacionamento]],".",",",1)*1,0)</f>
        <v>0</v>
      </c>
      <c r="Y377" s="86">
        <f>IFERROR(SUBSTITUTE(Tabela1[[#This Row],[Despesas Diversas 
(Jantar em viagem, Impressões, Etc)]],".",",",1)*1,0)</f>
        <v>0</v>
      </c>
      <c r="Z377" s="86">
        <f>IFERROR(SUBSTITUTE(Tabela1[[#This Row],[Hospedagem]],".",",",1)*1,0)</f>
        <v>0</v>
      </c>
      <c r="AA377" s="56" t="str">
        <f>IF(DAY(Tabela1[[#This Row],[Informe a data]])&lt;=15,"1ª Quinzena","2ª Quinzena")</f>
        <v>2ª Quinzena</v>
      </c>
      <c r="AB377" s="56" t="str">
        <f>UPPER(TEXT(Tabela1[[#This Row],[Informe a data]],"mmmm"))</f>
        <v>MAIO</v>
      </c>
      <c r="AC377" s="87" t="e">
        <f ca="1">_xlfn.CONCAT(Tabela1[[#This Row],[Selecione o Usuário]]," - ",TEXT(Tabela1[[#This Row],[Informe a data]],"dd-mm-aa"))</f>
        <v>#NAME?</v>
      </c>
    </row>
    <row r="378" spans="1:29">
      <c r="A378" s="49">
        <v>46172.028784722221</v>
      </c>
      <c r="B378" s="50" t="s">
        <v>176</v>
      </c>
      <c r="C378" s="50" t="s">
        <v>136</v>
      </c>
      <c r="D378" s="50" t="s">
        <v>177</v>
      </c>
      <c r="E378" s="51">
        <v>46170</v>
      </c>
      <c r="F378" s="52">
        <v>173377</v>
      </c>
      <c r="G378" s="58" t="s">
        <v>1307</v>
      </c>
      <c r="H378" s="52">
        <v>173541</v>
      </c>
      <c r="I378" s="58" t="s">
        <v>1308</v>
      </c>
      <c r="J378" s="50" t="s">
        <v>1309</v>
      </c>
      <c r="K378" s="53"/>
      <c r="L378" s="50" t="s">
        <v>60</v>
      </c>
      <c r="M378" s="53"/>
      <c r="N378" s="53"/>
      <c r="O378" s="53"/>
      <c r="P378" s="53"/>
      <c r="Q378" s="53"/>
      <c r="R378" s="53"/>
      <c r="S378" s="53"/>
      <c r="T378" s="53"/>
      <c r="U378" s="85">
        <f>(Tabela1[[#This Row],[Informe o KM final do dia]]-Tabela1[[#This Row],[Informe o KM inicial do dia]])-Tabela1[[#This Row],[Caso tenha rodado particular alguma parte do trajeto, informe o total de KM a ser deduzido.]]</f>
        <v>164</v>
      </c>
      <c r="V378" s="86">
        <f>IF(Tabela1[[#This Row],[Informe a data]]&lt;DATE(2026,3,16), Tabela1[[#This Row],[KM Rodado]]*1.1, Tabela1[[#This Row],[KM Rodado]]*1.23)</f>
        <v>201.72</v>
      </c>
      <c r="W378" s="86">
        <f>IFERROR(SUBSTITUTE(Tabela1[[#This Row],[Pedágio]],".",",",1)*1,0)</f>
        <v>0</v>
      </c>
      <c r="X378" s="86">
        <f>IFERROR(SUBSTITUTE(Tabela1[[#This Row],[Estacionamento]],".",",",1)*1,0)</f>
        <v>0</v>
      </c>
      <c r="Y378" s="86">
        <f>IFERROR(SUBSTITUTE(Tabela1[[#This Row],[Despesas Diversas 
(Jantar em viagem, Impressões, Etc)]],".",",",1)*1,0)</f>
        <v>0</v>
      </c>
      <c r="Z378" s="86">
        <f>IFERROR(SUBSTITUTE(Tabela1[[#This Row],[Hospedagem]],".",",",1)*1,0)</f>
        <v>0</v>
      </c>
      <c r="AA378" s="56" t="str">
        <f>IF(DAY(Tabela1[[#This Row],[Informe a data]])&lt;=15,"1ª Quinzena","2ª Quinzena")</f>
        <v>2ª Quinzena</v>
      </c>
      <c r="AB378" s="56" t="str">
        <f>UPPER(TEXT(Tabela1[[#This Row],[Informe a data]],"mmmm"))</f>
        <v>MAIO</v>
      </c>
      <c r="AC378" s="87" t="e">
        <f ca="1">_xlfn.CONCAT(Tabela1[[#This Row],[Selecione o Usuário]]," - ",TEXT(Tabela1[[#This Row],[Informe a data]],"dd-mm-aa"))</f>
        <v>#NAME?</v>
      </c>
    </row>
    <row r="379" spans="1:29">
      <c r="A379" s="89">
        <v>46172.394247685188</v>
      </c>
      <c r="B379" s="90" t="s">
        <v>131</v>
      </c>
      <c r="C379" s="90" t="s">
        <v>132</v>
      </c>
      <c r="D379" s="90" t="s">
        <v>133</v>
      </c>
      <c r="E379" s="91">
        <v>46171</v>
      </c>
      <c r="F379" s="92">
        <v>193805</v>
      </c>
      <c r="G379" s="93" t="s">
        <v>1310</v>
      </c>
      <c r="H379" s="92">
        <v>193849</v>
      </c>
      <c r="I379" s="93" t="s">
        <v>1311</v>
      </c>
      <c r="J379" s="90" t="s">
        <v>1312</v>
      </c>
      <c r="K379" s="94"/>
      <c r="L379" s="90" t="s">
        <v>60</v>
      </c>
      <c r="M379" s="94"/>
      <c r="N379" s="94"/>
      <c r="O379" s="94"/>
      <c r="P379" s="94"/>
      <c r="Q379" s="94"/>
      <c r="R379" s="94"/>
      <c r="S379" s="94"/>
      <c r="T379" s="94"/>
      <c r="U379" s="85">
        <f>(Tabela1[[#This Row],[Informe o KM final do dia]]-Tabela1[[#This Row],[Informe o KM inicial do dia]])-Tabela1[[#This Row],[Caso tenha rodado particular alguma parte do trajeto, informe o total de KM a ser deduzido.]]</f>
        <v>44</v>
      </c>
      <c r="V379" s="86">
        <f>IF(Tabela1[[#This Row],[Informe a data]]&lt;DATE(2026,3,16), Tabela1[[#This Row],[KM Rodado]]*1.1, Tabela1[[#This Row],[KM Rodado]]*1.23)</f>
        <v>54.12</v>
      </c>
      <c r="W379" s="86">
        <f>IFERROR(SUBSTITUTE(Tabela1[[#This Row],[Pedágio]],".",",",1)*1,0)</f>
        <v>0</v>
      </c>
      <c r="X379" s="86">
        <f>IFERROR(SUBSTITUTE(Tabela1[[#This Row],[Estacionamento]],".",",",1)*1,0)</f>
        <v>0</v>
      </c>
      <c r="Y379" s="86">
        <f>IFERROR(SUBSTITUTE(Tabela1[[#This Row],[Despesas Diversas 
(Jantar em viagem, Impressões, Etc)]],".",",",1)*1,0)</f>
        <v>0</v>
      </c>
      <c r="Z379" s="86">
        <f>IFERROR(SUBSTITUTE(Tabela1[[#This Row],[Hospedagem]],".",",",1)*1,0)</f>
        <v>0</v>
      </c>
      <c r="AA379" s="56" t="str">
        <f>IF(DAY(Tabela1[[#This Row],[Informe a data]])&lt;=15,"1ª Quinzena","2ª Quinzena")</f>
        <v>2ª Quinzena</v>
      </c>
      <c r="AB379" s="56" t="str">
        <f>UPPER(TEXT(Tabela1[[#This Row],[Informe a data]],"mmmm"))</f>
        <v>MAIO</v>
      </c>
      <c r="AC379" s="87" t="e">
        <f ca="1">_xlfn.CONCAT(Tabela1[[#This Row],[Selecione o Usuário]]," - ",TEXT(Tabela1[[#This Row],[Informe a data]],"dd-mm-aa"))</f>
        <v>#NAME?</v>
      </c>
    </row>
    <row r="380" spans="1:29">
      <c r="A380" s="89">
        <v>46171.683761574073</v>
      </c>
      <c r="B380" s="90" t="s">
        <v>1260</v>
      </c>
      <c r="C380" s="90" t="s">
        <v>505</v>
      </c>
      <c r="D380" s="90" t="s">
        <v>551</v>
      </c>
      <c r="E380" s="91">
        <v>46171</v>
      </c>
      <c r="F380" s="92">
        <v>105722</v>
      </c>
      <c r="G380" s="93" t="s">
        <v>1292</v>
      </c>
      <c r="H380" s="92">
        <v>105799</v>
      </c>
      <c r="I380" s="93" t="s">
        <v>1293</v>
      </c>
      <c r="J380" s="90" t="s">
        <v>1294</v>
      </c>
      <c r="K380" s="94"/>
      <c r="L380" s="90" t="s">
        <v>60</v>
      </c>
      <c r="M380" s="94"/>
      <c r="N380" s="94"/>
      <c r="O380" s="94"/>
      <c r="P380" s="94"/>
      <c r="Q380" s="94"/>
      <c r="R380" s="94"/>
      <c r="S380" s="94"/>
      <c r="T380" s="94"/>
      <c r="U380" s="85">
        <f>(Tabela1[[#This Row],[Informe o KM final do dia]]-Tabela1[[#This Row],[Informe o KM inicial do dia]])-Tabela1[[#This Row],[Caso tenha rodado particular alguma parte do trajeto, informe o total de KM a ser deduzido.]]</f>
        <v>77</v>
      </c>
      <c r="V380" s="86">
        <f>IF(Tabela1[[#This Row],[Informe a data]]&lt;DATE(2026,3,16), Tabela1[[#This Row],[KM Rodado]]*1.1, Tabela1[[#This Row],[KM Rodado]]*1.23)</f>
        <v>94.71</v>
      </c>
      <c r="W380" s="86">
        <f>IFERROR(SUBSTITUTE(Tabela1[[#This Row],[Pedágio]],".",",",1)*1,0)</f>
        <v>0</v>
      </c>
      <c r="X380" s="86">
        <f>IFERROR(SUBSTITUTE(Tabela1[[#This Row],[Estacionamento]],".",",",1)*1,0)</f>
        <v>0</v>
      </c>
      <c r="Y380" s="86">
        <f>IFERROR(SUBSTITUTE(Tabela1[[#This Row],[Despesas Diversas 
(Jantar em viagem, Impressões, Etc)]],".",",",1)*1,0)</f>
        <v>0</v>
      </c>
      <c r="Z380" s="86">
        <f>IFERROR(SUBSTITUTE(Tabela1[[#This Row],[Hospedagem]],".",",",1)*1,0)</f>
        <v>0</v>
      </c>
      <c r="AA380" s="56" t="str">
        <f>IF(DAY(Tabela1[[#This Row],[Informe a data]])&lt;=15,"1ª Quinzena","2ª Quinzena")</f>
        <v>2ª Quinzena</v>
      </c>
      <c r="AB380" s="56" t="str">
        <f>UPPER(TEXT(Tabela1[[#This Row],[Informe a data]],"mmmm"))</f>
        <v>MAIO</v>
      </c>
      <c r="AC380" s="87" t="e">
        <f ca="1">_xlfn.CONCAT(Tabela1[[#This Row],[Selecione o Usuário]]," - ",TEXT(Tabela1[[#This Row],[Informe a data]],"dd-mm-aa"))</f>
        <v>#NAME?</v>
      </c>
    </row>
    <row r="381" spans="1:29">
      <c r="A381" s="110">
        <v>46172.491446759261</v>
      </c>
      <c r="B381" s="106" t="s">
        <v>131</v>
      </c>
      <c r="C381" s="106" t="s">
        <v>132</v>
      </c>
      <c r="D381" s="106" t="s">
        <v>133</v>
      </c>
      <c r="E381" s="107">
        <v>46172</v>
      </c>
      <c r="F381" s="108">
        <v>192589</v>
      </c>
      <c r="G381" s="109"/>
      <c r="H381" s="108">
        <v>192711</v>
      </c>
      <c r="I381" s="109"/>
      <c r="J381" s="106" t="s">
        <v>1313</v>
      </c>
      <c r="K381" s="109"/>
      <c r="L381" s="106" t="s">
        <v>60</v>
      </c>
      <c r="M381" s="109"/>
      <c r="N381" s="109"/>
      <c r="O381" s="109"/>
      <c r="P381" s="109"/>
      <c r="Q381" s="109"/>
      <c r="R381" s="109"/>
      <c r="S381" s="109"/>
      <c r="T381" s="109"/>
      <c r="U381" s="95">
        <f>(Tabela1[[#This Row],[Informe o KM final do dia]]-Tabela1[[#This Row],[Informe o KM inicial do dia]])-Tabela1[[#This Row],[Caso tenha rodado particular alguma parte do trajeto, informe o total de KM a ser deduzido.]]</f>
        <v>122</v>
      </c>
      <c r="V381" s="97">
        <f>IF(Tabela1[[#This Row],[Informe a data]]&lt;DATE(2026,3,16), Tabela1[[#This Row],[KM Rodado]]*1.1, Tabela1[[#This Row],[KM Rodado]]*1.23)</f>
        <v>150.06</v>
      </c>
      <c r="W381" s="97">
        <f>IFERROR(SUBSTITUTE(Tabela1[[#This Row],[Pedágio]],".",",",1)*1,0)</f>
        <v>0</v>
      </c>
      <c r="X381" s="97">
        <f>IFERROR(SUBSTITUTE(Tabela1[[#This Row],[Estacionamento]],".",",",1)*1,0)</f>
        <v>0</v>
      </c>
      <c r="Y381" s="97">
        <f>IFERROR(SUBSTITUTE(Tabela1[[#This Row],[Despesas Diversas 
(Jantar em viagem, Impressões, Etc)]],".",",",1)*1,0)</f>
        <v>0</v>
      </c>
      <c r="Z381" s="97">
        <f>IFERROR(SUBSTITUTE(Tabela1[[#This Row],[Hospedagem]],".",",",1)*1,0)</f>
        <v>0</v>
      </c>
      <c r="AA381" s="98" t="str">
        <f>IF(DAY(Tabela1[[#This Row],[Informe a data]])&lt;=15,"1ª Quinzena","2ª Quinzena")</f>
        <v>2ª Quinzena</v>
      </c>
      <c r="AB381" s="98" t="str">
        <f>UPPER(TEXT(Tabela1[[#This Row],[Informe a data]],"mmmm"))</f>
        <v>MAIO</v>
      </c>
      <c r="AC381" s="99" t="e">
        <f ca="1">_xlfn.CONCAT(Tabela1[[#This Row],[Selecione o Usuário]]," - ",TEXT(Tabela1[[#This Row],[Informe a data]],"dd-mm-aa"))</f>
        <v>#NAME?</v>
      </c>
    </row>
    <row r="382" spans="1:29">
      <c r="A382" s="89">
        <v>46178.441099537034</v>
      </c>
      <c r="B382" s="90" t="s">
        <v>1116</v>
      </c>
      <c r="C382" s="90" t="s">
        <v>559</v>
      </c>
      <c r="D382" s="90" t="s">
        <v>560</v>
      </c>
      <c r="E382" s="91">
        <v>46174</v>
      </c>
      <c r="F382" s="92">
        <v>80913</v>
      </c>
      <c r="G382" s="94"/>
      <c r="H382" s="92">
        <v>81058</v>
      </c>
      <c r="I382" s="94"/>
      <c r="J382" s="90" t="s">
        <v>1330</v>
      </c>
      <c r="K382" s="94"/>
      <c r="L382" s="90" t="s">
        <v>60</v>
      </c>
      <c r="M382" s="94"/>
      <c r="N382" s="94"/>
      <c r="O382" s="94"/>
      <c r="P382" s="94"/>
      <c r="Q382" s="94"/>
      <c r="R382" s="94"/>
      <c r="S382" s="94"/>
      <c r="T382" s="94"/>
      <c r="U382" s="85">
        <f>(Tabela1[[#This Row],[Informe o KM final do dia]]-Tabela1[[#This Row],[Informe o KM inicial do dia]])-Tabela1[[#This Row],[Caso tenha rodado particular alguma parte do trajeto, informe o total de KM a ser deduzido.]]</f>
        <v>145</v>
      </c>
      <c r="V382" s="86">
        <f>IF(Tabela1[[#This Row],[Informe a data]]&lt;DATE(2026,3,16), Tabela1[[#This Row],[KM Rodado]]*1.1, Tabela1[[#This Row],[KM Rodado]]*1.23)</f>
        <v>178.35</v>
      </c>
      <c r="W382" s="86">
        <f>IFERROR(SUBSTITUTE(Tabela1[[#This Row],[Pedágio]],".",",",1)*1,0)</f>
        <v>0</v>
      </c>
      <c r="X382" s="86">
        <f>IFERROR(SUBSTITUTE(Tabela1[[#This Row],[Estacionamento]],".",",",1)*1,0)</f>
        <v>0</v>
      </c>
      <c r="Y382" s="86">
        <f>IFERROR(SUBSTITUTE(Tabela1[[#This Row],[Despesas Diversas 
(Jantar em viagem, Impressões, Etc)]],".",",",1)*1,0)</f>
        <v>0</v>
      </c>
      <c r="Z382" s="86">
        <f>IFERROR(SUBSTITUTE(Tabela1[[#This Row],[Hospedagem]],".",",",1)*1,0)</f>
        <v>0</v>
      </c>
      <c r="AA382" s="56" t="str">
        <f>IF(DAY(Tabela1[[#This Row],[Informe a data]])&lt;=15,"1ª Quinzena","2ª Quinzena")</f>
        <v>1ª Quinzena</v>
      </c>
      <c r="AB382" s="56" t="str">
        <f>UPPER(TEXT(Tabela1[[#This Row],[Informe a data]],"mmmm"))</f>
        <v>JUNHO</v>
      </c>
      <c r="AC382" s="87" t="e">
        <f ca="1">_xlfn.CONCAT(Tabela1[[#This Row],[Selecione o Usuário]]," - ",TEXT(Tabela1[[#This Row],[Informe a data]],"dd-mm-aa"))</f>
        <v>#NAME?</v>
      </c>
    </row>
    <row r="383" spans="1:29">
      <c r="A383" s="89">
        <v>46174.74417824074</v>
      </c>
      <c r="B383" s="90" t="s">
        <v>131</v>
      </c>
      <c r="C383" s="90" t="s">
        <v>132</v>
      </c>
      <c r="D383" s="90" t="s">
        <v>133</v>
      </c>
      <c r="E383" s="91">
        <v>46174</v>
      </c>
      <c r="F383" s="92">
        <v>193067</v>
      </c>
      <c r="G383" s="94"/>
      <c r="H383" s="92">
        <v>193473</v>
      </c>
      <c r="I383" s="94"/>
      <c r="J383" s="90" t="s">
        <v>1319</v>
      </c>
      <c r="K383" s="94"/>
      <c r="L383" s="90" t="s">
        <v>61</v>
      </c>
      <c r="M383" s="90" t="s">
        <v>1192</v>
      </c>
      <c r="N383" s="94"/>
      <c r="O383" s="94"/>
      <c r="P383" s="94"/>
      <c r="Q383" s="94"/>
      <c r="R383" s="94"/>
      <c r="S383" s="94"/>
      <c r="T383" s="94"/>
      <c r="U383" s="85">
        <f>(Tabela1[[#This Row],[Informe o KM final do dia]]-Tabela1[[#This Row],[Informe o KM inicial do dia]])-Tabela1[[#This Row],[Caso tenha rodado particular alguma parte do trajeto, informe o total de KM a ser deduzido.]]</f>
        <v>406</v>
      </c>
      <c r="V383" s="86">
        <f>IF(Tabela1[[#This Row],[Informe a data]]&lt;DATE(2026,3,16), Tabela1[[#This Row],[KM Rodado]]*1.1, Tabela1[[#This Row],[KM Rodado]]*1.23)</f>
        <v>499.38</v>
      </c>
      <c r="W383" s="86">
        <f>IFERROR(SUBSTITUTE(Tabela1[[#This Row],[Pedágio]],".",",",1)*1,0)</f>
        <v>23.4</v>
      </c>
      <c r="X383" s="86">
        <f>IFERROR(SUBSTITUTE(Tabela1[[#This Row],[Estacionamento]],".",",",1)*1,0)</f>
        <v>0</v>
      </c>
      <c r="Y383" s="86">
        <f>IFERROR(SUBSTITUTE(Tabela1[[#This Row],[Despesas Diversas 
(Jantar em viagem, Impressões, Etc)]],".",",",1)*1,0)</f>
        <v>0</v>
      </c>
      <c r="Z383" s="86">
        <f>IFERROR(SUBSTITUTE(Tabela1[[#This Row],[Hospedagem]],".",",",1)*1,0)</f>
        <v>0</v>
      </c>
      <c r="AA383" s="56" t="str">
        <f>IF(DAY(Tabela1[[#This Row],[Informe a data]])&lt;=15,"1ª Quinzena","2ª Quinzena")</f>
        <v>1ª Quinzena</v>
      </c>
      <c r="AB383" s="56" t="str">
        <f>UPPER(TEXT(Tabela1[[#This Row],[Informe a data]],"mmmm"))</f>
        <v>JUNHO</v>
      </c>
      <c r="AC383" s="87" t="e">
        <f ca="1">_xlfn.CONCAT(Tabela1[[#This Row],[Selecione o Usuário]]," - ",TEXT(Tabela1[[#This Row],[Informe a data]],"dd-mm-aa"))</f>
        <v>#NAME?</v>
      </c>
    </row>
    <row r="384" spans="1:29">
      <c r="A384" s="89">
        <v>46181.62672453704</v>
      </c>
      <c r="B384" s="90" t="s">
        <v>300</v>
      </c>
      <c r="C384" s="90" t="s">
        <v>250</v>
      </c>
      <c r="D384" s="90" t="s">
        <v>228</v>
      </c>
      <c r="E384" s="91">
        <v>46174</v>
      </c>
      <c r="F384" s="92">
        <v>131407</v>
      </c>
      <c r="G384" s="93" t="s">
        <v>1336</v>
      </c>
      <c r="H384" s="92">
        <v>131533</v>
      </c>
      <c r="I384" s="93" t="s">
        <v>1337</v>
      </c>
      <c r="J384" s="90" t="s">
        <v>1338</v>
      </c>
      <c r="K384" s="94"/>
      <c r="L384" s="90" t="s">
        <v>60</v>
      </c>
      <c r="M384" s="94"/>
      <c r="N384" s="94"/>
      <c r="O384" s="94"/>
      <c r="P384" s="94"/>
      <c r="Q384" s="94"/>
      <c r="R384" s="94"/>
      <c r="S384" s="94"/>
      <c r="T384" s="94"/>
      <c r="U384" s="85">
        <f>(Tabela1[[#This Row],[Informe o KM final do dia]]-Tabela1[[#This Row],[Informe o KM inicial do dia]])-Tabela1[[#This Row],[Caso tenha rodado particular alguma parte do trajeto, informe o total de KM a ser deduzido.]]</f>
        <v>126</v>
      </c>
      <c r="V384" s="86">
        <f>IF(Tabela1[[#This Row],[Informe a data]]&lt;DATE(2026,3,16), Tabela1[[#This Row],[KM Rodado]]*1.1, Tabela1[[#This Row],[KM Rodado]]*1.23)</f>
        <v>154.97999999999999</v>
      </c>
      <c r="W384" s="86">
        <f>IFERROR(SUBSTITUTE(Tabela1[[#This Row],[Pedágio]],".",",",1)*1,0)</f>
        <v>0</v>
      </c>
      <c r="X384" s="86">
        <f>IFERROR(SUBSTITUTE(Tabela1[[#This Row],[Estacionamento]],".",",",1)*1,0)</f>
        <v>0</v>
      </c>
      <c r="Y384" s="86">
        <f>IFERROR(SUBSTITUTE(Tabela1[[#This Row],[Despesas Diversas 
(Jantar em viagem, Impressões, Etc)]],".",",",1)*1,0)</f>
        <v>0</v>
      </c>
      <c r="Z384" s="86">
        <f>IFERROR(SUBSTITUTE(Tabela1[[#This Row],[Hospedagem]],".",",",1)*1,0)</f>
        <v>0</v>
      </c>
      <c r="AA384" s="56" t="str">
        <f>IF(DAY(Tabela1[[#This Row],[Informe a data]])&lt;=15,"1ª Quinzena","2ª Quinzena")</f>
        <v>1ª Quinzena</v>
      </c>
      <c r="AB384" s="56" t="str">
        <f>UPPER(TEXT(Tabela1[[#This Row],[Informe a data]],"mmmm"))</f>
        <v>JUNHO</v>
      </c>
      <c r="AC384" s="87" t="e">
        <f ca="1">_xlfn.CONCAT(Tabela1[[#This Row],[Selecione o Usuário]]," - ",TEXT(Tabela1[[#This Row],[Informe a data]],"dd-mm-aa"))</f>
        <v>#NAME?</v>
      </c>
    </row>
    <row r="385" spans="1:29">
      <c r="A385" s="49">
        <v>46178.443796296298</v>
      </c>
      <c r="B385" s="50" t="s">
        <v>1116</v>
      </c>
      <c r="C385" s="50" t="s">
        <v>559</v>
      </c>
      <c r="D385" s="50" t="s">
        <v>560</v>
      </c>
      <c r="E385" s="51">
        <v>46175</v>
      </c>
      <c r="F385" s="52">
        <v>81225</v>
      </c>
      <c r="G385" s="53"/>
      <c r="H385" s="52">
        <v>81423</v>
      </c>
      <c r="I385" s="53"/>
      <c r="J385" s="50" t="s">
        <v>1331</v>
      </c>
      <c r="K385" s="53"/>
      <c r="L385" s="50" t="s">
        <v>60</v>
      </c>
      <c r="M385" s="53"/>
      <c r="N385" s="53"/>
      <c r="O385" s="53"/>
      <c r="P385" s="53"/>
      <c r="Q385" s="53"/>
      <c r="R385" s="53"/>
      <c r="S385" s="53"/>
      <c r="T385" s="53"/>
      <c r="U385" s="85">
        <f>(Tabela1[[#This Row],[Informe o KM final do dia]]-Tabela1[[#This Row],[Informe o KM inicial do dia]])-Tabela1[[#This Row],[Caso tenha rodado particular alguma parte do trajeto, informe o total de KM a ser deduzido.]]</f>
        <v>198</v>
      </c>
      <c r="V385" s="86">
        <f>IF(Tabela1[[#This Row],[Informe a data]]&lt;DATE(2026,3,16), Tabela1[[#This Row],[KM Rodado]]*1.1, Tabela1[[#This Row],[KM Rodado]]*1.23)</f>
        <v>243.54</v>
      </c>
      <c r="W385" s="86">
        <f>IFERROR(SUBSTITUTE(Tabela1[[#This Row],[Pedágio]],".",",",1)*1,0)</f>
        <v>0</v>
      </c>
      <c r="X385" s="86">
        <f>IFERROR(SUBSTITUTE(Tabela1[[#This Row],[Estacionamento]],".",",",1)*1,0)</f>
        <v>0</v>
      </c>
      <c r="Y385" s="86">
        <f>IFERROR(SUBSTITUTE(Tabela1[[#This Row],[Despesas Diversas 
(Jantar em viagem, Impressões, Etc)]],".",",",1)*1,0)</f>
        <v>0</v>
      </c>
      <c r="Z385" s="86">
        <f>IFERROR(SUBSTITUTE(Tabela1[[#This Row],[Hospedagem]],".",",",1)*1,0)</f>
        <v>0</v>
      </c>
      <c r="AA385" s="56" t="str">
        <f>IF(DAY(Tabela1[[#This Row],[Informe a data]])&lt;=15,"1ª Quinzena","2ª Quinzena")</f>
        <v>1ª Quinzena</v>
      </c>
      <c r="AB385" s="56" t="str">
        <f>UPPER(TEXT(Tabela1[[#This Row],[Informe a data]],"mmmm"))</f>
        <v>JUNHO</v>
      </c>
      <c r="AC385" s="87" t="e">
        <f ca="1">_xlfn.CONCAT(Tabela1[[#This Row],[Selecione o Usuário]]," - ",TEXT(Tabela1[[#This Row],[Informe a data]],"dd-mm-aa"))</f>
        <v>#NAME?</v>
      </c>
    </row>
    <row r="386" spans="1:29">
      <c r="A386" s="89">
        <v>46176.333611111113</v>
      </c>
      <c r="B386" s="90" t="s">
        <v>131</v>
      </c>
      <c r="C386" s="90" t="s">
        <v>132</v>
      </c>
      <c r="D386" s="90" t="s">
        <v>133</v>
      </c>
      <c r="E386" s="91">
        <v>46175</v>
      </c>
      <c r="F386" s="92">
        <v>193857</v>
      </c>
      <c r="G386" s="93" t="s">
        <v>1323</v>
      </c>
      <c r="H386" s="92">
        <v>193877</v>
      </c>
      <c r="I386" s="93" t="s">
        <v>1324</v>
      </c>
      <c r="J386" s="90" t="s">
        <v>1325</v>
      </c>
      <c r="K386" s="94"/>
      <c r="L386" s="90" t="s">
        <v>60</v>
      </c>
      <c r="M386" s="94"/>
      <c r="N386" s="94"/>
      <c r="O386" s="94"/>
      <c r="P386" s="94"/>
      <c r="Q386" s="94"/>
      <c r="R386" s="94"/>
      <c r="S386" s="94"/>
      <c r="T386" s="94"/>
      <c r="U386" s="85">
        <f>(Tabela1[[#This Row],[Informe o KM final do dia]]-Tabela1[[#This Row],[Informe o KM inicial do dia]])-Tabela1[[#This Row],[Caso tenha rodado particular alguma parte do trajeto, informe o total de KM a ser deduzido.]]</f>
        <v>20</v>
      </c>
      <c r="V386" s="86">
        <f>IF(Tabela1[[#This Row],[Informe a data]]&lt;DATE(2026,3,16), Tabela1[[#This Row],[KM Rodado]]*1.1, Tabela1[[#This Row],[KM Rodado]]*1.23)</f>
        <v>24.6</v>
      </c>
      <c r="W386" s="86">
        <f>IFERROR(SUBSTITUTE(Tabela1[[#This Row],[Pedágio]],".",",",1)*1,0)</f>
        <v>0</v>
      </c>
      <c r="X386" s="86">
        <f>IFERROR(SUBSTITUTE(Tabela1[[#This Row],[Estacionamento]],".",",",1)*1,0)</f>
        <v>0</v>
      </c>
      <c r="Y386" s="86">
        <f>IFERROR(SUBSTITUTE(Tabela1[[#This Row],[Despesas Diversas 
(Jantar em viagem, Impressões, Etc)]],".",",",1)*1,0)</f>
        <v>0</v>
      </c>
      <c r="Z386" s="86">
        <f>IFERROR(SUBSTITUTE(Tabela1[[#This Row],[Hospedagem]],".",",",1)*1,0)</f>
        <v>0</v>
      </c>
      <c r="AA386" s="56" t="str">
        <f>IF(DAY(Tabela1[[#This Row],[Informe a data]])&lt;=15,"1ª Quinzena","2ª Quinzena")</f>
        <v>1ª Quinzena</v>
      </c>
      <c r="AB386" s="56" t="str">
        <f>UPPER(TEXT(Tabela1[[#This Row],[Informe a data]],"mmmm"))</f>
        <v>JUNHO</v>
      </c>
      <c r="AC386" s="87" t="e">
        <f ca="1">_xlfn.CONCAT(Tabela1[[#This Row],[Selecione o Usuário]]," - ",TEXT(Tabela1[[#This Row],[Informe a data]],"dd-mm-aa"))</f>
        <v>#NAME?</v>
      </c>
    </row>
    <row r="387" spans="1:29">
      <c r="A387" s="49">
        <v>46175.904895833337</v>
      </c>
      <c r="B387" s="50" t="s">
        <v>1174</v>
      </c>
      <c r="C387" s="50" t="s">
        <v>134</v>
      </c>
      <c r="D387" s="50" t="s">
        <v>209</v>
      </c>
      <c r="E387" s="51">
        <v>46175</v>
      </c>
      <c r="F387" s="52">
        <v>170506</v>
      </c>
      <c r="G387" s="58" t="s">
        <v>1320</v>
      </c>
      <c r="H387" s="52">
        <v>170888</v>
      </c>
      <c r="I387" s="58" t="s">
        <v>1321</v>
      </c>
      <c r="J387" s="50" t="s">
        <v>1322</v>
      </c>
      <c r="K387" s="53"/>
      <c r="L387" s="50" t="s">
        <v>60</v>
      </c>
      <c r="M387" s="53"/>
      <c r="N387" s="53"/>
      <c r="O387" s="53"/>
      <c r="P387" s="53"/>
      <c r="Q387" s="53"/>
      <c r="R387" s="53"/>
      <c r="S387" s="53"/>
      <c r="T387" s="53"/>
      <c r="U387" s="85">
        <f>(Tabela1[[#This Row],[Informe o KM final do dia]]-Tabela1[[#This Row],[Informe o KM inicial do dia]])-Tabela1[[#This Row],[Caso tenha rodado particular alguma parte do trajeto, informe o total de KM a ser deduzido.]]</f>
        <v>382</v>
      </c>
      <c r="V387" s="86">
        <f>IF(Tabela1[[#This Row],[Informe a data]]&lt;DATE(2026,3,16), Tabela1[[#This Row],[KM Rodado]]*1.1, Tabela1[[#This Row],[KM Rodado]]*1.23)</f>
        <v>469.86</v>
      </c>
      <c r="W387" s="86">
        <f>IFERROR(SUBSTITUTE(Tabela1[[#This Row],[Pedágio]],".",",",1)*1,0)</f>
        <v>0</v>
      </c>
      <c r="X387" s="86">
        <f>IFERROR(SUBSTITUTE(Tabela1[[#This Row],[Estacionamento]],".",",",1)*1,0)</f>
        <v>0</v>
      </c>
      <c r="Y387" s="86">
        <f>IFERROR(SUBSTITUTE(Tabela1[[#This Row],[Despesas Diversas 
(Jantar em viagem, Impressões, Etc)]],".",",",1)*1,0)</f>
        <v>0</v>
      </c>
      <c r="Z387" s="86">
        <f>IFERROR(SUBSTITUTE(Tabela1[[#This Row],[Hospedagem]],".",",",1)*1,0)</f>
        <v>0</v>
      </c>
      <c r="AA387" s="56" t="str">
        <f>IF(DAY(Tabela1[[#This Row],[Informe a data]])&lt;=15,"1ª Quinzena","2ª Quinzena")</f>
        <v>1ª Quinzena</v>
      </c>
      <c r="AB387" s="56" t="str">
        <f>UPPER(TEXT(Tabela1[[#This Row],[Informe a data]],"mmmm"))</f>
        <v>JUNHO</v>
      </c>
      <c r="AC387" s="87" t="e">
        <f ca="1">_xlfn.CONCAT(Tabela1[[#This Row],[Selecione o Usuário]]," - ",TEXT(Tabela1[[#This Row],[Informe a data]],"dd-mm-aa"))</f>
        <v>#NAME?</v>
      </c>
    </row>
    <row r="388" spans="1:29">
      <c r="A388" s="49">
        <v>46181.667141203703</v>
      </c>
      <c r="B388" s="50" t="s">
        <v>1260</v>
      </c>
      <c r="C388" s="50" t="s">
        <v>505</v>
      </c>
      <c r="D388" s="50" t="s">
        <v>551</v>
      </c>
      <c r="E388" s="51">
        <v>46175</v>
      </c>
      <c r="F388" s="52">
        <v>105844</v>
      </c>
      <c r="G388" s="58" t="s">
        <v>1345</v>
      </c>
      <c r="H388" s="52">
        <v>105937</v>
      </c>
      <c r="I388" s="58" t="s">
        <v>1346</v>
      </c>
      <c r="J388" s="50" t="s">
        <v>1347</v>
      </c>
      <c r="K388" s="53"/>
      <c r="L388" s="50" t="s">
        <v>60</v>
      </c>
      <c r="M388" s="53"/>
      <c r="N388" s="53"/>
      <c r="O388" s="53"/>
      <c r="P388" s="53"/>
      <c r="Q388" s="53"/>
      <c r="R388" s="53"/>
      <c r="S388" s="53"/>
      <c r="T388" s="53"/>
      <c r="U388" s="85">
        <f>(Tabela1[[#This Row],[Informe o KM final do dia]]-Tabela1[[#This Row],[Informe o KM inicial do dia]])-Tabela1[[#This Row],[Caso tenha rodado particular alguma parte do trajeto, informe o total de KM a ser deduzido.]]</f>
        <v>93</v>
      </c>
      <c r="V388" s="86">
        <f>IF(Tabela1[[#This Row],[Informe a data]]&lt;DATE(2026,3,16), Tabela1[[#This Row],[KM Rodado]]*1.1, Tabela1[[#This Row],[KM Rodado]]*1.23)</f>
        <v>114.39</v>
      </c>
      <c r="W388" s="86">
        <f>IFERROR(SUBSTITUTE(Tabela1[[#This Row],[Pedágio]],".",",",1)*1,0)</f>
        <v>0</v>
      </c>
      <c r="X388" s="86">
        <f>IFERROR(SUBSTITUTE(Tabela1[[#This Row],[Estacionamento]],".",",",1)*1,0)</f>
        <v>0</v>
      </c>
      <c r="Y388" s="86">
        <f>IFERROR(SUBSTITUTE(Tabela1[[#This Row],[Despesas Diversas 
(Jantar em viagem, Impressões, Etc)]],".",",",1)*1,0)</f>
        <v>0</v>
      </c>
      <c r="Z388" s="86">
        <f>IFERROR(SUBSTITUTE(Tabela1[[#This Row],[Hospedagem]],".",",",1)*1,0)</f>
        <v>0</v>
      </c>
      <c r="AA388" s="56" t="str">
        <f>IF(DAY(Tabela1[[#This Row],[Informe a data]])&lt;=15,"1ª Quinzena","2ª Quinzena")</f>
        <v>1ª Quinzena</v>
      </c>
      <c r="AB388" s="56" t="str">
        <f>UPPER(TEXT(Tabela1[[#This Row],[Informe a data]],"mmmm"))</f>
        <v>JUNHO</v>
      </c>
      <c r="AC388" s="87" t="e">
        <f ca="1">_xlfn.CONCAT(Tabela1[[#This Row],[Selecione o Usuário]]," - ",TEXT(Tabela1[[#This Row],[Informe a data]],"dd-mm-aa"))</f>
        <v>#NAME?</v>
      </c>
    </row>
    <row r="389" spans="1:29">
      <c r="A389" s="89">
        <v>46188.93109953704</v>
      </c>
      <c r="B389" s="90" t="s">
        <v>176</v>
      </c>
      <c r="C389" s="90" t="s">
        <v>136</v>
      </c>
      <c r="D389" s="90" t="s">
        <v>177</v>
      </c>
      <c r="E389" s="91">
        <v>46175</v>
      </c>
      <c r="F389" s="92">
        <v>173720</v>
      </c>
      <c r="G389" s="93" t="s">
        <v>1405</v>
      </c>
      <c r="H389" s="92">
        <v>173964</v>
      </c>
      <c r="I389" s="93" t="s">
        <v>1406</v>
      </c>
      <c r="J389" s="90" t="s">
        <v>1407</v>
      </c>
      <c r="K389" s="94"/>
      <c r="L389" s="90" t="s">
        <v>60</v>
      </c>
      <c r="M389" s="94"/>
      <c r="N389" s="94"/>
      <c r="O389" s="94"/>
      <c r="P389" s="94"/>
      <c r="Q389" s="94"/>
      <c r="R389" s="94"/>
      <c r="S389" s="94"/>
      <c r="T389" s="94"/>
      <c r="U389" s="85">
        <f>(Tabela1[[#This Row],[Informe o KM final do dia]]-Tabela1[[#This Row],[Informe o KM inicial do dia]])-Tabela1[[#This Row],[Caso tenha rodado particular alguma parte do trajeto, informe o total de KM a ser deduzido.]]</f>
        <v>244</v>
      </c>
      <c r="V389" s="86">
        <f>IF(Tabela1[[#This Row],[Informe a data]]&lt;DATE(2026,3,16), Tabela1[[#This Row],[KM Rodado]]*1.1, Tabela1[[#This Row],[KM Rodado]]*1.23)</f>
        <v>300.12</v>
      </c>
      <c r="W389" s="86">
        <f>IFERROR(SUBSTITUTE(Tabela1[[#This Row],[Pedágio]],".",",",1)*1,0)</f>
        <v>0</v>
      </c>
      <c r="X389" s="86">
        <f>IFERROR(SUBSTITUTE(Tabela1[[#This Row],[Estacionamento]],".",",",1)*1,0)</f>
        <v>0</v>
      </c>
      <c r="Y389" s="86">
        <f>IFERROR(SUBSTITUTE(Tabela1[[#This Row],[Despesas Diversas 
(Jantar em viagem, Impressões, Etc)]],".",",",1)*1,0)</f>
        <v>0</v>
      </c>
      <c r="Z389" s="86">
        <f>IFERROR(SUBSTITUTE(Tabela1[[#This Row],[Hospedagem]],".",",",1)*1,0)</f>
        <v>0</v>
      </c>
      <c r="AA389" s="56" t="str">
        <f>IF(DAY(Tabela1[[#This Row],[Informe a data]])&lt;=15,"1ª Quinzena","2ª Quinzena")</f>
        <v>1ª Quinzena</v>
      </c>
      <c r="AB389" s="56" t="str">
        <f>UPPER(TEXT(Tabela1[[#This Row],[Informe a data]],"mmmm"))</f>
        <v>JUNHO</v>
      </c>
      <c r="AC389" s="87" t="e">
        <f ca="1">_xlfn.CONCAT(Tabela1[[#This Row],[Selecione o Usuário]]," - ",TEXT(Tabela1[[#This Row],[Informe a data]],"dd-mm-aa"))</f>
        <v>#NAME?</v>
      </c>
    </row>
    <row r="390" spans="1:29">
      <c r="A390" s="49">
        <v>46188.8903125</v>
      </c>
      <c r="B390" s="50" t="s">
        <v>140</v>
      </c>
      <c r="C390" s="50" t="s">
        <v>141</v>
      </c>
      <c r="D390" s="50" t="s">
        <v>961</v>
      </c>
      <c r="E390" s="51">
        <v>46175</v>
      </c>
      <c r="F390" s="52">
        <v>60733</v>
      </c>
      <c r="G390" s="53"/>
      <c r="H390" s="52">
        <v>60823</v>
      </c>
      <c r="I390" s="53"/>
      <c r="J390" s="50" t="s">
        <v>1396</v>
      </c>
      <c r="K390" s="53"/>
      <c r="L390" s="50" t="s">
        <v>60</v>
      </c>
      <c r="M390" s="53"/>
      <c r="N390" s="53"/>
      <c r="O390" s="53"/>
      <c r="P390" s="53"/>
      <c r="Q390" s="53"/>
      <c r="R390" s="53"/>
      <c r="S390" s="53"/>
      <c r="T390" s="53"/>
      <c r="U390" s="85">
        <f>(Tabela1[[#This Row],[Informe o KM final do dia]]-Tabela1[[#This Row],[Informe o KM inicial do dia]])-Tabela1[[#This Row],[Caso tenha rodado particular alguma parte do trajeto, informe o total de KM a ser deduzido.]]</f>
        <v>90</v>
      </c>
      <c r="V390" s="86">
        <f>IF(Tabela1[[#This Row],[Informe a data]]&lt;DATE(2026,3,16), Tabela1[[#This Row],[KM Rodado]]*1.1, Tabela1[[#This Row],[KM Rodado]]*1.23)</f>
        <v>110.7</v>
      </c>
      <c r="W390" s="86">
        <f>IFERROR(SUBSTITUTE(Tabela1[[#This Row],[Pedágio]],".",",",1)*1,0)</f>
        <v>0</v>
      </c>
      <c r="X390" s="86">
        <f>IFERROR(SUBSTITUTE(Tabela1[[#This Row],[Estacionamento]],".",",",1)*1,0)</f>
        <v>0</v>
      </c>
      <c r="Y390" s="86">
        <f>IFERROR(SUBSTITUTE(Tabela1[[#This Row],[Despesas Diversas 
(Jantar em viagem, Impressões, Etc)]],".",",",1)*1,0)</f>
        <v>0</v>
      </c>
      <c r="Z390" s="86">
        <f>IFERROR(SUBSTITUTE(Tabela1[[#This Row],[Hospedagem]],".",",",1)*1,0)</f>
        <v>0</v>
      </c>
      <c r="AA390" s="56" t="str">
        <f>IF(DAY(Tabela1[[#This Row],[Informe a data]])&lt;=15,"1ª Quinzena","2ª Quinzena")</f>
        <v>1ª Quinzena</v>
      </c>
      <c r="AB390" s="56" t="str">
        <f>UPPER(TEXT(Tabela1[[#This Row],[Informe a data]],"mmmm"))</f>
        <v>JUNHO</v>
      </c>
      <c r="AC390" s="87" t="e">
        <f ca="1">_xlfn.CONCAT(Tabela1[[#This Row],[Selecione o Usuário]]," - ",TEXT(Tabela1[[#This Row],[Informe a data]],"dd-mm-aa"))</f>
        <v>#NAME?</v>
      </c>
    </row>
    <row r="391" spans="1:29">
      <c r="A391" s="89">
        <v>46178.445706018516</v>
      </c>
      <c r="B391" s="90" t="s">
        <v>1116</v>
      </c>
      <c r="C391" s="90" t="s">
        <v>559</v>
      </c>
      <c r="D391" s="90" t="s">
        <v>560</v>
      </c>
      <c r="E391" s="91">
        <v>46176</v>
      </c>
      <c r="F391" s="92">
        <v>81438</v>
      </c>
      <c r="G391" s="94"/>
      <c r="H391" s="92">
        <v>81500</v>
      </c>
      <c r="I391" s="94"/>
      <c r="J391" s="90" t="s">
        <v>1332</v>
      </c>
      <c r="K391" s="94"/>
      <c r="L391" s="90" t="s">
        <v>60</v>
      </c>
      <c r="M391" s="94"/>
      <c r="N391" s="94"/>
      <c r="O391" s="94"/>
      <c r="P391" s="94"/>
      <c r="Q391" s="94"/>
      <c r="R391" s="94"/>
      <c r="S391" s="94"/>
      <c r="T391" s="94"/>
      <c r="U391" s="85">
        <f>(Tabela1[[#This Row],[Informe o KM final do dia]]-Tabela1[[#This Row],[Informe o KM inicial do dia]])-Tabela1[[#This Row],[Caso tenha rodado particular alguma parte do trajeto, informe o total de KM a ser deduzido.]]</f>
        <v>62</v>
      </c>
      <c r="V391" s="86">
        <f>IF(Tabela1[[#This Row],[Informe a data]]&lt;DATE(2026,3,16), Tabela1[[#This Row],[KM Rodado]]*1.1, Tabela1[[#This Row],[KM Rodado]]*1.23)</f>
        <v>76.260000000000005</v>
      </c>
      <c r="W391" s="86">
        <f>IFERROR(SUBSTITUTE(Tabela1[[#This Row],[Pedágio]],".",",",1)*1,0)</f>
        <v>0</v>
      </c>
      <c r="X391" s="86">
        <f>IFERROR(SUBSTITUTE(Tabela1[[#This Row],[Estacionamento]],".",",",1)*1,0)</f>
        <v>0</v>
      </c>
      <c r="Y391" s="86">
        <f>IFERROR(SUBSTITUTE(Tabela1[[#This Row],[Despesas Diversas 
(Jantar em viagem, Impressões, Etc)]],".",",",1)*1,0)</f>
        <v>0</v>
      </c>
      <c r="Z391" s="86">
        <f>IFERROR(SUBSTITUTE(Tabela1[[#This Row],[Hospedagem]],".",",",1)*1,0)</f>
        <v>0</v>
      </c>
      <c r="AA391" s="56" t="str">
        <f>IF(DAY(Tabela1[[#This Row],[Informe a data]])&lt;=15,"1ª Quinzena","2ª Quinzena")</f>
        <v>1ª Quinzena</v>
      </c>
      <c r="AB391" s="56" t="str">
        <f>UPPER(TEXT(Tabela1[[#This Row],[Informe a data]],"mmmm"))</f>
        <v>JUNHO</v>
      </c>
      <c r="AC391" s="87" t="e">
        <f ca="1">_xlfn.CONCAT(Tabela1[[#This Row],[Selecione o Usuário]]," - ",TEXT(Tabela1[[#This Row],[Informe a data]],"dd-mm-aa"))</f>
        <v>#NAME?</v>
      </c>
    </row>
    <row r="392" spans="1:29">
      <c r="A392" s="49">
        <v>46177.508981481478</v>
      </c>
      <c r="B392" s="50" t="s">
        <v>131</v>
      </c>
      <c r="C392" s="50" t="s">
        <v>132</v>
      </c>
      <c r="D392" s="50" t="s">
        <v>133</v>
      </c>
      <c r="E392" s="51">
        <v>46176</v>
      </c>
      <c r="F392" s="52">
        <v>193877</v>
      </c>
      <c r="G392" s="58" t="s">
        <v>1326</v>
      </c>
      <c r="H392" s="52">
        <v>194320</v>
      </c>
      <c r="I392" s="58" t="s">
        <v>1327</v>
      </c>
      <c r="J392" s="50" t="s">
        <v>1328</v>
      </c>
      <c r="K392" s="53"/>
      <c r="L392" s="50" t="s">
        <v>61</v>
      </c>
      <c r="M392" s="50" t="s">
        <v>1192</v>
      </c>
      <c r="N392" s="58" t="s">
        <v>1329</v>
      </c>
      <c r="O392" s="53"/>
      <c r="P392" s="53"/>
      <c r="Q392" s="53"/>
      <c r="R392" s="53"/>
      <c r="S392" s="53"/>
      <c r="T392" s="53"/>
      <c r="U392" s="85">
        <f>(Tabela1[[#This Row],[Informe o KM final do dia]]-Tabela1[[#This Row],[Informe o KM inicial do dia]])-Tabela1[[#This Row],[Caso tenha rodado particular alguma parte do trajeto, informe o total de KM a ser deduzido.]]</f>
        <v>443</v>
      </c>
      <c r="V392" s="86">
        <f>IF(Tabela1[[#This Row],[Informe a data]]&lt;DATE(2026,3,16), Tabela1[[#This Row],[KM Rodado]]*1.1, Tabela1[[#This Row],[KM Rodado]]*1.23)</f>
        <v>544.89</v>
      </c>
      <c r="W392" s="86">
        <f>IFERROR(SUBSTITUTE(Tabela1[[#This Row],[Pedágio]],".",",",1)*1,0)</f>
        <v>23.4</v>
      </c>
      <c r="X392" s="86">
        <f>IFERROR(SUBSTITUTE(Tabela1[[#This Row],[Estacionamento]],".",",",1)*1,0)</f>
        <v>0</v>
      </c>
      <c r="Y392" s="86">
        <f>IFERROR(SUBSTITUTE(Tabela1[[#This Row],[Despesas Diversas 
(Jantar em viagem, Impressões, Etc)]],".",",",1)*1,0)</f>
        <v>0</v>
      </c>
      <c r="Z392" s="86">
        <f>IFERROR(SUBSTITUTE(Tabela1[[#This Row],[Hospedagem]],".",",",1)*1,0)</f>
        <v>0</v>
      </c>
      <c r="AA392" s="56" t="str">
        <f>IF(DAY(Tabela1[[#This Row],[Informe a data]])&lt;=15,"1ª Quinzena","2ª Quinzena")</f>
        <v>1ª Quinzena</v>
      </c>
      <c r="AB392" s="56" t="str">
        <f>UPPER(TEXT(Tabela1[[#This Row],[Informe a data]],"mmmm"))</f>
        <v>JUNHO</v>
      </c>
      <c r="AC392" s="87" t="e">
        <f ca="1">_xlfn.CONCAT(Tabela1[[#This Row],[Selecione o Usuário]]," - ",TEXT(Tabela1[[#This Row],[Informe a data]],"dd-mm-aa"))</f>
        <v>#NAME?</v>
      </c>
    </row>
    <row r="393" spans="1:29">
      <c r="A393" s="49">
        <v>46181.63113425926</v>
      </c>
      <c r="B393" s="50" t="s">
        <v>300</v>
      </c>
      <c r="C393" s="50" t="s">
        <v>250</v>
      </c>
      <c r="D393" s="50" t="s">
        <v>228</v>
      </c>
      <c r="E393" s="51">
        <v>46176</v>
      </c>
      <c r="F393" s="52">
        <v>131553</v>
      </c>
      <c r="G393" s="58" t="s">
        <v>1339</v>
      </c>
      <c r="H393" s="52">
        <v>131753</v>
      </c>
      <c r="I393" s="58" t="s">
        <v>1340</v>
      </c>
      <c r="J393" s="50" t="s">
        <v>1341</v>
      </c>
      <c r="K393" s="53"/>
      <c r="L393" s="50" t="s">
        <v>60</v>
      </c>
      <c r="M393" s="53"/>
      <c r="N393" s="53"/>
      <c r="O393" s="53"/>
      <c r="P393" s="53"/>
      <c r="Q393" s="53"/>
      <c r="R393" s="53"/>
      <c r="S393" s="53"/>
      <c r="T393" s="53"/>
      <c r="U393" s="85">
        <f>(Tabela1[[#This Row],[Informe o KM final do dia]]-Tabela1[[#This Row],[Informe o KM inicial do dia]])-Tabela1[[#This Row],[Caso tenha rodado particular alguma parte do trajeto, informe o total de KM a ser deduzido.]]</f>
        <v>200</v>
      </c>
      <c r="V393" s="86">
        <f>IF(Tabela1[[#This Row],[Informe a data]]&lt;DATE(2026,3,16), Tabela1[[#This Row],[KM Rodado]]*1.1, Tabela1[[#This Row],[KM Rodado]]*1.23)</f>
        <v>246</v>
      </c>
      <c r="W393" s="86">
        <f>IFERROR(SUBSTITUTE(Tabela1[[#This Row],[Pedágio]],".",",",1)*1,0)</f>
        <v>0</v>
      </c>
      <c r="X393" s="86">
        <f>IFERROR(SUBSTITUTE(Tabela1[[#This Row],[Estacionamento]],".",",",1)*1,0)</f>
        <v>0</v>
      </c>
      <c r="Y393" s="86">
        <f>IFERROR(SUBSTITUTE(Tabela1[[#This Row],[Despesas Diversas 
(Jantar em viagem, Impressões, Etc)]],".",",",1)*1,0)</f>
        <v>0</v>
      </c>
      <c r="Z393" s="86">
        <f>IFERROR(SUBSTITUTE(Tabela1[[#This Row],[Hospedagem]],".",",",1)*1,0)</f>
        <v>0</v>
      </c>
      <c r="AA393" s="56" t="str">
        <f>IF(DAY(Tabela1[[#This Row],[Informe a data]])&lt;=15,"1ª Quinzena","2ª Quinzena")</f>
        <v>1ª Quinzena</v>
      </c>
      <c r="AB393" s="56" t="str">
        <f>UPPER(TEXT(Tabela1[[#This Row],[Informe a data]],"mmmm"))</f>
        <v>JUNHO</v>
      </c>
      <c r="AC393" s="87" t="e">
        <f ca="1">_xlfn.CONCAT(Tabela1[[#This Row],[Selecione o Usuário]]," - ",TEXT(Tabela1[[#This Row],[Informe a data]],"dd-mm-aa"))</f>
        <v>#NAME?</v>
      </c>
    </row>
    <row r="394" spans="1:29">
      <c r="A394" s="49">
        <v>46188.932824074072</v>
      </c>
      <c r="B394" s="50" t="s">
        <v>176</v>
      </c>
      <c r="C394" s="50" t="s">
        <v>136</v>
      </c>
      <c r="D394" s="50" t="s">
        <v>177</v>
      </c>
      <c r="E394" s="51">
        <v>46176</v>
      </c>
      <c r="F394" s="52">
        <v>174064</v>
      </c>
      <c r="G394" s="58" t="s">
        <v>1408</v>
      </c>
      <c r="H394" s="52">
        <v>174176</v>
      </c>
      <c r="I394" s="58" t="s">
        <v>1409</v>
      </c>
      <c r="J394" s="50" t="s">
        <v>1410</v>
      </c>
      <c r="K394" s="53"/>
      <c r="L394" s="50" t="s">
        <v>60</v>
      </c>
      <c r="M394" s="53"/>
      <c r="N394" s="53"/>
      <c r="O394" s="53"/>
      <c r="P394" s="53"/>
      <c r="Q394" s="53"/>
      <c r="R394" s="53"/>
      <c r="S394" s="53"/>
      <c r="T394" s="53"/>
      <c r="U394" s="85">
        <f>(Tabela1[[#This Row],[Informe o KM final do dia]]-Tabela1[[#This Row],[Informe o KM inicial do dia]])-Tabela1[[#This Row],[Caso tenha rodado particular alguma parte do trajeto, informe o total de KM a ser deduzido.]]</f>
        <v>112</v>
      </c>
      <c r="V394" s="86">
        <f>IF(Tabela1[[#This Row],[Informe a data]]&lt;DATE(2026,3,16), Tabela1[[#This Row],[KM Rodado]]*1.1, Tabela1[[#This Row],[KM Rodado]]*1.23)</f>
        <v>137.76</v>
      </c>
      <c r="W394" s="86">
        <f>IFERROR(SUBSTITUTE(Tabela1[[#This Row],[Pedágio]],".",",",1)*1,0)</f>
        <v>0</v>
      </c>
      <c r="X394" s="86">
        <f>IFERROR(SUBSTITUTE(Tabela1[[#This Row],[Estacionamento]],".",",",1)*1,0)</f>
        <v>0</v>
      </c>
      <c r="Y394" s="86">
        <f>IFERROR(SUBSTITUTE(Tabela1[[#This Row],[Despesas Diversas 
(Jantar em viagem, Impressões, Etc)]],".",",",1)*1,0)</f>
        <v>0</v>
      </c>
      <c r="Z394" s="86">
        <f>IFERROR(SUBSTITUTE(Tabela1[[#This Row],[Hospedagem]],".",",",1)*1,0)</f>
        <v>0</v>
      </c>
      <c r="AA394" s="56" t="str">
        <f>IF(DAY(Tabela1[[#This Row],[Informe a data]])&lt;=15,"1ª Quinzena","2ª Quinzena")</f>
        <v>1ª Quinzena</v>
      </c>
      <c r="AB394" s="56" t="str">
        <f>UPPER(TEXT(Tabela1[[#This Row],[Informe a data]],"mmmm"))</f>
        <v>JUNHO</v>
      </c>
      <c r="AC394" s="87" t="e">
        <f ca="1">_xlfn.CONCAT(Tabela1[[#This Row],[Selecione o Usuário]]," - ",TEXT(Tabela1[[#This Row],[Informe a data]],"dd-mm-aa"))</f>
        <v>#NAME?</v>
      </c>
    </row>
    <row r="395" spans="1:29">
      <c r="A395" s="89">
        <v>46188.894988425927</v>
      </c>
      <c r="B395" s="90" t="s">
        <v>140</v>
      </c>
      <c r="C395" s="90" t="s">
        <v>141</v>
      </c>
      <c r="D395" s="90" t="s">
        <v>169</v>
      </c>
      <c r="E395" s="91">
        <v>46176</v>
      </c>
      <c r="F395" s="92">
        <v>60838</v>
      </c>
      <c r="G395" s="94"/>
      <c r="H395" s="92">
        <v>60923</v>
      </c>
      <c r="I395" s="94"/>
      <c r="J395" s="90" t="s">
        <v>1397</v>
      </c>
      <c r="K395" s="94"/>
      <c r="L395" s="90" t="s">
        <v>60</v>
      </c>
      <c r="M395" s="94"/>
      <c r="N395" s="94"/>
      <c r="O395" s="94"/>
      <c r="P395" s="94"/>
      <c r="Q395" s="94"/>
      <c r="R395" s="94"/>
      <c r="S395" s="94"/>
      <c r="T395" s="94"/>
      <c r="U395" s="85">
        <f>(Tabela1[[#This Row],[Informe o KM final do dia]]-Tabela1[[#This Row],[Informe o KM inicial do dia]])-Tabela1[[#This Row],[Caso tenha rodado particular alguma parte do trajeto, informe o total de KM a ser deduzido.]]</f>
        <v>85</v>
      </c>
      <c r="V395" s="86">
        <f>IF(Tabela1[[#This Row],[Informe a data]]&lt;DATE(2026,3,16), Tabela1[[#This Row],[KM Rodado]]*1.1, Tabela1[[#This Row],[KM Rodado]]*1.23)</f>
        <v>104.55</v>
      </c>
      <c r="W395" s="86">
        <f>IFERROR(SUBSTITUTE(Tabela1[[#This Row],[Pedágio]],".",",",1)*1,0)</f>
        <v>0</v>
      </c>
      <c r="X395" s="86">
        <f>IFERROR(SUBSTITUTE(Tabela1[[#This Row],[Estacionamento]],".",",",1)*1,0)</f>
        <v>0</v>
      </c>
      <c r="Y395" s="86">
        <f>IFERROR(SUBSTITUTE(Tabela1[[#This Row],[Despesas Diversas 
(Jantar em viagem, Impressões, Etc)]],".",",",1)*1,0)</f>
        <v>0</v>
      </c>
      <c r="Z395" s="86">
        <f>IFERROR(SUBSTITUTE(Tabela1[[#This Row],[Hospedagem]],".",",",1)*1,0)</f>
        <v>0</v>
      </c>
      <c r="AA395" s="56" t="str">
        <f>IF(DAY(Tabela1[[#This Row],[Informe a data]])&lt;=15,"1ª Quinzena","2ª Quinzena")</f>
        <v>1ª Quinzena</v>
      </c>
      <c r="AB395" s="56" t="str">
        <f>UPPER(TEXT(Tabela1[[#This Row],[Informe a data]],"mmmm"))</f>
        <v>JUNHO</v>
      </c>
      <c r="AC395" s="87" t="e">
        <f ca="1">_xlfn.CONCAT(Tabela1[[#This Row],[Selecione o Usuário]]," - ",TEXT(Tabela1[[#This Row],[Informe a data]],"dd-mm-aa"))</f>
        <v>#NAME?</v>
      </c>
    </row>
    <row r="396" spans="1:29">
      <c r="A396" s="49">
        <v>46188.904085648152</v>
      </c>
      <c r="B396" s="50" t="s">
        <v>140</v>
      </c>
      <c r="C396" s="50" t="s">
        <v>141</v>
      </c>
      <c r="D396" s="50" t="s">
        <v>169</v>
      </c>
      <c r="E396" s="51">
        <v>46177</v>
      </c>
      <c r="F396" s="120">
        <v>60923</v>
      </c>
      <c r="G396" s="53"/>
      <c r="H396" s="52">
        <v>61033</v>
      </c>
      <c r="I396" s="53"/>
      <c r="J396" s="50" t="s">
        <v>1398</v>
      </c>
      <c r="K396" s="53"/>
      <c r="L396" s="50" t="s">
        <v>60</v>
      </c>
      <c r="M396" s="53"/>
      <c r="N396" s="53"/>
      <c r="O396" s="53"/>
      <c r="P396" s="53"/>
      <c r="Q396" s="53"/>
      <c r="R396" s="53"/>
      <c r="S396" s="53"/>
      <c r="T396" s="53"/>
      <c r="U396" s="85">
        <f>(Tabela1[[#This Row],[Informe o KM final do dia]]-Tabela1[[#This Row],[Informe o KM inicial do dia]])-Tabela1[[#This Row],[Caso tenha rodado particular alguma parte do trajeto, informe o total de KM a ser deduzido.]]</f>
        <v>110</v>
      </c>
      <c r="V396" s="86">
        <f>IF(Tabela1[[#This Row],[Informe a data]]&lt;DATE(2026,3,16), Tabela1[[#This Row],[KM Rodado]]*1.1, Tabela1[[#This Row],[KM Rodado]]*1.23)</f>
        <v>135.30000000000001</v>
      </c>
      <c r="W396" s="86">
        <f>IFERROR(SUBSTITUTE(Tabela1[[#This Row],[Pedágio]],".",",",1)*1,0)</f>
        <v>0</v>
      </c>
      <c r="X396" s="86">
        <f>IFERROR(SUBSTITUTE(Tabela1[[#This Row],[Estacionamento]],".",",",1)*1,0)</f>
        <v>0</v>
      </c>
      <c r="Y396" s="86">
        <f>IFERROR(SUBSTITUTE(Tabela1[[#This Row],[Despesas Diversas 
(Jantar em viagem, Impressões, Etc)]],".",",",1)*1,0)</f>
        <v>0</v>
      </c>
      <c r="Z396" s="86">
        <f>IFERROR(SUBSTITUTE(Tabela1[[#This Row],[Hospedagem]],".",",",1)*1,0)</f>
        <v>0</v>
      </c>
      <c r="AA396" s="56" t="str">
        <f>IF(DAY(Tabela1[[#This Row],[Informe a data]])&lt;=15,"1ª Quinzena","2ª Quinzena")</f>
        <v>1ª Quinzena</v>
      </c>
      <c r="AB396" s="56" t="str">
        <f>UPPER(TEXT(Tabela1[[#This Row],[Informe a data]],"mmmm"))</f>
        <v>JUNHO</v>
      </c>
      <c r="AC396" s="87" t="e">
        <f ca="1">_xlfn.CONCAT(Tabela1[[#This Row],[Selecione o Usuário]]," - ",TEXT(Tabela1[[#This Row],[Informe a data]],"dd-mm-aa"))</f>
        <v>#NAME?</v>
      </c>
    </row>
    <row r="397" spans="1:29">
      <c r="A397" s="49">
        <v>46178.912824074076</v>
      </c>
      <c r="B397" s="50" t="s">
        <v>1174</v>
      </c>
      <c r="C397" s="50" t="s">
        <v>134</v>
      </c>
      <c r="D397" s="50" t="s">
        <v>209</v>
      </c>
      <c r="E397" s="51">
        <v>46178</v>
      </c>
      <c r="F397" s="52">
        <v>170900</v>
      </c>
      <c r="G397" s="58" t="s">
        <v>1333</v>
      </c>
      <c r="H397" s="52">
        <v>171117</v>
      </c>
      <c r="I397" s="58" t="s">
        <v>1334</v>
      </c>
      <c r="J397" s="50" t="s">
        <v>1335</v>
      </c>
      <c r="K397" s="53"/>
      <c r="L397" s="50" t="s">
        <v>60</v>
      </c>
      <c r="M397" s="53"/>
      <c r="N397" s="53"/>
      <c r="O397" s="53"/>
      <c r="P397" s="53"/>
      <c r="Q397" s="53"/>
      <c r="R397" s="53"/>
      <c r="S397" s="53"/>
      <c r="T397" s="53"/>
      <c r="U397" s="85">
        <f>(Tabela1[[#This Row],[Informe o KM final do dia]]-Tabela1[[#This Row],[Informe o KM inicial do dia]])-Tabela1[[#This Row],[Caso tenha rodado particular alguma parte do trajeto, informe o total de KM a ser deduzido.]]</f>
        <v>217</v>
      </c>
      <c r="V397" s="86">
        <f>IF(Tabela1[[#This Row],[Informe a data]]&lt;DATE(2026,3,16), Tabela1[[#This Row],[KM Rodado]]*1.1, Tabela1[[#This Row],[KM Rodado]]*1.23)</f>
        <v>266.90999999999997</v>
      </c>
      <c r="W397" s="86">
        <f>IFERROR(SUBSTITUTE(Tabela1[[#This Row],[Pedágio]],".",",",1)*1,0)</f>
        <v>0</v>
      </c>
      <c r="X397" s="86">
        <f>IFERROR(SUBSTITUTE(Tabela1[[#This Row],[Estacionamento]],".",",",1)*1,0)</f>
        <v>0</v>
      </c>
      <c r="Y397" s="86">
        <f>IFERROR(SUBSTITUTE(Tabela1[[#This Row],[Despesas Diversas 
(Jantar em viagem, Impressões, Etc)]],".",",",1)*1,0)</f>
        <v>0</v>
      </c>
      <c r="Z397" s="86">
        <f>IFERROR(SUBSTITUTE(Tabela1[[#This Row],[Hospedagem]],".",",",1)*1,0)</f>
        <v>0</v>
      </c>
      <c r="AA397" s="56" t="str">
        <f>IF(DAY(Tabela1[[#This Row],[Informe a data]])&lt;=15,"1ª Quinzena","2ª Quinzena")</f>
        <v>1ª Quinzena</v>
      </c>
      <c r="AB397" s="56" t="str">
        <f>UPPER(TEXT(Tabela1[[#This Row],[Informe a data]],"mmmm"))</f>
        <v>JUNHO</v>
      </c>
      <c r="AC397" s="87" t="e">
        <f ca="1">_xlfn.CONCAT(Tabela1[[#This Row],[Selecione o Usuário]]," - ",TEXT(Tabela1[[#This Row],[Informe a data]],"dd-mm-aa"))</f>
        <v>#NAME?</v>
      </c>
    </row>
    <row r="398" spans="1:29">
      <c r="A398" s="89">
        <v>46181.635601851849</v>
      </c>
      <c r="B398" s="90" t="s">
        <v>300</v>
      </c>
      <c r="C398" s="90" t="s">
        <v>250</v>
      </c>
      <c r="D398" s="90" t="s">
        <v>228</v>
      </c>
      <c r="E398" s="91">
        <v>46178</v>
      </c>
      <c r="F398" s="92">
        <v>131766</v>
      </c>
      <c r="G398" s="93" t="s">
        <v>1342</v>
      </c>
      <c r="H398" s="92">
        <v>131952</v>
      </c>
      <c r="I398" s="93" t="s">
        <v>1343</v>
      </c>
      <c r="J398" s="90" t="s">
        <v>1344</v>
      </c>
      <c r="K398" s="94"/>
      <c r="L398" s="90" t="s">
        <v>60</v>
      </c>
      <c r="M398" s="94"/>
      <c r="N398" s="94"/>
      <c r="O398" s="94"/>
      <c r="P398" s="94"/>
      <c r="Q398" s="94"/>
      <c r="R398" s="94"/>
      <c r="S398" s="94"/>
      <c r="T398" s="94"/>
      <c r="U398" s="85">
        <f>(Tabela1[[#This Row],[Informe o KM final do dia]]-Tabela1[[#This Row],[Informe o KM inicial do dia]])-Tabela1[[#This Row],[Caso tenha rodado particular alguma parte do trajeto, informe o total de KM a ser deduzido.]]</f>
        <v>186</v>
      </c>
      <c r="V398" s="86">
        <f>IF(Tabela1[[#This Row],[Informe a data]]&lt;DATE(2026,3,16), Tabela1[[#This Row],[KM Rodado]]*1.1, Tabela1[[#This Row],[KM Rodado]]*1.23)</f>
        <v>228.78</v>
      </c>
      <c r="W398" s="86">
        <f>IFERROR(SUBSTITUTE(Tabela1[[#This Row],[Pedágio]],".",",",1)*1,0)</f>
        <v>0</v>
      </c>
      <c r="X398" s="86">
        <f>IFERROR(SUBSTITUTE(Tabela1[[#This Row],[Estacionamento]],".",",",1)*1,0)</f>
        <v>0</v>
      </c>
      <c r="Y398" s="86">
        <f>IFERROR(SUBSTITUTE(Tabela1[[#This Row],[Despesas Diversas 
(Jantar em viagem, Impressões, Etc)]],".",",",1)*1,0)</f>
        <v>0</v>
      </c>
      <c r="Z398" s="86">
        <f>IFERROR(SUBSTITUTE(Tabela1[[#This Row],[Hospedagem]],".",",",1)*1,0)</f>
        <v>0</v>
      </c>
      <c r="AA398" s="56" t="str">
        <f>IF(DAY(Tabela1[[#This Row],[Informe a data]])&lt;=15,"1ª Quinzena","2ª Quinzena")</f>
        <v>1ª Quinzena</v>
      </c>
      <c r="AB398" s="56" t="str">
        <f>UPPER(TEXT(Tabela1[[#This Row],[Informe a data]],"mmmm"))</f>
        <v>JUNHO</v>
      </c>
      <c r="AC398" s="87" t="e">
        <f ca="1">_xlfn.CONCAT(Tabela1[[#This Row],[Selecione o Usuário]]," - ",TEXT(Tabela1[[#This Row],[Informe a data]],"dd-mm-aa"))</f>
        <v>#NAME?</v>
      </c>
    </row>
    <row r="399" spans="1:29">
      <c r="A399" s="89">
        <v>46188.906666666669</v>
      </c>
      <c r="B399" s="90" t="s">
        <v>140</v>
      </c>
      <c r="C399" s="90" t="s">
        <v>141</v>
      </c>
      <c r="D399" s="90" t="s">
        <v>169</v>
      </c>
      <c r="E399" s="91">
        <v>46178</v>
      </c>
      <c r="F399" s="92">
        <v>61048</v>
      </c>
      <c r="G399" s="94"/>
      <c r="H399" s="92">
        <v>61118</v>
      </c>
      <c r="I399" s="94"/>
      <c r="J399" s="90" t="s">
        <v>1399</v>
      </c>
      <c r="K399" s="94"/>
      <c r="L399" s="90" t="s">
        <v>60</v>
      </c>
      <c r="M399" s="94"/>
      <c r="N399" s="94"/>
      <c r="O399" s="94"/>
      <c r="P399" s="94"/>
      <c r="Q399" s="94"/>
      <c r="R399" s="94"/>
      <c r="S399" s="94"/>
      <c r="T399" s="94"/>
      <c r="U399" s="85">
        <f>(Tabela1[[#This Row],[Informe o KM final do dia]]-Tabela1[[#This Row],[Informe o KM inicial do dia]])-Tabela1[[#This Row],[Caso tenha rodado particular alguma parte do trajeto, informe o total de KM a ser deduzido.]]</f>
        <v>70</v>
      </c>
      <c r="V399" s="86">
        <f>IF(Tabela1[[#This Row],[Informe a data]]&lt;DATE(2026,3,16), Tabela1[[#This Row],[KM Rodado]]*1.1, Tabela1[[#This Row],[KM Rodado]]*1.23)</f>
        <v>86.1</v>
      </c>
      <c r="W399" s="86">
        <f>IFERROR(SUBSTITUTE(Tabela1[[#This Row],[Pedágio]],".",",",1)*1,0)</f>
        <v>0</v>
      </c>
      <c r="X399" s="86">
        <f>IFERROR(SUBSTITUTE(Tabela1[[#This Row],[Estacionamento]],".",",",1)*1,0)</f>
        <v>0</v>
      </c>
      <c r="Y399" s="86">
        <f>IFERROR(SUBSTITUTE(Tabela1[[#This Row],[Despesas Diversas 
(Jantar em viagem, Impressões, Etc)]],".",",",1)*1,0)</f>
        <v>0</v>
      </c>
      <c r="Z399" s="86">
        <f>IFERROR(SUBSTITUTE(Tabela1[[#This Row],[Hospedagem]],".",",",1)*1,0)</f>
        <v>0</v>
      </c>
      <c r="AA399" s="56" t="str">
        <f>IF(DAY(Tabela1[[#This Row],[Informe a data]])&lt;=15,"1ª Quinzena","2ª Quinzena")</f>
        <v>1ª Quinzena</v>
      </c>
      <c r="AB399" s="56" t="str">
        <f>UPPER(TEXT(Tabela1[[#This Row],[Informe a data]],"mmmm"))</f>
        <v>JUNHO</v>
      </c>
      <c r="AC399" s="87" t="e">
        <f ca="1">_xlfn.CONCAT(Tabela1[[#This Row],[Selecione o Usuário]]," - ",TEXT(Tabela1[[#This Row],[Informe a data]],"dd-mm-aa"))</f>
        <v>#NAME?</v>
      </c>
    </row>
    <row r="400" spans="1:29">
      <c r="A400" s="49">
        <v>46182.651273148149</v>
      </c>
      <c r="B400" s="50" t="s">
        <v>497</v>
      </c>
      <c r="C400" s="50" t="s">
        <v>498</v>
      </c>
      <c r="D400" s="50" t="s">
        <v>1072</v>
      </c>
      <c r="E400" s="51">
        <v>46181</v>
      </c>
      <c r="F400" s="52">
        <v>54677</v>
      </c>
      <c r="G400" s="58" t="s">
        <v>1351</v>
      </c>
      <c r="H400" s="52">
        <v>54859</v>
      </c>
      <c r="I400" s="58" t="s">
        <v>1352</v>
      </c>
      <c r="J400" s="50" t="s">
        <v>1353</v>
      </c>
      <c r="K400" s="53"/>
      <c r="L400" s="50" t="s">
        <v>61</v>
      </c>
      <c r="M400" s="50" t="s">
        <v>744</v>
      </c>
      <c r="N400" s="50" t="s">
        <v>1354</v>
      </c>
      <c r="O400" s="53"/>
      <c r="P400" s="53"/>
      <c r="Q400" s="53"/>
      <c r="R400" s="53"/>
      <c r="S400" s="53"/>
      <c r="T400" s="53"/>
      <c r="U400" s="85">
        <f>(Tabela1[[#This Row],[Informe o KM final do dia]]-Tabela1[[#This Row],[Informe o KM inicial do dia]])-Tabela1[[#This Row],[Caso tenha rodado particular alguma parte do trajeto, informe o total de KM a ser deduzido.]]</f>
        <v>182</v>
      </c>
      <c r="V400" s="86">
        <f>IF(Tabela1[[#This Row],[Informe a data]]&lt;DATE(2026,3,16), Tabela1[[#This Row],[KM Rodado]]*1.1, Tabela1[[#This Row],[KM Rodado]]*1.23)</f>
        <v>223.85999999999999</v>
      </c>
      <c r="W400" s="86">
        <f>IFERROR(SUBSTITUTE(Tabela1[[#This Row],[Pedágio]],".",",",1)*1,0)</f>
        <v>10.4</v>
      </c>
      <c r="X400" s="86">
        <f>IFERROR(SUBSTITUTE(Tabela1[[#This Row],[Estacionamento]],".",",",1)*1,0)</f>
        <v>0</v>
      </c>
      <c r="Y400" s="86">
        <f>IFERROR(SUBSTITUTE(Tabela1[[#This Row],[Despesas Diversas 
(Jantar em viagem, Impressões, Etc)]],".",",",1)*1,0)</f>
        <v>0</v>
      </c>
      <c r="Z400" s="86">
        <f>IFERROR(SUBSTITUTE(Tabela1[[#This Row],[Hospedagem]],".",",",1)*1,0)</f>
        <v>0</v>
      </c>
      <c r="AA400" s="56" t="str">
        <f>IF(DAY(Tabela1[[#This Row],[Informe a data]])&lt;=15,"1ª Quinzena","2ª Quinzena")</f>
        <v>1ª Quinzena</v>
      </c>
      <c r="AB400" s="56" t="str">
        <f>UPPER(TEXT(Tabela1[[#This Row],[Informe a data]],"mmmm"))</f>
        <v>JUNHO</v>
      </c>
      <c r="AC400" s="87" t="e">
        <f ca="1">_xlfn.CONCAT(Tabela1[[#This Row],[Selecione o Usuário]]," - ",TEXT(Tabela1[[#This Row],[Informe a data]],"dd-mm-aa"))</f>
        <v>#NAME?</v>
      </c>
    </row>
    <row r="401" spans="1:29">
      <c r="A401" s="89">
        <v>46181.688275462962</v>
      </c>
      <c r="B401" s="90" t="s">
        <v>1260</v>
      </c>
      <c r="C401" s="90" t="s">
        <v>505</v>
      </c>
      <c r="D401" s="90" t="s">
        <v>551</v>
      </c>
      <c r="E401" s="91">
        <v>46181</v>
      </c>
      <c r="F401" s="92">
        <v>106069</v>
      </c>
      <c r="G401" s="93" t="s">
        <v>1348</v>
      </c>
      <c r="H401" s="92">
        <v>106080</v>
      </c>
      <c r="I401" s="93" t="s">
        <v>1349</v>
      </c>
      <c r="J401" s="90" t="s">
        <v>1350</v>
      </c>
      <c r="K401" s="94"/>
      <c r="L401" s="90" t="s">
        <v>60</v>
      </c>
      <c r="M401" s="94"/>
      <c r="N401" s="94"/>
      <c r="O401" s="94"/>
      <c r="P401" s="94"/>
      <c r="Q401" s="94"/>
      <c r="R401" s="94"/>
      <c r="S401" s="94"/>
      <c r="T401" s="94"/>
      <c r="U401" s="85">
        <f>(Tabela1[[#This Row],[Informe o KM final do dia]]-Tabela1[[#This Row],[Informe o KM inicial do dia]])-Tabela1[[#This Row],[Caso tenha rodado particular alguma parte do trajeto, informe o total de KM a ser deduzido.]]</f>
        <v>11</v>
      </c>
      <c r="V401" s="86">
        <f>IF(Tabela1[[#This Row],[Informe a data]]&lt;DATE(2026,3,16), Tabela1[[#This Row],[KM Rodado]]*1.1, Tabela1[[#This Row],[KM Rodado]]*1.23)</f>
        <v>13.53</v>
      </c>
      <c r="W401" s="86">
        <f>IFERROR(SUBSTITUTE(Tabela1[[#This Row],[Pedágio]],".",",",1)*1,0)</f>
        <v>0</v>
      </c>
      <c r="X401" s="86">
        <f>IFERROR(SUBSTITUTE(Tabela1[[#This Row],[Estacionamento]],".",",",1)*1,0)</f>
        <v>0</v>
      </c>
      <c r="Y401" s="86">
        <f>IFERROR(SUBSTITUTE(Tabela1[[#This Row],[Despesas Diversas 
(Jantar em viagem, Impressões, Etc)]],".",",",1)*1,0)</f>
        <v>0</v>
      </c>
      <c r="Z401" s="86">
        <f>IFERROR(SUBSTITUTE(Tabela1[[#This Row],[Hospedagem]],".",",",1)*1,0)</f>
        <v>0</v>
      </c>
      <c r="AA401" s="56" t="str">
        <f>IF(DAY(Tabela1[[#This Row],[Informe a data]])&lt;=15,"1ª Quinzena","2ª Quinzena")</f>
        <v>1ª Quinzena</v>
      </c>
      <c r="AB401" s="56" t="str">
        <f>UPPER(TEXT(Tabela1[[#This Row],[Informe a data]],"mmmm"))</f>
        <v>JUNHO</v>
      </c>
      <c r="AC401" s="87" t="e">
        <f ca="1">_xlfn.CONCAT(Tabela1[[#This Row],[Selecione o Usuário]]," - ",TEXT(Tabela1[[#This Row],[Informe a data]],"dd-mm-aa"))</f>
        <v>#NAME?</v>
      </c>
    </row>
    <row r="402" spans="1:29">
      <c r="A402" s="49">
        <v>46188.90965277778</v>
      </c>
      <c r="B402" s="50" t="s">
        <v>140</v>
      </c>
      <c r="C402" s="50" t="s">
        <v>141</v>
      </c>
      <c r="D402" s="50" t="s">
        <v>169</v>
      </c>
      <c r="E402" s="51">
        <v>46182</v>
      </c>
      <c r="F402" s="120">
        <v>61238</v>
      </c>
      <c r="G402" s="53"/>
      <c r="H402" s="52">
        <v>61303</v>
      </c>
      <c r="I402" s="53"/>
      <c r="J402" s="50" t="s">
        <v>1400</v>
      </c>
      <c r="K402" s="53"/>
      <c r="L402" s="50" t="s">
        <v>60</v>
      </c>
      <c r="M402" s="53"/>
      <c r="N402" s="53"/>
      <c r="O402" s="53"/>
      <c r="P402" s="53"/>
      <c r="Q402" s="53"/>
      <c r="R402" s="53"/>
      <c r="S402" s="53"/>
      <c r="T402" s="53"/>
      <c r="U402" s="85">
        <f>(Tabela1[[#This Row],[Informe o KM final do dia]]-Tabela1[[#This Row],[Informe o KM inicial do dia]])-Tabela1[[#This Row],[Caso tenha rodado particular alguma parte do trajeto, informe o total de KM a ser deduzido.]]</f>
        <v>65</v>
      </c>
      <c r="V402" s="86">
        <f>IF(Tabela1[[#This Row],[Informe a data]]&lt;DATE(2026,3,16), Tabela1[[#This Row],[KM Rodado]]*1.1, Tabela1[[#This Row],[KM Rodado]]*1.23)</f>
        <v>79.95</v>
      </c>
      <c r="W402" s="86">
        <f>IFERROR(SUBSTITUTE(Tabela1[[#This Row],[Pedágio]],".",",",1)*1,0)</f>
        <v>0</v>
      </c>
      <c r="X402" s="86">
        <f>IFERROR(SUBSTITUTE(Tabela1[[#This Row],[Estacionamento]],".",",",1)*1,0)</f>
        <v>0</v>
      </c>
      <c r="Y402" s="86">
        <f>IFERROR(SUBSTITUTE(Tabela1[[#This Row],[Despesas Diversas 
(Jantar em viagem, Impressões, Etc)]],".",",",1)*1,0)</f>
        <v>0</v>
      </c>
      <c r="Z402" s="86">
        <f>IFERROR(SUBSTITUTE(Tabela1[[#This Row],[Hospedagem]],".",",",1)*1,0)</f>
        <v>0</v>
      </c>
      <c r="AA402" s="56" t="str">
        <f>IF(DAY(Tabela1[[#This Row],[Informe a data]])&lt;=15,"1ª Quinzena","2ª Quinzena")</f>
        <v>1ª Quinzena</v>
      </c>
      <c r="AB402" s="56" t="str">
        <f>UPPER(TEXT(Tabela1[[#This Row],[Informe a data]],"mmmm"))</f>
        <v>JUNHO</v>
      </c>
      <c r="AC402" s="87" t="e">
        <f ca="1">_xlfn.CONCAT(Tabela1[[#This Row],[Selecione o Usuário]]," - ",TEXT(Tabela1[[#This Row],[Informe a data]],"dd-mm-aa"))</f>
        <v>#NAME?</v>
      </c>
    </row>
    <row r="403" spans="1:29">
      <c r="A403" s="89">
        <v>46188.921643518515</v>
      </c>
      <c r="B403" s="90" t="s">
        <v>140</v>
      </c>
      <c r="C403" s="90" t="s">
        <v>141</v>
      </c>
      <c r="D403" s="90" t="s">
        <v>169</v>
      </c>
      <c r="E403" s="91">
        <v>46182</v>
      </c>
      <c r="F403" s="92">
        <v>61338</v>
      </c>
      <c r="G403" s="94"/>
      <c r="H403" s="92">
        <v>61393</v>
      </c>
      <c r="I403" s="94"/>
      <c r="J403" s="90" t="s">
        <v>1401</v>
      </c>
      <c r="K403" s="94"/>
      <c r="L403" s="90" t="s">
        <v>60</v>
      </c>
      <c r="M403" s="94"/>
      <c r="N403" s="94"/>
      <c r="O403" s="94"/>
      <c r="P403" s="94"/>
      <c r="Q403" s="94"/>
      <c r="R403" s="94"/>
      <c r="S403" s="94"/>
      <c r="T403" s="94"/>
      <c r="U403" s="85">
        <f>(Tabela1[[#This Row],[Informe o KM final do dia]]-Tabela1[[#This Row],[Informe o KM inicial do dia]])-Tabela1[[#This Row],[Caso tenha rodado particular alguma parte do trajeto, informe o total de KM a ser deduzido.]]</f>
        <v>55</v>
      </c>
      <c r="V403" s="86">
        <f>IF(Tabela1[[#This Row],[Informe a data]]&lt;DATE(2026,3,16), Tabela1[[#This Row],[KM Rodado]]*1.1, Tabela1[[#This Row],[KM Rodado]]*1.23)</f>
        <v>67.650000000000006</v>
      </c>
      <c r="W403" s="86">
        <f>IFERROR(SUBSTITUTE(Tabela1[[#This Row],[Pedágio]],".",",",1)*1,0)</f>
        <v>0</v>
      </c>
      <c r="X403" s="86">
        <f>IFERROR(SUBSTITUTE(Tabela1[[#This Row],[Estacionamento]],".",",",1)*1,0)</f>
        <v>0</v>
      </c>
      <c r="Y403" s="86">
        <f>IFERROR(SUBSTITUTE(Tabela1[[#This Row],[Despesas Diversas 
(Jantar em viagem, Impressões, Etc)]],".",",",1)*1,0)</f>
        <v>0</v>
      </c>
      <c r="Z403" s="86">
        <f>IFERROR(SUBSTITUTE(Tabela1[[#This Row],[Hospedagem]],".",",",1)*1,0)</f>
        <v>0</v>
      </c>
      <c r="AA403" s="56" t="str">
        <f>IF(DAY(Tabela1[[#This Row],[Informe a data]])&lt;=15,"1ª Quinzena","2ª Quinzena")</f>
        <v>1ª Quinzena</v>
      </c>
      <c r="AB403" s="56" t="str">
        <f>UPPER(TEXT(Tabela1[[#This Row],[Informe a data]],"mmmm"))</f>
        <v>JUNHO</v>
      </c>
      <c r="AC403" s="87" t="e">
        <f ca="1">_xlfn.CONCAT(Tabela1[[#This Row],[Selecione o Usuário]]," - ",TEXT(Tabela1[[#This Row],[Informe a data]],"dd-mm-aa"))</f>
        <v>#NAME?</v>
      </c>
    </row>
    <row r="404" spans="1:29">
      <c r="A404" s="89">
        <v>46183.8750462963</v>
      </c>
      <c r="B404" s="90" t="s">
        <v>131</v>
      </c>
      <c r="C404" s="90" t="s">
        <v>132</v>
      </c>
      <c r="D404" s="90" t="s">
        <v>133</v>
      </c>
      <c r="E404" s="91">
        <v>46183</v>
      </c>
      <c r="F404" s="92">
        <v>194392</v>
      </c>
      <c r="G404" s="93" t="s">
        <v>1355</v>
      </c>
      <c r="H404" s="92">
        <v>194440</v>
      </c>
      <c r="I404" s="93" t="s">
        <v>1356</v>
      </c>
      <c r="J404" s="90" t="s">
        <v>1357</v>
      </c>
      <c r="K404" s="94"/>
      <c r="L404" s="90" t="s">
        <v>60</v>
      </c>
      <c r="M404" s="94"/>
      <c r="N404" s="94"/>
      <c r="O404" s="94"/>
      <c r="P404" s="94"/>
      <c r="Q404" s="94"/>
      <c r="R404" s="94"/>
      <c r="S404" s="94"/>
      <c r="T404" s="94"/>
      <c r="U404" s="85">
        <f>(Tabela1[[#This Row],[Informe o KM final do dia]]-Tabela1[[#This Row],[Informe o KM inicial do dia]])-Tabela1[[#This Row],[Caso tenha rodado particular alguma parte do trajeto, informe o total de KM a ser deduzido.]]</f>
        <v>48</v>
      </c>
      <c r="V404" s="86">
        <f>IF(Tabela1[[#This Row],[Informe a data]]&lt;DATE(2026,3,16), Tabela1[[#This Row],[KM Rodado]]*1.1, Tabela1[[#This Row],[KM Rodado]]*1.23)</f>
        <v>59.04</v>
      </c>
      <c r="W404" s="86">
        <f>IFERROR(SUBSTITUTE(Tabela1[[#This Row],[Pedágio]],".",",",1)*1,0)</f>
        <v>0</v>
      </c>
      <c r="X404" s="86">
        <f>IFERROR(SUBSTITUTE(Tabela1[[#This Row],[Estacionamento]],".",",",1)*1,0)</f>
        <v>0</v>
      </c>
      <c r="Y404" s="86">
        <f>IFERROR(SUBSTITUTE(Tabela1[[#This Row],[Despesas Diversas 
(Jantar em viagem, Impressões, Etc)]],".",",",1)*1,0)</f>
        <v>0</v>
      </c>
      <c r="Z404" s="86">
        <f>IFERROR(SUBSTITUTE(Tabela1[[#This Row],[Hospedagem]],".",",",1)*1,0)</f>
        <v>0</v>
      </c>
      <c r="AA404" s="56" t="str">
        <f>IF(DAY(Tabela1[[#This Row],[Informe a data]])&lt;=15,"1ª Quinzena","2ª Quinzena")</f>
        <v>1ª Quinzena</v>
      </c>
      <c r="AB404" s="56" t="str">
        <f>UPPER(TEXT(Tabela1[[#This Row],[Informe a data]],"mmmm"))</f>
        <v>JUNHO</v>
      </c>
      <c r="AC404" s="87" t="e">
        <f ca="1">_xlfn.CONCAT(Tabela1[[#This Row],[Selecione o Usuário]]," - ",TEXT(Tabela1[[#This Row],[Informe a data]],"dd-mm-aa"))</f>
        <v>#NAME?</v>
      </c>
    </row>
    <row r="405" spans="1:29">
      <c r="A405" s="89">
        <v>46185.640219907407</v>
      </c>
      <c r="B405" s="90" t="s">
        <v>1260</v>
      </c>
      <c r="C405" s="90" t="s">
        <v>505</v>
      </c>
      <c r="D405" s="90" t="s">
        <v>1364</v>
      </c>
      <c r="E405" s="91">
        <v>46183</v>
      </c>
      <c r="F405" s="92">
        <v>106122</v>
      </c>
      <c r="G405" s="93" t="s">
        <v>1365</v>
      </c>
      <c r="H405" s="92">
        <v>106210</v>
      </c>
      <c r="I405" s="93" t="s">
        <v>1366</v>
      </c>
      <c r="J405" s="90" t="s">
        <v>1367</v>
      </c>
      <c r="K405" s="94"/>
      <c r="L405" s="90" t="s">
        <v>60</v>
      </c>
      <c r="M405" s="94"/>
      <c r="N405" s="94"/>
      <c r="O405" s="94"/>
      <c r="P405" s="94"/>
      <c r="Q405" s="94"/>
      <c r="R405" s="94"/>
      <c r="S405" s="94"/>
      <c r="T405" s="94"/>
      <c r="U405" s="85">
        <f>(Tabela1[[#This Row],[Informe o KM final do dia]]-Tabela1[[#This Row],[Informe o KM inicial do dia]])-Tabela1[[#This Row],[Caso tenha rodado particular alguma parte do trajeto, informe o total de KM a ser deduzido.]]</f>
        <v>88</v>
      </c>
      <c r="V405" s="86">
        <f>IF(Tabela1[[#This Row],[Informe a data]]&lt;DATE(2026,3,16), Tabela1[[#This Row],[KM Rodado]]*1.1, Tabela1[[#This Row],[KM Rodado]]*1.23)</f>
        <v>108.24</v>
      </c>
      <c r="W405" s="86">
        <f>IFERROR(SUBSTITUTE(Tabela1[[#This Row],[Pedágio]],".",",",1)*1,0)</f>
        <v>0</v>
      </c>
      <c r="X405" s="86">
        <f>IFERROR(SUBSTITUTE(Tabela1[[#This Row],[Estacionamento]],".",",",1)*1,0)</f>
        <v>0</v>
      </c>
      <c r="Y405" s="86">
        <f>IFERROR(SUBSTITUTE(Tabela1[[#This Row],[Despesas Diversas 
(Jantar em viagem, Impressões, Etc)]],".",",",1)*1,0)</f>
        <v>0</v>
      </c>
      <c r="Z405" s="86">
        <f>IFERROR(SUBSTITUTE(Tabela1[[#This Row],[Hospedagem]],".",",",1)*1,0)</f>
        <v>0</v>
      </c>
      <c r="AA405" s="56" t="str">
        <f>IF(DAY(Tabela1[[#This Row],[Informe a data]])&lt;=15,"1ª Quinzena","2ª Quinzena")</f>
        <v>1ª Quinzena</v>
      </c>
      <c r="AB405" s="56" t="str">
        <f>UPPER(TEXT(Tabela1[[#This Row],[Informe a data]],"mmmm"))</f>
        <v>JUNHO</v>
      </c>
      <c r="AC405" s="87" t="e">
        <f ca="1">_xlfn.CONCAT(Tabela1[[#This Row],[Selecione o Usuário]]," - ",TEXT(Tabela1[[#This Row],[Informe a data]],"dd-mm-aa"))</f>
        <v>#NAME?</v>
      </c>
    </row>
    <row r="406" spans="1:29">
      <c r="A406" s="49">
        <v>46185.660416666666</v>
      </c>
      <c r="B406" s="50" t="s">
        <v>300</v>
      </c>
      <c r="C406" s="50" t="s">
        <v>250</v>
      </c>
      <c r="D406" s="50" t="s">
        <v>228</v>
      </c>
      <c r="E406" s="51">
        <v>46183</v>
      </c>
      <c r="F406" s="52">
        <v>132185</v>
      </c>
      <c r="G406" s="58" t="s">
        <v>1374</v>
      </c>
      <c r="H406" s="52">
        <v>132302</v>
      </c>
      <c r="I406" s="58" t="s">
        <v>1375</v>
      </c>
      <c r="J406" s="50" t="s">
        <v>1376</v>
      </c>
      <c r="K406" s="53"/>
      <c r="L406" s="50" t="s">
        <v>61</v>
      </c>
      <c r="M406" s="53"/>
      <c r="N406" s="53"/>
      <c r="O406" s="52">
        <v>15</v>
      </c>
      <c r="P406" s="58" t="s">
        <v>1377</v>
      </c>
      <c r="Q406" s="53"/>
      <c r="R406" s="53"/>
      <c r="S406" s="53"/>
      <c r="T406" s="53"/>
      <c r="U406" s="85">
        <f>(Tabela1[[#This Row],[Informe o KM final do dia]]-Tabela1[[#This Row],[Informe o KM inicial do dia]])-Tabela1[[#This Row],[Caso tenha rodado particular alguma parte do trajeto, informe o total de KM a ser deduzido.]]</f>
        <v>117</v>
      </c>
      <c r="V406" s="86">
        <f>IF(Tabela1[[#This Row],[Informe a data]]&lt;DATE(2026,3,16), Tabela1[[#This Row],[KM Rodado]]*1.1, Tabela1[[#This Row],[KM Rodado]]*1.23)</f>
        <v>143.91</v>
      </c>
      <c r="W406" s="86">
        <f>IFERROR(SUBSTITUTE(Tabela1[[#This Row],[Pedágio]],".",",",1)*1,0)</f>
        <v>0</v>
      </c>
      <c r="X406" s="86">
        <f>IFERROR(SUBSTITUTE(Tabela1[[#This Row],[Estacionamento]],".",",",1)*1,0)</f>
        <v>15</v>
      </c>
      <c r="Y406" s="86">
        <f>IFERROR(SUBSTITUTE(Tabela1[[#This Row],[Despesas Diversas 
(Jantar em viagem, Impressões, Etc)]],".",",",1)*1,0)</f>
        <v>0</v>
      </c>
      <c r="Z406" s="86">
        <f>IFERROR(SUBSTITUTE(Tabela1[[#This Row],[Hospedagem]],".",",",1)*1,0)</f>
        <v>0</v>
      </c>
      <c r="AA406" s="56" t="str">
        <f>IF(DAY(Tabela1[[#This Row],[Informe a data]])&lt;=15,"1ª Quinzena","2ª Quinzena")</f>
        <v>1ª Quinzena</v>
      </c>
      <c r="AB406" s="56" t="str">
        <f>UPPER(TEXT(Tabela1[[#This Row],[Informe a data]],"mmmm"))</f>
        <v>JUNHO</v>
      </c>
      <c r="AC406" s="87" t="e">
        <f ca="1">_xlfn.CONCAT(Tabela1[[#This Row],[Selecione o Usuário]]," - ",TEXT(Tabela1[[#This Row],[Informe a data]],"dd-mm-aa"))</f>
        <v>#NAME?</v>
      </c>
    </row>
    <row r="407" spans="1:29">
      <c r="A407" s="89">
        <v>46188.934363425928</v>
      </c>
      <c r="B407" s="90" t="s">
        <v>176</v>
      </c>
      <c r="C407" s="90" t="s">
        <v>136</v>
      </c>
      <c r="D407" s="90" t="s">
        <v>177</v>
      </c>
      <c r="E407" s="91">
        <v>46183</v>
      </c>
      <c r="F407" s="92">
        <v>174302</v>
      </c>
      <c r="G407" s="93" t="s">
        <v>1411</v>
      </c>
      <c r="H407" s="92">
        <v>174399</v>
      </c>
      <c r="I407" s="93" t="s">
        <v>1412</v>
      </c>
      <c r="J407" s="90" t="s">
        <v>1413</v>
      </c>
      <c r="K407" s="94"/>
      <c r="L407" s="90" t="s">
        <v>60</v>
      </c>
      <c r="M407" s="94"/>
      <c r="N407" s="94"/>
      <c r="O407" s="94"/>
      <c r="P407" s="94"/>
      <c r="Q407" s="94"/>
      <c r="R407" s="94"/>
      <c r="S407" s="94"/>
      <c r="T407" s="94"/>
      <c r="U407" s="85">
        <f>(Tabela1[[#This Row],[Informe o KM final do dia]]-Tabela1[[#This Row],[Informe o KM inicial do dia]])-Tabela1[[#This Row],[Caso tenha rodado particular alguma parte do trajeto, informe o total de KM a ser deduzido.]]</f>
        <v>97</v>
      </c>
      <c r="V407" s="86">
        <f>IF(Tabela1[[#This Row],[Informe a data]]&lt;DATE(2026,3,16), Tabela1[[#This Row],[KM Rodado]]*1.1, Tabela1[[#This Row],[KM Rodado]]*1.23)</f>
        <v>119.31</v>
      </c>
      <c r="W407" s="86">
        <f>IFERROR(SUBSTITUTE(Tabela1[[#This Row],[Pedágio]],".",",",1)*1,0)</f>
        <v>0</v>
      </c>
      <c r="X407" s="86">
        <f>IFERROR(SUBSTITUTE(Tabela1[[#This Row],[Estacionamento]],".",",",1)*1,0)</f>
        <v>0</v>
      </c>
      <c r="Y407" s="86">
        <f>IFERROR(SUBSTITUTE(Tabela1[[#This Row],[Despesas Diversas 
(Jantar em viagem, Impressões, Etc)]],".",",",1)*1,0)</f>
        <v>0</v>
      </c>
      <c r="Z407" s="86">
        <f>IFERROR(SUBSTITUTE(Tabela1[[#This Row],[Hospedagem]],".",",",1)*1,0)</f>
        <v>0</v>
      </c>
      <c r="AA407" s="56" t="str">
        <f>IF(DAY(Tabela1[[#This Row],[Informe a data]])&lt;=15,"1ª Quinzena","2ª Quinzena")</f>
        <v>1ª Quinzena</v>
      </c>
      <c r="AB407" s="56" t="str">
        <f>UPPER(TEXT(Tabela1[[#This Row],[Informe a data]],"mmmm"))</f>
        <v>JUNHO</v>
      </c>
      <c r="AC407" s="87" t="e">
        <f ca="1">_xlfn.CONCAT(Tabela1[[#This Row],[Selecione o Usuário]]," - ",TEXT(Tabela1[[#This Row],[Informe a data]],"dd-mm-aa"))</f>
        <v>#NAME?</v>
      </c>
    </row>
    <row r="408" spans="1:29">
      <c r="A408" s="49">
        <v>46188.923391203702</v>
      </c>
      <c r="B408" s="50" t="s">
        <v>140</v>
      </c>
      <c r="C408" s="50" t="s">
        <v>141</v>
      </c>
      <c r="D408" s="50" t="s">
        <v>169</v>
      </c>
      <c r="E408" s="51">
        <v>46183</v>
      </c>
      <c r="F408" s="52">
        <v>61428</v>
      </c>
      <c r="G408" s="53"/>
      <c r="H408" s="52">
        <v>61488</v>
      </c>
      <c r="I408" s="53"/>
      <c r="J408" s="50" t="s">
        <v>1402</v>
      </c>
      <c r="K408" s="53"/>
      <c r="L408" s="50" t="s">
        <v>60</v>
      </c>
      <c r="M408" s="53"/>
      <c r="N408" s="53"/>
      <c r="O408" s="53"/>
      <c r="P408" s="53"/>
      <c r="Q408" s="53"/>
      <c r="R408" s="53"/>
      <c r="S408" s="53"/>
      <c r="T408" s="53"/>
      <c r="U408" s="85">
        <f>(Tabela1[[#This Row],[Informe o KM final do dia]]-Tabela1[[#This Row],[Informe o KM inicial do dia]])-Tabela1[[#This Row],[Caso tenha rodado particular alguma parte do trajeto, informe o total de KM a ser deduzido.]]</f>
        <v>60</v>
      </c>
      <c r="V408" s="86">
        <f>IF(Tabela1[[#This Row],[Informe a data]]&lt;DATE(2026,3,16), Tabela1[[#This Row],[KM Rodado]]*1.1, Tabela1[[#This Row],[KM Rodado]]*1.23)</f>
        <v>73.8</v>
      </c>
      <c r="W408" s="86">
        <f>IFERROR(SUBSTITUTE(Tabela1[[#This Row],[Pedágio]],".",",",1)*1,0)</f>
        <v>0</v>
      </c>
      <c r="X408" s="86">
        <f>IFERROR(SUBSTITUTE(Tabela1[[#This Row],[Estacionamento]],".",",",1)*1,0)</f>
        <v>0</v>
      </c>
      <c r="Y408" s="86">
        <f>IFERROR(SUBSTITUTE(Tabela1[[#This Row],[Despesas Diversas 
(Jantar em viagem, Impressões, Etc)]],".",",",1)*1,0)</f>
        <v>0</v>
      </c>
      <c r="Z408" s="86">
        <f>IFERROR(SUBSTITUTE(Tabela1[[#This Row],[Hospedagem]],".",",",1)*1,0)</f>
        <v>0</v>
      </c>
      <c r="AA408" s="56" t="str">
        <f>IF(DAY(Tabela1[[#This Row],[Informe a data]])&lt;=15,"1ª Quinzena","2ª Quinzena")</f>
        <v>1ª Quinzena</v>
      </c>
      <c r="AB408" s="56" t="str">
        <f>UPPER(TEXT(Tabela1[[#This Row],[Informe a data]],"mmmm"))</f>
        <v>JUNHO</v>
      </c>
      <c r="AC408" s="87" t="e">
        <f ca="1">_xlfn.CONCAT(Tabela1[[#This Row],[Selecione o Usuário]]," - ",TEXT(Tabela1[[#This Row],[Informe a data]],"dd-mm-aa"))</f>
        <v>#NAME?</v>
      </c>
    </row>
    <row r="409" spans="1:29">
      <c r="A409" s="49">
        <v>46186.53020833333</v>
      </c>
      <c r="B409" s="50" t="s">
        <v>625</v>
      </c>
      <c r="C409" s="50" t="s">
        <v>626</v>
      </c>
      <c r="D409" s="50" t="s">
        <v>627</v>
      </c>
      <c r="E409" s="51">
        <v>46184</v>
      </c>
      <c r="F409" s="52">
        <v>167750</v>
      </c>
      <c r="G409" s="58" t="s">
        <v>1390</v>
      </c>
      <c r="H409" s="52">
        <v>168115</v>
      </c>
      <c r="I409" s="58" t="s">
        <v>1391</v>
      </c>
      <c r="J409" s="50" t="s">
        <v>1392</v>
      </c>
      <c r="K409" s="53"/>
      <c r="L409" s="50" t="s">
        <v>60</v>
      </c>
      <c r="M409" s="53"/>
      <c r="N409" s="53"/>
      <c r="O409" s="53"/>
      <c r="P409" s="53"/>
      <c r="Q409" s="53"/>
      <c r="R409" s="53"/>
      <c r="S409" s="53"/>
      <c r="T409" s="53"/>
      <c r="U409" s="85">
        <f>(Tabela1[[#This Row],[Informe o KM final do dia]]-Tabela1[[#This Row],[Informe o KM inicial do dia]])-Tabela1[[#This Row],[Caso tenha rodado particular alguma parte do trajeto, informe o total de KM a ser deduzido.]]</f>
        <v>365</v>
      </c>
      <c r="V409" s="86">
        <f>IF(Tabela1[[#This Row],[Informe a data]]&lt;DATE(2026,3,16), Tabela1[[#This Row],[KM Rodado]]*1.1, Tabela1[[#This Row],[KM Rodado]]*1.23)</f>
        <v>448.95</v>
      </c>
      <c r="W409" s="86">
        <f>IFERROR(SUBSTITUTE(Tabela1[[#This Row],[Pedágio]],".",",",1)*1,0)</f>
        <v>0</v>
      </c>
      <c r="X409" s="86">
        <f>IFERROR(SUBSTITUTE(Tabela1[[#This Row],[Estacionamento]],".",",",1)*1,0)</f>
        <v>0</v>
      </c>
      <c r="Y409" s="86">
        <f>IFERROR(SUBSTITUTE(Tabela1[[#This Row],[Despesas Diversas 
(Jantar em viagem, Impressões, Etc)]],".",",",1)*1,0)</f>
        <v>0</v>
      </c>
      <c r="Z409" s="86">
        <f>IFERROR(SUBSTITUTE(Tabela1[[#This Row],[Hospedagem]],".",",",1)*1,0)</f>
        <v>0</v>
      </c>
      <c r="AA409" s="56" t="str">
        <f>IF(DAY(Tabela1[[#This Row],[Informe a data]])&lt;=15,"1ª Quinzena","2ª Quinzena")</f>
        <v>1ª Quinzena</v>
      </c>
      <c r="AB409" s="56" t="str">
        <f>UPPER(TEXT(Tabela1[[#This Row],[Informe a data]],"mmmm"))</f>
        <v>JUNHO</v>
      </c>
      <c r="AC409" s="87" t="e">
        <f ca="1">_xlfn.CONCAT(Tabela1[[#This Row],[Selecione o Usuário]]," - ",TEXT(Tabela1[[#This Row],[Informe a data]],"dd-mm-aa"))</f>
        <v>#NAME?</v>
      </c>
    </row>
    <row r="410" spans="1:29">
      <c r="A410" s="89">
        <v>46184.910567129627</v>
      </c>
      <c r="B410" s="90" t="s">
        <v>131</v>
      </c>
      <c r="C410" s="90" t="s">
        <v>132</v>
      </c>
      <c r="D410" s="90" t="s">
        <v>133</v>
      </c>
      <c r="E410" s="91">
        <v>46184</v>
      </c>
      <c r="F410" s="92">
        <v>194441</v>
      </c>
      <c r="G410" s="93" t="s">
        <v>1361</v>
      </c>
      <c r="H410" s="92">
        <v>194500</v>
      </c>
      <c r="I410" s="93" t="s">
        <v>1362</v>
      </c>
      <c r="J410" s="90" t="s">
        <v>1363</v>
      </c>
      <c r="K410" s="94"/>
      <c r="L410" s="90" t="s">
        <v>60</v>
      </c>
      <c r="M410" s="94"/>
      <c r="N410" s="94"/>
      <c r="O410" s="94"/>
      <c r="P410" s="94"/>
      <c r="Q410" s="94"/>
      <c r="R410" s="94"/>
      <c r="S410" s="94"/>
      <c r="T410" s="94"/>
      <c r="U410" s="85">
        <f>(Tabela1[[#This Row],[Informe o KM final do dia]]-Tabela1[[#This Row],[Informe o KM inicial do dia]])-Tabela1[[#This Row],[Caso tenha rodado particular alguma parte do trajeto, informe o total de KM a ser deduzido.]]</f>
        <v>59</v>
      </c>
      <c r="V410" s="86">
        <f>IF(Tabela1[[#This Row],[Informe a data]]&lt;DATE(2026,3,16), Tabela1[[#This Row],[KM Rodado]]*1.1, Tabela1[[#This Row],[KM Rodado]]*1.23)</f>
        <v>72.569999999999993</v>
      </c>
      <c r="W410" s="86">
        <f>IFERROR(SUBSTITUTE(Tabela1[[#This Row],[Pedágio]],".",",",1)*1,0)</f>
        <v>0</v>
      </c>
      <c r="X410" s="86">
        <f>IFERROR(SUBSTITUTE(Tabela1[[#This Row],[Estacionamento]],".",",",1)*1,0)</f>
        <v>0</v>
      </c>
      <c r="Y410" s="86">
        <f>IFERROR(SUBSTITUTE(Tabela1[[#This Row],[Despesas Diversas 
(Jantar em viagem, Impressões, Etc)]],".",",",1)*1,0)</f>
        <v>0</v>
      </c>
      <c r="Z410" s="86">
        <f>IFERROR(SUBSTITUTE(Tabela1[[#This Row],[Hospedagem]],".",",",1)*1,0)</f>
        <v>0</v>
      </c>
      <c r="AA410" s="56" t="str">
        <f>IF(DAY(Tabela1[[#This Row],[Informe a data]])&lt;=15,"1ª Quinzena","2ª Quinzena")</f>
        <v>1ª Quinzena</v>
      </c>
      <c r="AB410" s="56" t="str">
        <f>UPPER(TEXT(Tabela1[[#This Row],[Informe a data]],"mmmm"))</f>
        <v>JUNHO</v>
      </c>
      <c r="AC410" s="87" t="e">
        <f ca="1">_xlfn.CONCAT(Tabela1[[#This Row],[Selecione o Usuário]]," - ",TEXT(Tabela1[[#This Row],[Informe a data]],"dd-mm-aa"))</f>
        <v>#NAME?</v>
      </c>
    </row>
    <row r="411" spans="1:29">
      <c r="A411" s="49">
        <v>46184.653090277781</v>
      </c>
      <c r="B411" s="50" t="s">
        <v>497</v>
      </c>
      <c r="C411" s="50" t="s">
        <v>498</v>
      </c>
      <c r="D411" s="50" t="s">
        <v>1072</v>
      </c>
      <c r="E411" s="51">
        <v>46184</v>
      </c>
      <c r="F411" s="52">
        <v>15942</v>
      </c>
      <c r="G411" s="58" t="s">
        <v>1358</v>
      </c>
      <c r="H411" s="52">
        <v>16010</v>
      </c>
      <c r="I411" s="58" t="s">
        <v>1359</v>
      </c>
      <c r="J411" s="50" t="s">
        <v>1360</v>
      </c>
      <c r="K411" s="53"/>
      <c r="L411" s="50" t="s">
        <v>60</v>
      </c>
      <c r="M411" s="53"/>
      <c r="N411" s="53"/>
      <c r="O411" s="53"/>
      <c r="P411" s="53"/>
      <c r="Q411" s="53"/>
      <c r="R411" s="53"/>
      <c r="S411" s="53"/>
      <c r="T411" s="53"/>
      <c r="U411" s="85">
        <f>(Tabela1[[#This Row],[Informe o KM final do dia]]-Tabela1[[#This Row],[Informe o KM inicial do dia]])-Tabela1[[#This Row],[Caso tenha rodado particular alguma parte do trajeto, informe o total de KM a ser deduzido.]]</f>
        <v>68</v>
      </c>
      <c r="V411" s="86">
        <f>IF(Tabela1[[#This Row],[Informe a data]]&lt;DATE(2026,3,16), Tabela1[[#This Row],[KM Rodado]]*1.1, Tabela1[[#This Row],[KM Rodado]]*1.23)</f>
        <v>83.64</v>
      </c>
      <c r="W411" s="86">
        <f>IFERROR(SUBSTITUTE(Tabela1[[#This Row],[Pedágio]],".",",",1)*1,0)</f>
        <v>0</v>
      </c>
      <c r="X411" s="86">
        <f>IFERROR(SUBSTITUTE(Tabela1[[#This Row],[Estacionamento]],".",",",1)*1,0)</f>
        <v>0</v>
      </c>
      <c r="Y411" s="86">
        <f>IFERROR(SUBSTITUTE(Tabela1[[#This Row],[Despesas Diversas 
(Jantar em viagem, Impressões, Etc)]],".",",",1)*1,0)</f>
        <v>0</v>
      </c>
      <c r="Z411" s="86">
        <f>IFERROR(SUBSTITUTE(Tabela1[[#This Row],[Hospedagem]],".",",",1)*1,0)</f>
        <v>0</v>
      </c>
      <c r="AA411" s="56" t="str">
        <f>IF(DAY(Tabela1[[#This Row],[Informe a data]])&lt;=15,"1ª Quinzena","2ª Quinzena")</f>
        <v>1ª Quinzena</v>
      </c>
      <c r="AB411" s="56" t="str">
        <f>UPPER(TEXT(Tabela1[[#This Row],[Informe a data]],"mmmm"))</f>
        <v>JUNHO</v>
      </c>
      <c r="AC411" s="87" t="e">
        <f ca="1">_xlfn.CONCAT(Tabela1[[#This Row],[Selecione o Usuário]]," - ",TEXT(Tabela1[[#This Row],[Informe a data]],"dd-mm-aa"))</f>
        <v>#NAME?</v>
      </c>
    </row>
    <row r="412" spans="1:29">
      <c r="A412" s="49">
        <v>46185.641296296293</v>
      </c>
      <c r="B412" s="50" t="s">
        <v>1260</v>
      </c>
      <c r="C412" s="50" t="s">
        <v>505</v>
      </c>
      <c r="D412" s="50" t="s">
        <v>551</v>
      </c>
      <c r="E412" s="51">
        <v>46184</v>
      </c>
      <c r="F412" s="52">
        <v>106212</v>
      </c>
      <c r="G412" s="58" t="s">
        <v>1368</v>
      </c>
      <c r="H412" s="52">
        <v>106271</v>
      </c>
      <c r="I412" s="58" t="s">
        <v>1369</v>
      </c>
      <c r="J412" s="50" t="s">
        <v>1370</v>
      </c>
      <c r="K412" s="53"/>
      <c r="L412" s="50" t="s">
        <v>60</v>
      </c>
      <c r="M412" s="53"/>
      <c r="N412" s="53"/>
      <c r="O412" s="53"/>
      <c r="P412" s="53"/>
      <c r="Q412" s="53"/>
      <c r="R412" s="53"/>
      <c r="S412" s="53"/>
      <c r="T412" s="53"/>
      <c r="U412" s="85">
        <f>(Tabela1[[#This Row],[Informe o KM final do dia]]-Tabela1[[#This Row],[Informe o KM inicial do dia]])-Tabela1[[#This Row],[Caso tenha rodado particular alguma parte do trajeto, informe o total de KM a ser deduzido.]]</f>
        <v>59</v>
      </c>
      <c r="V412" s="86">
        <f>IF(Tabela1[[#This Row],[Informe a data]]&lt;DATE(2026,3,16), Tabela1[[#This Row],[KM Rodado]]*1.1, Tabela1[[#This Row],[KM Rodado]]*1.23)</f>
        <v>72.569999999999993</v>
      </c>
      <c r="W412" s="86">
        <f>IFERROR(SUBSTITUTE(Tabela1[[#This Row],[Pedágio]],".",",",1)*1,0)</f>
        <v>0</v>
      </c>
      <c r="X412" s="86">
        <f>IFERROR(SUBSTITUTE(Tabela1[[#This Row],[Estacionamento]],".",",",1)*1,0)</f>
        <v>0</v>
      </c>
      <c r="Y412" s="86">
        <f>IFERROR(SUBSTITUTE(Tabela1[[#This Row],[Despesas Diversas 
(Jantar em viagem, Impressões, Etc)]],".",",",1)*1,0)</f>
        <v>0</v>
      </c>
      <c r="Z412" s="86">
        <f>IFERROR(SUBSTITUTE(Tabela1[[#This Row],[Hospedagem]],".",",",1)*1,0)</f>
        <v>0</v>
      </c>
      <c r="AA412" s="56" t="str">
        <f>IF(DAY(Tabela1[[#This Row],[Informe a data]])&lt;=15,"1ª Quinzena","2ª Quinzena")</f>
        <v>1ª Quinzena</v>
      </c>
      <c r="AB412" s="56" t="str">
        <f>UPPER(TEXT(Tabela1[[#This Row],[Informe a data]],"mmmm"))</f>
        <v>JUNHO</v>
      </c>
      <c r="AC412" s="87" t="e">
        <f ca="1">_xlfn.CONCAT(Tabela1[[#This Row],[Selecione o Usuário]]," - ",TEXT(Tabela1[[#This Row],[Informe a data]],"dd-mm-aa"))</f>
        <v>#NAME?</v>
      </c>
    </row>
    <row r="413" spans="1:29">
      <c r="A413" s="89">
        <v>46185.663414351853</v>
      </c>
      <c r="B413" s="90" t="s">
        <v>300</v>
      </c>
      <c r="C413" s="90" t="s">
        <v>250</v>
      </c>
      <c r="D413" s="90" t="s">
        <v>228</v>
      </c>
      <c r="E413" s="91">
        <v>46184</v>
      </c>
      <c r="F413" s="92">
        <v>132315</v>
      </c>
      <c r="G413" s="93" t="s">
        <v>1378</v>
      </c>
      <c r="H413" s="92">
        <v>132442</v>
      </c>
      <c r="I413" s="93" t="s">
        <v>1379</v>
      </c>
      <c r="J413" s="90" t="s">
        <v>1380</v>
      </c>
      <c r="K413" s="92">
        <v>18</v>
      </c>
      <c r="L413" s="90" t="s">
        <v>60</v>
      </c>
      <c r="M413" s="94"/>
      <c r="N413" s="94"/>
      <c r="O413" s="94"/>
      <c r="P413" s="94"/>
      <c r="Q413" s="94"/>
      <c r="R413" s="94"/>
      <c r="S413" s="94"/>
      <c r="T413" s="94"/>
      <c r="U413" s="85">
        <f>(Tabela1[[#This Row],[Informe o KM final do dia]]-Tabela1[[#This Row],[Informe o KM inicial do dia]])-Tabela1[[#This Row],[Caso tenha rodado particular alguma parte do trajeto, informe o total de KM a ser deduzido.]]</f>
        <v>109</v>
      </c>
      <c r="V413" s="86">
        <f>IF(Tabela1[[#This Row],[Informe a data]]&lt;DATE(2026,3,16), Tabela1[[#This Row],[KM Rodado]]*1.1, Tabela1[[#This Row],[KM Rodado]]*1.23)</f>
        <v>134.07</v>
      </c>
      <c r="W413" s="86">
        <f>IFERROR(SUBSTITUTE(Tabela1[[#This Row],[Pedágio]],".",",",1)*1,0)</f>
        <v>0</v>
      </c>
      <c r="X413" s="86">
        <f>IFERROR(SUBSTITUTE(Tabela1[[#This Row],[Estacionamento]],".",",",1)*1,0)</f>
        <v>0</v>
      </c>
      <c r="Y413" s="86">
        <f>IFERROR(SUBSTITUTE(Tabela1[[#This Row],[Despesas Diversas 
(Jantar em viagem, Impressões, Etc)]],".",",",1)*1,0)</f>
        <v>0</v>
      </c>
      <c r="Z413" s="86">
        <f>IFERROR(SUBSTITUTE(Tabela1[[#This Row],[Hospedagem]],".",",",1)*1,0)</f>
        <v>0</v>
      </c>
      <c r="AA413" s="56" t="str">
        <f>IF(DAY(Tabela1[[#This Row],[Informe a data]])&lt;=15,"1ª Quinzena","2ª Quinzena")</f>
        <v>1ª Quinzena</v>
      </c>
      <c r="AB413" s="56" t="str">
        <f>UPPER(TEXT(Tabela1[[#This Row],[Informe a data]],"mmmm"))</f>
        <v>JUNHO</v>
      </c>
      <c r="AC413" s="87" t="e">
        <f ca="1">_xlfn.CONCAT(Tabela1[[#This Row],[Selecione o Usuário]]," - ",TEXT(Tabela1[[#This Row],[Informe a data]],"dd-mm-aa"))</f>
        <v>#NAME?</v>
      </c>
    </row>
    <row r="414" spans="1:29">
      <c r="A414" s="89">
        <v>46188.925451388888</v>
      </c>
      <c r="B414" s="90" t="s">
        <v>140</v>
      </c>
      <c r="C414" s="90" t="s">
        <v>141</v>
      </c>
      <c r="D414" s="90" t="s">
        <v>169</v>
      </c>
      <c r="E414" s="91">
        <v>46184</v>
      </c>
      <c r="F414" s="92">
        <v>61488</v>
      </c>
      <c r="G414" s="94"/>
      <c r="H414" s="92">
        <v>61563</v>
      </c>
      <c r="I414" s="94"/>
      <c r="J414" s="90" t="s">
        <v>1403</v>
      </c>
      <c r="K414" s="94"/>
      <c r="L414" s="90" t="s">
        <v>60</v>
      </c>
      <c r="M414" s="94"/>
      <c r="N414" s="94"/>
      <c r="O414" s="94"/>
      <c r="P414" s="94"/>
      <c r="Q414" s="94"/>
      <c r="R414" s="94"/>
      <c r="S414" s="94"/>
      <c r="T414" s="94"/>
      <c r="U414" s="85">
        <f>(Tabela1[[#This Row],[Informe o KM final do dia]]-Tabela1[[#This Row],[Informe o KM inicial do dia]])-Tabela1[[#This Row],[Caso tenha rodado particular alguma parte do trajeto, informe o total de KM a ser deduzido.]]</f>
        <v>75</v>
      </c>
      <c r="V414" s="86">
        <f>IF(Tabela1[[#This Row],[Informe a data]]&lt;DATE(2026,3,16), Tabela1[[#This Row],[KM Rodado]]*1.1, Tabela1[[#This Row],[KM Rodado]]*1.23)</f>
        <v>92.25</v>
      </c>
      <c r="W414" s="86">
        <f>IFERROR(SUBSTITUTE(Tabela1[[#This Row],[Pedágio]],".",",",1)*1,0)</f>
        <v>0</v>
      </c>
      <c r="X414" s="86">
        <f>IFERROR(SUBSTITUTE(Tabela1[[#This Row],[Estacionamento]],".",",",1)*1,0)</f>
        <v>0</v>
      </c>
      <c r="Y414" s="86">
        <f>IFERROR(SUBSTITUTE(Tabela1[[#This Row],[Despesas Diversas 
(Jantar em viagem, Impressões, Etc)]],".",",",1)*1,0)</f>
        <v>0</v>
      </c>
      <c r="Z414" s="86">
        <f>IFERROR(SUBSTITUTE(Tabela1[[#This Row],[Hospedagem]],".",",",1)*1,0)</f>
        <v>0</v>
      </c>
      <c r="AA414" s="56" t="str">
        <f>IF(DAY(Tabela1[[#This Row],[Informe a data]])&lt;=15,"1ª Quinzena","2ª Quinzena")</f>
        <v>1ª Quinzena</v>
      </c>
      <c r="AB414" s="56" t="str">
        <f>UPPER(TEXT(Tabela1[[#This Row],[Informe a data]],"mmmm"))</f>
        <v>JUNHO</v>
      </c>
      <c r="AC414" s="87" t="e">
        <f ca="1">_xlfn.CONCAT(Tabela1[[#This Row],[Selecione o Usuário]]," - ",TEXT(Tabela1[[#This Row],[Informe a data]],"dd-mm-aa"))</f>
        <v>#NAME?</v>
      </c>
    </row>
    <row r="415" spans="1:29">
      <c r="A415" s="89">
        <v>46185.699745370373</v>
      </c>
      <c r="B415" s="90" t="s">
        <v>131</v>
      </c>
      <c r="C415" s="90" t="s">
        <v>132</v>
      </c>
      <c r="D415" s="90" t="s">
        <v>133</v>
      </c>
      <c r="E415" s="91">
        <v>46185</v>
      </c>
      <c r="F415" s="92">
        <v>194500</v>
      </c>
      <c r="G415" s="93" t="s">
        <v>1384</v>
      </c>
      <c r="H415" s="92">
        <v>194555</v>
      </c>
      <c r="I415" s="93" t="s">
        <v>1385</v>
      </c>
      <c r="J415" s="90" t="s">
        <v>1386</v>
      </c>
      <c r="K415" s="94"/>
      <c r="L415" s="90" t="s">
        <v>61</v>
      </c>
      <c r="M415" s="94"/>
      <c r="N415" s="94"/>
      <c r="O415" s="94"/>
      <c r="P415" s="94"/>
      <c r="Q415" s="90" t="s">
        <v>1387</v>
      </c>
      <c r="R415" s="93" t="s">
        <v>1388</v>
      </c>
      <c r="S415" s="94"/>
      <c r="T415" s="94" t="s">
        <v>1389</v>
      </c>
      <c r="U415" s="85">
        <f>(Tabela1[[#This Row],[Informe o KM final do dia]]-Tabela1[[#This Row],[Informe o KM inicial do dia]])-Tabela1[[#This Row],[Caso tenha rodado particular alguma parte do trajeto, informe o total de KM a ser deduzido.]]</f>
        <v>55</v>
      </c>
      <c r="V415" s="86">
        <f>IF(Tabela1[[#This Row],[Informe a data]]&lt;DATE(2026,3,16), Tabela1[[#This Row],[KM Rodado]]*1.1, Tabela1[[#This Row],[KM Rodado]]*1.23)</f>
        <v>67.650000000000006</v>
      </c>
      <c r="W415" s="86">
        <f>IFERROR(SUBSTITUTE(Tabela1[[#This Row],[Pedágio]],".",",",1)*1,0)</f>
        <v>0</v>
      </c>
      <c r="X415" s="86">
        <f>IFERROR(SUBSTITUTE(Tabela1[[#This Row],[Estacionamento]],".",",",1)*1,0)</f>
        <v>0</v>
      </c>
      <c r="Y415" s="86">
        <f>IFERROR(SUBSTITUTE(Tabela1[[#This Row],[Despesas Diversas 
(Jantar em viagem, Impressões, Etc)]],".",",",1)*1,0)</f>
        <v>55.66</v>
      </c>
      <c r="Z415" s="86">
        <f>IFERROR(SUBSTITUTE(Tabela1[[#This Row],[Hospedagem]],".",",",1)*1,0)</f>
        <v>0</v>
      </c>
      <c r="AA415" s="56" t="str">
        <f>IF(DAY(Tabela1[[#This Row],[Informe a data]])&lt;=15,"1ª Quinzena","2ª Quinzena")</f>
        <v>1ª Quinzena</v>
      </c>
      <c r="AB415" s="56" t="str">
        <f>UPPER(TEXT(Tabela1[[#This Row],[Informe a data]],"mmmm"))</f>
        <v>JUNHO</v>
      </c>
      <c r="AC415" s="87" t="e">
        <f ca="1">_xlfn.CONCAT(Tabela1[[#This Row],[Selecione o Usuário]]," - ",TEXT(Tabela1[[#This Row],[Informe a data]],"dd-mm-aa"))</f>
        <v>#NAME?</v>
      </c>
    </row>
    <row r="416" spans="1:29">
      <c r="A416" s="89">
        <v>46185.64261574074</v>
      </c>
      <c r="B416" s="90" t="s">
        <v>1260</v>
      </c>
      <c r="C416" s="90" t="s">
        <v>505</v>
      </c>
      <c r="D416" s="90" t="s">
        <v>551</v>
      </c>
      <c r="E416" s="91">
        <v>46185</v>
      </c>
      <c r="F416" s="92">
        <v>106271</v>
      </c>
      <c r="G416" s="93" t="s">
        <v>1371</v>
      </c>
      <c r="H416" s="92">
        <v>106378</v>
      </c>
      <c r="I416" s="93" t="s">
        <v>1372</v>
      </c>
      <c r="J416" s="90" t="s">
        <v>1373</v>
      </c>
      <c r="K416" s="94"/>
      <c r="L416" s="90" t="s">
        <v>60</v>
      </c>
      <c r="M416" s="94"/>
      <c r="N416" s="94"/>
      <c r="O416" s="94"/>
      <c r="P416" s="94"/>
      <c r="Q416" s="94"/>
      <c r="R416" s="94"/>
      <c r="S416" s="94"/>
      <c r="T416" s="94"/>
      <c r="U416" s="85">
        <f>(Tabela1[[#This Row],[Informe o KM final do dia]]-Tabela1[[#This Row],[Informe o KM inicial do dia]])-Tabela1[[#This Row],[Caso tenha rodado particular alguma parte do trajeto, informe o total de KM a ser deduzido.]]</f>
        <v>107</v>
      </c>
      <c r="V416" s="86">
        <f>IF(Tabela1[[#This Row],[Informe a data]]&lt;DATE(2026,3,16), Tabela1[[#This Row],[KM Rodado]]*1.1, Tabela1[[#This Row],[KM Rodado]]*1.23)</f>
        <v>131.60999999999999</v>
      </c>
      <c r="W416" s="86">
        <f>IFERROR(SUBSTITUTE(Tabela1[[#This Row],[Pedágio]],".",",",1)*1,0)</f>
        <v>0</v>
      </c>
      <c r="X416" s="86">
        <f>IFERROR(SUBSTITUTE(Tabela1[[#This Row],[Estacionamento]],".",",",1)*1,0)</f>
        <v>0</v>
      </c>
      <c r="Y416" s="86">
        <f>IFERROR(SUBSTITUTE(Tabela1[[#This Row],[Despesas Diversas 
(Jantar em viagem, Impressões, Etc)]],".",",",1)*1,0)</f>
        <v>0</v>
      </c>
      <c r="Z416" s="86">
        <f>IFERROR(SUBSTITUTE(Tabela1[[#This Row],[Hospedagem]],".",",",1)*1,0)</f>
        <v>0</v>
      </c>
      <c r="AA416" s="56" t="str">
        <f>IF(DAY(Tabela1[[#This Row],[Informe a data]])&lt;=15,"1ª Quinzena","2ª Quinzena")</f>
        <v>1ª Quinzena</v>
      </c>
      <c r="AB416" s="56" t="str">
        <f>UPPER(TEXT(Tabela1[[#This Row],[Informe a data]],"mmmm"))</f>
        <v>JUNHO</v>
      </c>
      <c r="AC416" s="87" t="e">
        <f ca="1">_xlfn.CONCAT(Tabela1[[#This Row],[Selecione o Usuário]]," - ",TEXT(Tabela1[[#This Row],[Informe a data]],"dd-mm-aa"))</f>
        <v>#NAME?</v>
      </c>
    </row>
    <row r="417" spans="1:29">
      <c r="A417" s="49">
        <v>46185.673159722224</v>
      </c>
      <c r="B417" s="50" t="s">
        <v>300</v>
      </c>
      <c r="C417" s="50" t="s">
        <v>250</v>
      </c>
      <c r="D417" s="50" t="s">
        <v>228</v>
      </c>
      <c r="E417" s="51">
        <v>46185</v>
      </c>
      <c r="F417" s="52">
        <v>132466</v>
      </c>
      <c r="G417" s="58" t="s">
        <v>1381</v>
      </c>
      <c r="H417" s="52">
        <v>132559</v>
      </c>
      <c r="I417" s="58" t="s">
        <v>1382</v>
      </c>
      <c r="J417" s="50" t="s">
        <v>1383</v>
      </c>
      <c r="K417" s="53"/>
      <c r="L417" s="50" t="s">
        <v>60</v>
      </c>
      <c r="M417" s="53"/>
      <c r="N417" s="53"/>
      <c r="O417" s="53"/>
      <c r="P417" s="53"/>
      <c r="Q417" s="53"/>
      <c r="R417" s="53"/>
      <c r="S417" s="53"/>
      <c r="T417" s="53"/>
      <c r="U417" s="85">
        <f>(Tabela1[[#This Row],[Informe o KM final do dia]]-Tabela1[[#This Row],[Informe o KM inicial do dia]])-Tabela1[[#This Row],[Caso tenha rodado particular alguma parte do trajeto, informe o total de KM a ser deduzido.]]</f>
        <v>93</v>
      </c>
      <c r="V417" s="86">
        <f>IF(Tabela1[[#This Row],[Informe a data]]&lt;DATE(2026,3,16), Tabela1[[#This Row],[KM Rodado]]*1.1, Tabela1[[#This Row],[KM Rodado]]*1.23)</f>
        <v>114.39</v>
      </c>
      <c r="W417" s="86">
        <f>IFERROR(SUBSTITUTE(Tabela1[[#This Row],[Pedágio]],".",",",1)*1,0)</f>
        <v>0</v>
      </c>
      <c r="X417" s="86">
        <f>IFERROR(SUBSTITUTE(Tabela1[[#This Row],[Estacionamento]],".",",",1)*1,0)</f>
        <v>0</v>
      </c>
      <c r="Y417" s="86">
        <f>IFERROR(SUBSTITUTE(Tabela1[[#This Row],[Despesas Diversas 
(Jantar em viagem, Impressões, Etc)]],".",",",1)*1,0)</f>
        <v>0</v>
      </c>
      <c r="Z417" s="86">
        <f>IFERROR(SUBSTITUTE(Tabela1[[#This Row],[Hospedagem]],".",",",1)*1,0)</f>
        <v>0</v>
      </c>
      <c r="AA417" s="56" t="str">
        <f>IF(DAY(Tabela1[[#This Row],[Informe a data]])&lt;=15,"1ª Quinzena","2ª Quinzena")</f>
        <v>1ª Quinzena</v>
      </c>
      <c r="AB417" s="56" t="str">
        <f>UPPER(TEXT(Tabela1[[#This Row],[Informe a data]],"mmmm"))</f>
        <v>JUNHO</v>
      </c>
      <c r="AC417" s="87" t="e">
        <f ca="1">_xlfn.CONCAT(Tabela1[[#This Row],[Selecione o Usuário]]," - ",TEXT(Tabela1[[#This Row],[Informe a data]],"dd-mm-aa"))</f>
        <v>#NAME?</v>
      </c>
    </row>
    <row r="418" spans="1:29">
      <c r="A418" s="49">
        <v>46188.936701388891</v>
      </c>
      <c r="B418" s="50" t="s">
        <v>176</v>
      </c>
      <c r="C418" s="50" t="s">
        <v>136</v>
      </c>
      <c r="D418" s="50" t="s">
        <v>177</v>
      </c>
      <c r="E418" s="51">
        <v>46185</v>
      </c>
      <c r="F418" s="52">
        <v>174399</v>
      </c>
      <c r="G418" s="58" t="s">
        <v>1414</v>
      </c>
      <c r="H418" s="52">
        <v>174471</v>
      </c>
      <c r="I418" s="58" t="s">
        <v>1415</v>
      </c>
      <c r="J418" s="50" t="s">
        <v>1416</v>
      </c>
      <c r="K418" s="53"/>
      <c r="L418" s="50" t="s">
        <v>60</v>
      </c>
      <c r="M418" s="53"/>
      <c r="N418" s="53"/>
      <c r="O418" s="53"/>
      <c r="P418" s="53"/>
      <c r="Q418" s="53"/>
      <c r="R418" s="53"/>
      <c r="S418" s="53"/>
      <c r="T418" s="53"/>
      <c r="U418" s="85">
        <f>(Tabela1[[#This Row],[Informe o KM final do dia]]-Tabela1[[#This Row],[Informe o KM inicial do dia]])-Tabela1[[#This Row],[Caso tenha rodado particular alguma parte do trajeto, informe o total de KM a ser deduzido.]]</f>
        <v>72</v>
      </c>
      <c r="V418" s="86">
        <f>IF(Tabela1[[#This Row],[Informe a data]]&lt;DATE(2026,3,16), Tabela1[[#This Row],[KM Rodado]]*1.1, Tabela1[[#This Row],[KM Rodado]]*1.23)</f>
        <v>88.56</v>
      </c>
      <c r="W418" s="86">
        <f>IFERROR(SUBSTITUTE(Tabela1[[#This Row],[Pedágio]],".",",",1)*1,0)</f>
        <v>0</v>
      </c>
      <c r="X418" s="86">
        <f>IFERROR(SUBSTITUTE(Tabela1[[#This Row],[Estacionamento]],".",",",1)*1,0)</f>
        <v>0</v>
      </c>
      <c r="Y418" s="86">
        <f>IFERROR(SUBSTITUTE(Tabela1[[#This Row],[Despesas Diversas 
(Jantar em viagem, Impressões, Etc)]],".",",",1)*1,0)</f>
        <v>0</v>
      </c>
      <c r="Z418" s="86">
        <f>IFERROR(SUBSTITUTE(Tabela1[[#This Row],[Hospedagem]],".",",",1)*1,0)</f>
        <v>0</v>
      </c>
      <c r="AA418" s="56" t="str">
        <f>IF(DAY(Tabela1[[#This Row],[Informe a data]])&lt;=15,"1ª Quinzena","2ª Quinzena")</f>
        <v>1ª Quinzena</v>
      </c>
      <c r="AB418" s="56" t="str">
        <f>UPPER(TEXT(Tabela1[[#This Row],[Informe a data]],"mmmm"))</f>
        <v>JUNHO</v>
      </c>
      <c r="AC418" s="87" t="e">
        <f ca="1">_xlfn.CONCAT(Tabela1[[#This Row],[Selecione o Usuário]]," - ",TEXT(Tabela1[[#This Row],[Informe a data]],"dd-mm-aa"))</f>
        <v>#NAME?</v>
      </c>
    </row>
    <row r="419" spans="1:29">
      <c r="A419" s="49">
        <v>46188.926539351851</v>
      </c>
      <c r="B419" s="50" t="s">
        <v>140</v>
      </c>
      <c r="C419" s="50" t="s">
        <v>141</v>
      </c>
      <c r="D419" s="50" t="s">
        <v>961</v>
      </c>
      <c r="E419" s="51">
        <v>46185</v>
      </c>
      <c r="F419" s="52">
        <v>61588</v>
      </c>
      <c r="G419" s="53"/>
      <c r="H419" s="52">
        <v>61633</v>
      </c>
      <c r="I419" s="53"/>
      <c r="J419" s="50" t="s">
        <v>1404</v>
      </c>
      <c r="K419" s="53"/>
      <c r="L419" s="50" t="s">
        <v>60</v>
      </c>
      <c r="M419" s="53"/>
      <c r="N419" s="53"/>
      <c r="O419" s="53"/>
      <c r="P419" s="53"/>
      <c r="Q419" s="53"/>
      <c r="R419" s="53"/>
      <c r="S419" s="53"/>
      <c r="T419" s="53"/>
      <c r="U419" s="85">
        <f>(Tabela1[[#This Row],[Informe o KM final do dia]]-Tabela1[[#This Row],[Informe o KM inicial do dia]])-Tabela1[[#This Row],[Caso tenha rodado particular alguma parte do trajeto, informe o total de KM a ser deduzido.]]</f>
        <v>45</v>
      </c>
      <c r="V419" s="86">
        <f>IF(Tabela1[[#This Row],[Informe a data]]&lt;DATE(2026,3,16), Tabela1[[#This Row],[KM Rodado]]*1.1, Tabela1[[#This Row],[KM Rodado]]*1.23)</f>
        <v>55.35</v>
      </c>
      <c r="W419" s="86">
        <f>IFERROR(SUBSTITUTE(Tabela1[[#This Row],[Pedágio]],".",",",1)*1,0)</f>
        <v>0</v>
      </c>
      <c r="X419" s="86">
        <f>IFERROR(SUBSTITUTE(Tabela1[[#This Row],[Estacionamento]],".",",",1)*1,0)</f>
        <v>0</v>
      </c>
      <c r="Y419" s="86">
        <f>IFERROR(SUBSTITUTE(Tabela1[[#This Row],[Despesas Diversas 
(Jantar em viagem, Impressões, Etc)]],".",",",1)*1,0)</f>
        <v>0</v>
      </c>
      <c r="Z419" s="86">
        <f>IFERROR(SUBSTITUTE(Tabela1[[#This Row],[Hospedagem]],".",",",1)*1,0)</f>
        <v>0</v>
      </c>
      <c r="AA419" s="56" t="str">
        <f>IF(DAY(Tabela1[[#This Row],[Informe a data]])&lt;=15,"1ª Quinzena","2ª Quinzena")</f>
        <v>1ª Quinzena</v>
      </c>
      <c r="AB419" s="56" t="str">
        <f>UPPER(TEXT(Tabela1[[#This Row],[Informe a data]],"mmmm"))</f>
        <v>JUNHO</v>
      </c>
      <c r="AC419" s="87" t="e">
        <f ca="1">_xlfn.CONCAT(Tabela1[[#This Row],[Selecione o Usuário]]," - ",TEXT(Tabela1[[#This Row],[Informe a data]],"dd-mm-aa"))</f>
        <v>#NAME?</v>
      </c>
    </row>
    <row r="420" spans="1:29">
      <c r="A420" s="89">
        <v>46188.79383101852</v>
      </c>
      <c r="B420" s="90" t="s">
        <v>131</v>
      </c>
      <c r="C420" s="90" t="s">
        <v>132</v>
      </c>
      <c r="D420" s="90" t="s">
        <v>133</v>
      </c>
      <c r="E420" s="91">
        <v>46188</v>
      </c>
      <c r="F420" s="92">
        <v>194569</v>
      </c>
      <c r="G420" s="93" t="s">
        <v>1393</v>
      </c>
      <c r="H420" s="92">
        <v>194622</v>
      </c>
      <c r="I420" s="93" t="s">
        <v>1394</v>
      </c>
      <c r="J420" s="90" t="s">
        <v>1395</v>
      </c>
      <c r="K420" s="94"/>
      <c r="L420" s="90" t="s">
        <v>60</v>
      </c>
      <c r="M420" s="94"/>
      <c r="N420" s="94"/>
      <c r="O420" s="94"/>
      <c r="P420" s="94"/>
      <c r="Q420" s="94"/>
      <c r="R420" s="94"/>
      <c r="S420" s="94"/>
      <c r="T420" s="94"/>
      <c r="U420" s="85">
        <f>(Tabela1[[#This Row],[Informe o KM final do dia]]-Tabela1[[#This Row],[Informe o KM inicial do dia]])-Tabela1[[#This Row],[Caso tenha rodado particular alguma parte do trajeto, informe o total de KM a ser deduzido.]]</f>
        <v>53</v>
      </c>
      <c r="V420" s="86">
        <f>IF(Tabela1[[#This Row],[Informe a data]]&lt;DATE(2026,3,16), Tabela1[[#This Row],[KM Rodado]]*1.1, Tabela1[[#This Row],[KM Rodado]]*1.23)</f>
        <v>65.19</v>
      </c>
      <c r="W420" s="86">
        <f>IFERROR(SUBSTITUTE(Tabela1[[#This Row],[Pedágio]],".",",",1)*1,0)</f>
        <v>0</v>
      </c>
      <c r="X420" s="86">
        <f>IFERROR(SUBSTITUTE(Tabela1[[#This Row],[Estacionamento]],".",",",1)*1,0)</f>
        <v>0</v>
      </c>
      <c r="Y420" s="86">
        <f>IFERROR(SUBSTITUTE(Tabela1[[#This Row],[Despesas Diversas 
(Jantar em viagem, Impressões, Etc)]],".",",",1)*1,0)</f>
        <v>0</v>
      </c>
      <c r="Z420" s="86">
        <f>IFERROR(SUBSTITUTE(Tabela1[[#This Row],[Hospedagem]],".",",",1)*1,0)</f>
        <v>0</v>
      </c>
      <c r="AA420" s="56" t="str">
        <f>IF(DAY(Tabela1[[#This Row],[Informe a data]])&lt;=15,"1ª Quinzena","2ª Quinzena")</f>
        <v>1ª Quinzena</v>
      </c>
      <c r="AB420" s="56" t="str">
        <f>UPPER(TEXT(Tabela1[[#This Row],[Informe a data]],"mmmm"))</f>
        <v>JUNHO</v>
      </c>
      <c r="AC420" s="87" t="e">
        <f ca="1">_xlfn.CONCAT(Tabela1[[#This Row],[Selecione o Usuário]]," - ",TEXT(Tabela1[[#This Row],[Informe a data]],"dd-mm-aa"))</f>
        <v>#NAME?</v>
      </c>
    </row>
    <row r="421" spans="1:29">
      <c r="A421" s="113">
        <v>46188.938437500001</v>
      </c>
      <c r="B421" s="114" t="s">
        <v>176</v>
      </c>
      <c r="C421" s="114" t="s">
        <v>136</v>
      </c>
      <c r="D421" s="114" t="s">
        <v>177</v>
      </c>
      <c r="E421" s="115">
        <v>46188</v>
      </c>
      <c r="F421" s="116">
        <v>174550</v>
      </c>
      <c r="G421" s="117" t="s">
        <v>1417</v>
      </c>
      <c r="H421" s="116">
        <v>174615</v>
      </c>
      <c r="I421" s="117" t="s">
        <v>1418</v>
      </c>
      <c r="J421" s="114" t="s">
        <v>1419</v>
      </c>
      <c r="K421" s="118"/>
      <c r="L421" s="114" t="s">
        <v>60</v>
      </c>
      <c r="M421" s="118"/>
      <c r="N421" s="118"/>
      <c r="O421" s="118"/>
      <c r="P421" s="118"/>
      <c r="Q421" s="118"/>
      <c r="R421" s="118"/>
      <c r="S421" s="118"/>
      <c r="T421" s="118"/>
      <c r="U421" s="95">
        <f>(Tabela1[[#This Row],[Informe o KM final do dia]]-Tabela1[[#This Row],[Informe o KM inicial do dia]])-Tabela1[[#This Row],[Caso tenha rodado particular alguma parte do trajeto, informe o total de KM a ser deduzido.]]</f>
        <v>65</v>
      </c>
      <c r="V421" s="97">
        <f>IF(Tabela1[[#This Row],[Informe a data]]&lt;DATE(2026,3,16), Tabela1[[#This Row],[KM Rodado]]*1.1, Tabela1[[#This Row],[KM Rodado]]*1.23)</f>
        <v>79.95</v>
      </c>
      <c r="W421" s="97">
        <f>IFERROR(SUBSTITUTE(Tabela1[[#This Row],[Pedágio]],".",",",1)*1,0)</f>
        <v>0</v>
      </c>
      <c r="X421" s="97">
        <f>IFERROR(SUBSTITUTE(Tabela1[[#This Row],[Estacionamento]],".",",",1)*1,0)</f>
        <v>0</v>
      </c>
      <c r="Y421" s="97">
        <f>IFERROR(SUBSTITUTE(Tabela1[[#This Row],[Despesas Diversas 
(Jantar em viagem, Impressões, Etc)]],".",",",1)*1,0)</f>
        <v>0</v>
      </c>
      <c r="Z421" s="97">
        <f>IFERROR(SUBSTITUTE(Tabela1[[#This Row],[Hospedagem]],".",",",1)*1,0)</f>
        <v>0</v>
      </c>
      <c r="AA421" s="98" t="str">
        <f>IF(DAY(Tabela1[[#This Row],[Informe a data]])&lt;=15,"1ª Quinzena","2ª Quinzena")</f>
        <v>1ª Quinzena</v>
      </c>
      <c r="AB421" s="98" t="str">
        <f>UPPER(TEXT(Tabela1[[#This Row],[Informe a data]],"mmmm"))</f>
        <v>JUNHO</v>
      </c>
      <c r="AC421" s="99" t="e">
        <f ca="1">_xlfn.CONCAT(Tabela1[[#This Row],[Selecione o Usuário]]," - ",TEXT(Tabela1[[#This Row],[Informe a data]],"dd-mm-aa"))</f>
        <v>#NAME?</v>
      </c>
    </row>
    <row r="422" spans="1:29">
      <c r="A422" s="49">
        <v>46190.346250000002</v>
      </c>
      <c r="B422" s="50" t="s">
        <v>131</v>
      </c>
      <c r="C422" s="50" t="s">
        <v>132</v>
      </c>
      <c r="D422" s="50" t="s">
        <v>133</v>
      </c>
      <c r="E422" s="51">
        <v>46189</v>
      </c>
      <c r="F422" s="52">
        <v>194622</v>
      </c>
      <c r="G422" s="58" t="s">
        <v>1432</v>
      </c>
      <c r="H422" s="52">
        <v>194653</v>
      </c>
      <c r="I422" s="58" t="s">
        <v>1433</v>
      </c>
      <c r="J422" s="50" t="s">
        <v>972</v>
      </c>
      <c r="K422" s="53"/>
      <c r="L422" s="50" t="s">
        <v>60</v>
      </c>
      <c r="M422" s="53"/>
      <c r="N422" s="53"/>
      <c r="O422" s="53"/>
      <c r="P422" s="53"/>
      <c r="Q422" s="53"/>
      <c r="R422" s="53"/>
      <c r="S422" s="53"/>
      <c r="T422" s="53"/>
      <c r="U422" s="85">
        <f>(Tabela1[[#This Row],[Informe o KM final do dia]]-Tabela1[[#This Row],[Informe o KM inicial do dia]])-Tabela1[[#This Row],[Caso tenha rodado particular alguma parte do trajeto, informe o total de KM a ser deduzido.]]</f>
        <v>31</v>
      </c>
      <c r="V422" s="86">
        <f>IF(Tabela1[[#This Row],[Informe a data]]&lt;DATE(2026,3,16), Tabela1[[#This Row],[KM Rodado]]*1.1, Tabela1[[#This Row],[KM Rodado]]*1.23)</f>
        <v>38.130000000000003</v>
      </c>
      <c r="W422" s="86">
        <f>IFERROR(SUBSTITUTE(Tabela1[[#This Row],[Pedágio]],".",",",1)*1,0)</f>
        <v>0</v>
      </c>
      <c r="X422" s="86">
        <f>IFERROR(SUBSTITUTE(Tabela1[[#This Row],[Estacionamento]],".",",",1)*1,0)</f>
        <v>0</v>
      </c>
      <c r="Y422" s="86">
        <f>IFERROR(SUBSTITUTE(Tabela1[[#This Row],[Despesas Diversas 
(Jantar em viagem, Impressões, Etc)]],".",",",1)*1,0)</f>
        <v>0</v>
      </c>
      <c r="Z422" s="86">
        <f>IFERROR(SUBSTITUTE(Tabela1[[#This Row],[Hospedagem]],".",",",1)*1,0)</f>
        <v>0</v>
      </c>
      <c r="AA422" s="56" t="str">
        <f>IF(DAY(Tabela1[[#This Row],[Informe a data]])&lt;=15,"1ª Quinzena","2ª Quinzena")</f>
        <v>2ª Quinzena</v>
      </c>
      <c r="AB422" s="56" t="str">
        <f>UPPER(TEXT(Tabela1[[#This Row],[Informe a data]],"mmmm"))</f>
        <v>JUNHO</v>
      </c>
      <c r="AC422" s="87" t="e">
        <f ca="1">_xlfn.CONCAT(Tabela1[[#This Row],[Selecione o Usuário]]," - ",TEXT(Tabela1[[#This Row],[Informe a data]],"dd-mm-aa"))</f>
        <v>#NAME?</v>
      </c>
    </row>
    <row r="423" spans="1:29">
      <c r="A423" s="49">
        <v>46189.668425925927</v>
      </c>
      <c r="B423" s="50" t="s">
        <v>497</v>
      </c>
      <c r="C423" s="50" t="s">
        <v>498</v>
      </c>
      <c r="D423" s="50" t="s">
        <v>1423</v>
      </c>
      <c r="E423" s="51">
        <v>46189</v>
      </c>
      <c r="F423" s="52">
        <v>17051</v>
      </c>
      <c r="G423" s="58" t="s">
        <v>1424</v>
      </c>
      <c r="H423" s="52">
        <v>17217</v>
      </c>
      <c r="I423" s="58" t="s">
        <v>1425</v>
      </c>
      <c r="J423" s="50" t="s">
        <v>1426</v>
      </c>
      <c r="K423" s="53"/>
      <c r="L423" s="50" t="s">
        <v>61</v>
      </c>
      <c r="M423" s="50" t="s">
        <v>744</v>
      </c>
      <c r="N423" s="50" t="s">
        <v>1427</v>
      </c>
      <c r="O423" s="53"/>
      <c r="P423" s="53"/>
      <c r="Q423" s="53"/>
      <c r="R423" s="53"/>
      <c r="S423" s="53"/>
      <c r="T423" s="53" t="s">
        <v>1428</v>
      </c>
      <c r="U423" s="85">
        <f>(Tabela1[[#This Row],[Informe o KM final do dia]]-Tabela1[[#This Row],[Informe o KM inicial do dia]])-Tabela1[[#This Row],[Caso tenha rodado particular alguma parte do trajeto, informe o total de KM a ser deduzido.]]</f>
        <v>166</v>
      </c>
      <c r="V423" s="86">
        <f>IF(Tabela1[[#This Row],[Informe a data]]&lt;DATE(2026,3,16), Tabela1[[#This Row],[KM Rodado]]*1.1, Tabela1[[#This Row],[KM Rodado]]*1.23)</f>
        <v>204.18</v>
      </c>
      <c r="W423" s="86">
        <f>IFERROR(SUBSTITUTE(Tabela1[[#This Row],[Pedágio]],".",",",1)*1,0)</f>
        <v>10.4</v>
      </c>
      <c r="X423" s="86">
        <f>IFERROR(SUBSTITUTE(Tabela1[[#This Row],[Estacionamento]],".",",",1)*1,0)</f>
        <v>0</v>
      </c>
      <c r="Y423" s="86">
        <f>IFERROR(SUBSTITUTE(Tabela1[[#This Row],[Despesas Diversas 
(Jantar em viagem, Impressões, Etc)]],".",",",1)*1,0)</f>
        <v>0</v>
      </c>
      <c r="Z423" s="86">
        <f>IFERROR(SUBSTITUTE(Tabela1[[#This Row],[Hospedagem]],".",",",1)*1,0)</f>
        <v>0</v>
      </c>
      <c r="AA423" s="56" t="str">
        <f>IF(DAY(Tabela1[[#This Row],[Informe a data]])&lt;=15,"1ª Quinzena","2ª Quinzena")</f>
        <v>2ª Quinzena</v>
      </c>
      <c r="AB423" s="56" t="str">
        <f>UPPER(TEXT(Tabela1[[#This Row],[Informe a data]],"mmmm"))</f>
        <v>JUNHO</v>
      </c>
      <c r="AC423" s="87" t="e">
        <f ca="1">_xlfn.CONCAT(Tabela1[[#This Row],[Selecione o Usuário]]," - ",TEXT(Tabela1[[#This Row],[Informe a data]],"dd-mm-aa"))</f>
        <v>#NAME?</v>
      </c>
    </row>
    <row r="424" spans="1:29">
      <c r="A424" s="89">
        <v>46189.674479166664</v>
      </c>
      <c r="B424" s="90" t="s">
        <v>1174</v>
      </c>
      <c r="C424" s="90" t="s">
        <v>134</v>
      </c>
      <c r="D424" s="90" t="s">
        <v>209</v>
      </c>
      <c r="E424" s="91">
        <v>46189</v>
      </c>
      <c r="F424" s="92">
        <v>171442</v>
      </c>
      <c r="G424" s="93" t="s">
        <v>1429</v>
      </c>
      <c r="H424" s="92">
        <v>171759</v>
      </c>
      <c r="I424" s="93" t="s">
        <v>1430</v>
      </c>
      <c r="J424" s="90" t="s">
        <v>1431</v>
      </c>
      <c r="K424" s="94"/>
      <c r="L424" s="90" t="s">
        <v>60</v>
      </c>
      <c r="M424" s="94"/>
      <c r="N424" s="94"/>
      <c r="O424" s="94"/>
      <c r="P424" s="94"/>
      <c r="Q424" s="94"/>
      <c r="R424" s="94"/>
      <c r="S424" s="94"/>
      <c r="T424" s="94"/>
      <c r="U424" s="85">
        <f>(Tabela1[[#This Row],[Informe o KM final do dia]]-Tabela1[[#This Row],[Informe o KM inicial do dia]])-Tabela1[[#This Row],[Caso tenha rodado particular alguma parte do trajeto, informe o total de KM a ser deduzido.]]</f>
        <v>317</v>
      </c>
      <c r="V424" s="86">
        <f>IF(Tabela1[[#This Row],[Informe a data]]&lt;DATE(2026,3,16), Tabela1[[#This Row],[KM Rodado]]*1.1, Tabela1[[#This Row],[KM Rodado]]*1.23)</f>
        <v>389.90999999999997</v>
      </c>
      <c r="W424" s="86">
        <f>IFERROR(SUBSTITUTE(Tabela1[[#This Row],[Pedágio]],".",",",1)*1,0)</f>
        <v>0</v>
      </c>
      <c r="X424" s="86">
        <f>IFERROR(SUBSTITUTE(Tabela1[[#This Row],[Estacionamento]],".",",",1)*1,0)</f>
        <v>0</v>
      </c>
      <c r="Y424" s="86">
        <f>IFERROR(SUBSTITUTE(Tabela1[[#This Row],[Despesas Diversas 
(Jantar em viagem, Impressões, Etc)]],".",",",1)*1,0)</f>
        <v>0</v>
      </c>
      <c r="Z424" s="86">
        <f>IFERROR(SUBSTITUTE(Tabela1[[#This Row],[Hospedagem]],".",",",1)*1,0)</f>
        <v>0</v>
      </c>
      <c r="AA424" s="56" t="str">
        <f>IF(DAY(Tabela1[[#This Row],[Informe a data]])&lt;=15,"1ª Quinzena","2ª Quinzena")</f>
        <v>2ª Quinzena</v>
      </c>
      <c r="AB424" s="56" t="str">
        <f>UPPER(TEXT(Tabela1[[#This Row],[Informe a data]],"mmmm"))</f>
        <v>JUNHO</v>
      </c>
      <c r="AC424" s="87" t="e">
        <f ca="1">_xlfn.CONCAT(Tabela1[[#This Row],[Selecione o Usuário]]," - ",TEXT(Tabela1[[#This Row],[Informe a data]],"dd-mm-aa"))</f>
        <v>#NAME?</v>
      </c>
    </row>
    <row r="425" spans="1:29">
      <c r="A425" s="49">
        <v>46195.760196759256</v>
      </c>
      <c r="B425" s="50" t="s">
        <v>1260</v>
      </c>
      <c r="C425" s="50" t="s">
        <v>505</v>
      </c>
      <c r="D425" s="50" t="s">
        <v>551</v>
      </c>
      <c r="E425" s="51">
        <v>46189</v>
      </c>
      <c r="F425" s="52">
        <v>106497</v>
      </c>
      <c r="G425" s="58" t="s">
        <v>1445</v>
      </c>
      <c r="H425" s="52">
        <v>106537</v>
      </c>
      <c r="I425" s="58" t="s">
        <v>1446</v>
      </c>
      <c r="J425" s="50" t="s">
        <v>1447</v>
      </c>
      <c r="K425" s="53"/>
      <c r="L425" s="50" t="s">
        <v>60</v>
      </c>
      <c r="M425" s="53"/>
      <c r="N425" s="53"/>
      <c r="O425" s="53"/>
      <c r="P425" s="53"/>
      <c r="Q425" s="53"/>
      <c r="R425" s="53"/>
      <c r="S425" s="53"/>
      <c r="T425" s="53"/>
      <c r="U425" s="85">
        <f>(Tabela1[[#This Row],[Informe o KM final do dia]]-Tabela1[[#This Row],[Informe o KM inicial do dia]])-Tabela1[[#This Row],[Caso tenha rodado particular alguma parte do trajeto, informe o total de KM a ser deduzido.]]</f>
        <v>40</v>
      </c>
      <c r="V425" s="86">
        <f>IF(Tabela1[[#This Row],[Informe a data]]&lt;DATE(2026,3,16), Tabela1[[#This Row],[KM Rodado]]*1.1, Tabela1[[#This Row],[KM Rodado]]*1.23)</f>
        <v>49.2</v>
      </c>
      <c r="W425" s="86">
        <f>IFERROR(SUBSTITUTE(Tabela1[[#This Row],[Pedágio]],".",",",1)*1,0)</f>
        <v>0</v>
      </c>
      <c r="X425" s="86">
        <f>IFERROR(SUBSTITUTE(Tabela1[[#This Row],[Estacionamento]],".",",",1)*1,0)</f>
        <v>0</v>
      </c>
      <c r="Y425" s="86">
        <f>IFERROR(SUBSTITUTE(Tabela1[[#This Row],[Despesas Diversas 
(Jantar em viagem, Impressões, Etc)]],".",",",1)*1,0)</f>
        <v>0</v>
      </c>
      <c r="Z425" s="86">
        <f>IFERROR(SUBSTITUTE(Tabela1[[#This Row],[Hospedagem]],".",",",1)*1,0)</f>
        <v>0</v>
      </c>
      <c r="AA425" s="56" t="str">
        <f>IF(DAY(Tabela1[[#This Row],[Informe a data]])&lt;=15,"1ª Quinzena","2ª Quinzena")</f>
        <v>2ª Quinzena</v>
      </c>
      <c r="AB425" s="56" t="str">
        <f>UPPER(TEXT(Tabela1[[#This Row],[Informe a data]],"mmmm"))</f>
        <v>JUNHO</v>
      </c>
      <c r="AC425" s="87" t="e">
        <f ca="1">_xlfn.CONCAT(Tabela1[[#This Row],[Selecione o Usuário]]," - ",TEXT(Tabela1[[#This Row],[Informe a data]],"dd-mm-aa"))</f>
        <v>#NAME?</v>
      </c>
    </row>
    <row r="426" spans="1:29">
      <c r="A426" s="89">
        <v>46192.440960648149</v>
      </c>
      <c r="B426" s="90" t="s">
        <v>300</v>
      </c>
      <c r="C426" s="90" t="s">
        <v>250</v>
      </c>
      <c r="D426" s="90" t="s">
        <v>228</v>
      </c>
      <c r="E426" s="91">
        <v>46189</v>
      </c>
      <c r="F426" s="92">
        <v>132625</v>
      </c>
      <c r="G426" s="93" t="s">
        <v>1440</v>
      </c>
      <c r="H426" s="92">
        <v>132745</v>
      </c>
      <c r="I426" s="93" t="s">
        <v>1441</v>
      </c>
      <c r="J426" s="90" t="s">
        <v>1442</v>
      </c>
      <c r="K426" s="94"/>
      <c r="L426" s="90" t="s">
        <v>61</v>
      </c>
      <c r="M426" s="94"/>
      <c r="N426" s="94"/>
      <c r="O426" s="94"/>
      <c r="P426" s="94"/>
      <c r="Q426" s="90" t="s">
        <v>1443</v>
      </c>
      <c r="R426" s="93" t="s">
        <v>1444</v>
      </c>
      <c r="S426" s="94"/>
      <c r="T426" s="94"/>
      <c r="U426" s="85">
        <f>(Tabela1[[#This Row],[Informe o KM final do dia]]-Tabela1[[#This Row],[Informe o KM inicial do dia]])-Tabela1[[#This Row],[Caso tenha rodado particular alguma parte do trajeto, informe o total de KM a ser deduzido.]]</f>
        <v>120</v>
      </c>
      <c r="V426" s="86">
        <f>IF(Tabela1[[#This Row],[Informe a data]]&lt;DATE(2026,3,16), Tabela1[[#This Row],[KM Rodado]]*1.1, Tabela1[[#This Row],[KM Rodado]]*1.23)</f>
        <v>147.6</v>
      </c>
      <c r="W426" s="86">
        <f>IFERROR(SUBSTITUTE(Tabela1[[#This Row],[Pedágio]],".",",",1)*1,0)</f>
        <v>0</v>
      </c>
      <c r="X426" s="86">
        <f>IFERROR(SUBSTITUTE(Tabela1[[#This Row],[Estacionamento]],".",",",1)*1,0)</f>
        <v>0</v>
      </c>
      <c r="Y426" s="86">
        <f>IFERROR(SUBSTITUTE(Tabela1[[#This Row],[Despesas Diversas 
(Jantar em viagem, Impressões, Etc)]],".",",",1)*1,0)</f>
        <v>1.5</v>
      </c>
      <c r="Z426" s="86">
        <f>IFERROR(SUBSTITUTE(Tabela1[[#This Row],[Hospedagem]],".",",",1)*1,0)</f>
        <v>0</v>
      </c>
      <c r="AA426" s="56" t="str">
        <f>IF(DAY(Tabela1[[#This Row],[Informe a data]])&lt;=15,"1ª Quinzena","2ª Quinzena")</f>
        <v>2ª Quinzena</v>
      </c>
      <c r="AB426" s="56" t="str">
        <f>UPPER(TEXT(Tabela1[[#This Row],[Informe a data]],"mmmm"))</f>
        <v>JUNHO</v>
      </c>
      <c r="AC426" s="87" t="e">
        <f ca="1">_xlfn.CONCAT(Tabela1[[#This Row],[Selecione o Usuário]]," - ",TEXT(Tabela1[[#This Row],[Informe a data]],"dd-mm-aa"))</f>
        <v>#NAME?</v>
      </c>
    </row>
    <row r="427" spans="1:29">
      <c r="A427" s="49">
        <v>46190.953877314816</v>
      </c>
      <c r="B427" s="50" t="s">
        <v>131</v>
      </c>
      <c r="C427" s="50" t="s">
        <v>132</v>
      </c>
      <c r="D427" s="50" t="s">
        <v>133</v>
      </c>
      <c r="E427" s="51">
        <v>46190</v>
      </c>
      <c r="F427" s="52">
        <v>194653</v>
      </c>
      <c r="G427" s="58" t="s">
        <v>1437</v>
      </c>
      <c r="H427" s="52">
        <v>194821</v>
      </c>
      <c r="I427" s="58" t="s">
        <v>1438</v>
      </c>
      <c r="J427" s="50" t="s">
        <v>1439</v>
      </c>
      <c r="K427" s="53"/>
      <c r="L427" s="50" t="s">
        <v>60</v>
      </c>
      <c r="M427" s="53"/>
      <c r="N427" s="53"/>
      <c r="O427" s="53"/>
      <c r="P427" s="53"/>
      <c r="Q427" s="53"/>
      <c r="R427" s="53"/>
      <c r="S427" s="53"/>
      <c r="T427" s="53"/>
      <c r="U427" s="85">
        <f>(Tabela1[[#This Row],[Informe o KM final do dia]]-Tabela1[[#This Row],[Informe o KM inicial do dia]])-Tabela1[[#This Row],[Caso tenha rodado particular alguma parte do trajeto, informe o total de KM a ser deduzido.]]</f>
        <v>168</v>
      </c>
      <c r="V427" s="86">
        <f>IF(Tabela1[[#This Row],[Informe a data]]&lt;DATE(2026,3,16), Tabela1[[#This Row],[KM Rodado]]*1.1, Tabela1[[#This Row],[KM Rodado]]*1.23)</f>
        <v>206.64</v>
      </c>
      <c r="W427" s="86">
        <f>IFERROR(SUBSTITUTE(Tabela1[[#This Row],[Pedágio]],".",",",1)*1,0)</f>
        <v>0</v>
      </c>
      <c r="X427" s="86">
        <f>IFERROR(SUBSTITUTE(Tabela1[[#This Row],[Estacionamento]],".",",",1)*1,0)</f>
        <v>0</v>
      </c>
      <c r="Y427" s="86">
        <f>IFERROR(SUBSTITUTE(Tabela1[[#This Row],[Despesas Diversas 
(Jantar em viagem, Impressões, Etc)]],".",",",1)*1,0)</f>
        <v>0</v>
      </c>
      <c r="Z427" s="86">
        <f>IFERROR(SUBSTITUTE(Tabela1[[#This Row],[Hospedagem]],".",",",1)*1,0)</f>
        <v>0</v>
      </c>
      <c r="AA427" s="56" t="str">
        <f>IF(DAY(Tabela1[[#This Row],[Informe a data]])&lt;=15,"1ª Quinzena","2ª Quinzena")</f>
        <v>2ª Quinzena</v>
      </c>
      <c r="AB427" s="56" t="str">
        <f>UPPER(TEXT(Tabela1[[#This Row],[Informe a data]],"mmmm"))</f>
        <v>JUNHO</v>
      </c>
      <c r="AC427" s="87" t="e">
        <f ca="1">_xlfn.CONCAT(Tabela1[[#This Row],[Selecione o Usuário]]," - ",TEXT(Tabela1[[#This Row],[Informe a data]],"dd-mm-aa"))</f>
        <v>#NAME?</v>
      </c>
    </row>
    <row r="428" spans="1:29">
      <c r="A428" s="89">
        <v>46190.874594907407</v>
      </c>
      <c r="B428" s="90" t="s">
        <v>1174</v>
      </c>
      <c r="C428" s="90" t="s">
        <v>134</v>
      </c>
      <c r="D428" s="90" t="s">
        <v>209</v>
      </c>
      <c r="E428" s="91">
        <v>46190</v>
      </c>
      <c r="F428" s="92">
        <v>171759</v>
      </c>
      <c r="G428" s="93" t="s">
        <v>1434</v>
      </c>
      <c r="H428" s="92">
        <v>172075</v>
      </c>
      <c r="I428" s="93" t="s">
        <v>1435</v>
      </c>
      <c r="J428" s="90" t="s">
        <v>1436</v>
      </c>
      <c r="K428" s="94"/>
      <c r="L428" s="90" t="s">
        <v>60</v>
      </c>
      <c r="M428" s="94"/>
      <c r="N428" s="94"/>
      <c r="O428" s="94"/>
      <c r="P428" s="94"/>
      <c r="Q428" s="94"/>
      <c r="R428" s="94"/>
      <c r="S428" s="94"/>
      <c r="T428" s="94"/>
      <c r="U428" s="85">
        <f>(Tabela1[[#This Row],[Informe o KM final do dia]]-Tabela1[[#This Row],[Informe o KM inicial do dia]])-Tabela1[[#This Row],[Caso tenha rodado particular alguma parte do trajeto, informe o total de KM a ser deduzido.]]</f>
        <v>316</v>
      </c>
      <c r="V428" s="86">
        <f>IF(Tabela1[[#This Row],[Informe a data]]&lt;DATE(2026,3,16), Tabela1[[#This Row],[KM Rodado]]*1.1, Tabela1[[#This Row],[KM Rodado]]*1.23)</f>
        <v>388.68</v>
      </c>
      <c r="W428" s="86">
        <f>IFERROR(SUBSTITUTE(Tabela1[[#This Row],[Pedágio]],".",",",1)*1,0)</f>
        <v>0</v>
      </c>
      <c r="X428" s="86">
        <f>IFERROR(SUBSTITUTE(Tabela1[[#This Row],[Estacionamento]],".",",",1)*1,0)</f>
        <v>0</v>
      </c>
      <c r="Y428" s="86">
        <f>IFERROR(SUBSTITUTE(Tabela1[[#This Row],[Despesas Diversas 
(Jantar em viagem, Impressões, Etc)]],".",",",1)*1,0)</f>
        <v>0</v>
      </c>
      <c r="Z428" s="86">
        <f>IFERROR(SUBSTITUTE(Tabela1[[#This Row],[Hospedagem]],".",",",1)*1,0)</f>
        <v>0</v>
      </c>
      <c r="AA428" s="56" t="str">
        <f>IF(DAY(Tabela1[[#This Row],[Informe a data]])&lt;=15,"1ª Quinzena","2ª Quinzena")</f>
        <v>2ª Quinzena</v>
      </c>
      <c r="AB428" s="56" t="str">
        <f>UPPER(TEXT(Tabela1[[#This Row],[Informe a data]],"mmmm"))</f>
        <v>JUNHO</v>
      </c>
      <c r="AC428" s="87" t="e">
        <f ca="1">_xlfn.CONCAT(Tabela1[[#This Row],[Selecione o Usuário]]," - ",TEXT(Tabela1[[#This Row],[Informe a data]],"dd-mm-aa"))</f>
        <v>#NAME?</v>
      </c>
    </row>
    <row r="429" spans="1:29">
      <c r="A429" s="89">
        <v>46195.761574074073</v>
      </c>
      <c r="B429" s="90" t="s">
        <v>1260</v>
      </c>
      <c r="C429" s="90" t="s">
        <v>505</v>
      </c>
      <c r="D429" s="90" t="s">
        <v>551</v>
      </c>
      <c r="E429" s="91">
        <v>46190</v>
      </c>
      <c r="F429" s="92">
        <v>106541</v>
      </c>
      <c r="G429" s="93" t="s">
        <v>1448</v>
      </c>
      <c r="H429" s="92">
        <v>106598</v>
      </c>
      <c r="I429" s="93" t="s">
        <v>1449</v>
      </c>
      <c r="J429" s="90" t="s">
        <v>1450</v>
      </c>
      <c r="K429" s="94"/>
      <c r="L429" s="90" t="s">
        <v>60</v>
      </c>
      <c r="M429" s="94"/>
      <c r="N429" s="94"/>
      <c r="O429" s="94"/>
      <c r="P429" s="94"/>
      <c r="Q429" s="94"/>
      <c r="R429" s="94"/>
      <c r="S429" s="94"/>
      <c r="T429" s="94"/>
      <c r="U429" s="85">
        <f>(Tabela1[[#This Row],[Informe o KM final do dia]]-Tabela1[[#This Row],[Informe o KM inicial do dia]])-Tabela1[[#This Row],[Caso tenha rodado particular alguma parte do trajeto, informe o total de KM a ser deduzido.]]</f>
        <v>57</v>
      </c>
      <c r="V429" s="86">
        <f>IF(Tabela1[[#This Row],[Informe a data]]&lt;DATE(2026,3,16), Tabela1[[#This Row],[KM Rodado]]*1.1, Tabela1[[#This Row],[KM Rodado]]*1.23)</f>
        <v>70.11</v>
      </c>
      <c r="W429" s="86">
        <f>IFERROR(SUBSTITUTE(Tabela1[[#This Row],[Pedágio]],".",",",1)*1,0)</f>
        <v>0</v>
      </c>
      <c r="X429" s="86">
        <f>IFERROR(SUBSTITUTE(Tabela1[[#This Row],[Estacionamento]],".",",",1)*1,0)</f>
        <v>0</v>
      </c>
      <c r="Y429" s="86">
        <f>IFERROR(SUBSTITUTE(Tabela1[[#This Row],[Despesas Diversas 
(Jantar em viagem, Impressões, Etc)]],".",",",1)*1,0)</f>
        <v>0</v>
      </c>
      <c r="Z429" s="86">
        <f>IFERROR(SUBSTITUTE(Tabela1[[#This Row],[Hospedagem]],".",",",1)*1,0)</f>
        <v>0</v>
      </c>
      <c r="AA429" s="56" t="str">
        <f>IF(DAY(Tabela1[[#This Row],[Informe a data]])&lt;=15,"1ª Quinzena","2ª Quinzena")</f>
        <v>2ª Quinzena</v>
      </c>
      <c r="AB429" s="56" t="str">
        <f>UPPER(TEXT(Tabela1[[#This Row],[Informe a data]],"mmmm"))</f>
        <v>JUNHO</v>
      </c>
      <c r="AC429" s="87" t="e">
        <f ca="1">_xlfn.CONCAT(Tabela1[[#This Row],[Selecione o Usuário]]," - ",TEXT(Tabela1[[#This Row],[Informe a data]],"dd-mm-aa"))</f>
        <v>#NAME?</v>
      </c>
    </row>
    <row r="430" spans="1:29">
      <c r="A430" s="49">
        <v>46195.762731481482</v>
      </c>
      <c r="B430" s="50" t="s">
        <v>1260</v>
      </c>
      <c r="C430" s="50" t="s">
        <v>505</v>
      </c>
      <c r="D430" s="50" t="s">
        <v>551</v>
      </c>
      <c r="E430" s="51">
        <v>46191</v>
      </c>
      <c r="F430" s="52">
        <v>106609</v>
      </c>
      <c r="G430" s="58" t="s">
        <v>1451</v>
      </c>
      <c r="H430" s="52">
        <v>106670</v>
      </c>
      <c r="I430" s="58" t="s">
        <v>1452</v>
      </c>
      <c r="J430" s="50" t="s">
        <v>1450</v>
      </c>
      <c r="K430" s="53"/>
      <c r="L430" s="50" t="s">
        <v>60</v>
      </c>
      <c r="M430" s="53"/>
      <c r="N430" s="53"/>
      <c r="O430" s="53"/>
      <c r="P430" s="53"/>
      <c r="Q430" s="53"/>
      <c r="R430" s="53"/>
      <c r="S430" s="53"/>
      <c r="T430" s="53"/>
      <c r="U430" s="85">
        <f>(Tabela1[[#This Row],[Informe o KM final do dia]]-Tabela1[[#This Row],[Informe o KM inicial do dia]])-Tabela1[[#This Row],[Caso tenha rodado particular alguma parte do trajeto, informe o total de KM a ser deduzido.]]</f>
        <v>61</v>
      </c>
      <c r="V430" s="86">
        <f>IF(Tabela1[[#This Row],[Informe a data]]&lt;DATE(2026,3,16), Tabela1[[#This Row],[KM Rodado]]*1.1, Tabela1[[#This Row],[KM Rodado]]*1.23)</f>
        <v>75.03</v>
      </c>
      <c r="W430" s="86">
        <f>IFERROR(SUBSTITUTE(Tabela1[[#This Row],[Pedágio]],".",",",1)*1,0)</f>
        <v>0</v>
      </c>
      <c r="X430" s="86">
        <f>IFERROR(SUBSTITUTE(Tabela1[[#This Row],[Estacionamento]],".",",",1)*1,0)</f>
        <v>0</v>
      </c>
      <c r="Y430" s="86">
        <f>IFERROR(SUBSTITUTE(Tabela1[[#This Row],[Despesas Diversas 
(Jantar em viagem, Impressões, Etc)]],".",",",1)*1,0)</f>
        <v>0</v>
      </c>
      <c r="Z430" s="86">
        <f>IFERROR(SUBSTITUTE(Tabela1[[#This Row],[Hospedagem]],".",",",1)*1,0)</f>
        <v>0</v>
      </c>
      <c r="AA430" s="56" t="str">
        <f>IF(DAY(Tabela1[[#This Row],[Informe a data]])&lt;=15,"1ª Quinzena","2ª Quinzena")</f>
        <v>2ª Quinzena</v>
      </c>
      <c r="AB430" s="56" t="str">
        <f>UPPER(TEXT(Tabela1[[#This Row],[Informe a data]],"mmmm"))</f>
        <v>JUNHO</v>
      </c>
      <c r="AC430" s="87" t="e">
        <f ca="1">_xlfn.CONCAT(Tabela1[[#This Row],[Selecione o Usuário]]," - ",TEXT(Tabela1[[#This Row],[Informe a data]],"dd-mm-aa"))</f>
        <v>#NAME?</v>
      </c>
    </row>
    <row r="431" spans="1:29">
      <c r="A431" s="89">
        <v>46195.764016203706</v>
      </c>
      <c r="B431" s="90" t="s">
        <v>1260</v>
      </c>
      <c r="C431" s="90" t="s">
        <v>505</v>
      </c>
      <c r="D431" s="90" t="s">
        <v>551</v>
      </c>
      <c r="E431" s="91">
        <v>46192</v>
      </c>
      <c r="F431" s="92">
        <v>106672</v>
      </c>
      <c r="G431" s="93" t="s">
        <v>1453</v>
      </c>
      <c r="H431" s="92">
        <v>106722</v>
      </c>
      <c r="I431" s="93" t="s">
        <v>1454</v>
      </c>
      <c r="J431" s="90" t="s">
        <v>1455</v>
      </c>
      <c r="K431" s="94"/>
      <c r="L431" s="90" t="s">
        <v>60</v>
      </c>
      <c r="M431" s="94"/>
      <c r="N431" s="94"/>
      <c r="O431" s="94"/>
      <c r="P431" s="94"/>
      <c r="Q431" s="94"/>
      <c r="R431" s="94"/>
      <c r="S431" s="94"/>
      <c r="T431" s="94"/>
      <c r="U431" s="85">
        <f>(Tabela1[[#This Row],[Informe o KM final do dia]]-Tabela1[[#This Row],[Informe o KM inicial do dia]])-Tabela1[[#This Row],[Caso tenha rodado particular alguma parte do trajeto, informe o total de KM a ser deduzido.]]</f>
        <v>50</v>
      </c>
      <c r="V431" s="86">
        <f>IF(Tabela1[[#This Row],[Informe a data]]&lt;DATE(2026,3,16), Tabela1[[#This Row],[KM Rodado]]*1.1, Tabela1[[#This Row],[KM Rodado]]*1.23)</f>
        <v>61.5</v>
      </c>
      <c r="W431" s="86">
        <f>IFERROR(SUBSTITUTE(Tabela1[[#This Row],[Pedágio]],".",",",1)*1,0)</f>
        <v>0</v>
      </c>
      <c r="X431" s="86">
        <f>IFERROR(SUBSTITUTE(Tabela1[[#This Row],[Estacionamento]],".",",",1)*1,0)</f>
        <v>0</v>
      </c>
      <c r="Y431" s="86">
        <f>IFERROR(SUBSTITUTE(Tabela1[[#This Row],[Despesas Diversas 
(Jantar em viagem, Impressões, Etc)]],".",",",1)*1,0)</f>
        <v>0</v>
      </c>
      <c r="Z431" s="86">
        <f>IFERROR(SUBSTITUTE(Tabela1[[#This Row],[Hospedagem]],".",",",1)*1,0)</f>
        <v>0</v>
      </c>
      <c r="AA431" s="56" t="str">
        <f>IF(DAY(Tabela1[[#This Row],[Informe a data]])&lt;=15,"1ª Quinzena","2ª Quinzena")</f>
        <v>2ª Quinzena</v>
      </c>
      <c r="AB431" s="56" t="str">
        <f>UPPER(TEXT(Tabela1[[#This Row],[Informe a data]],"mmmm"))</f>
        <v>JUNHO</v>
      </c>
      <c r="AC431" s="87" t="e">
        <f ca="1">_xlfn.CONCAT(Tabela1[[#This Row],[Selecione o Usuário]]," - ",TEXT(Tabela1[[#This Row],[Informe a data]],"dd-mm-aa"))</f>
        <v>#NAME?</v>
      </c>
    </row>
    <row r="432" spans="1:29">
      <c r="A432" s="49">
        <v>46204.387824074074</v>
      </c>
      <c r="B432" s="50" t="s">
        <v>607</v>
      </c>
      <c r="C432" s="50" t="s">
        <v>136</v>
      </c>
      <c r="D432" s="50" t="s">
        <v>177</v>
      </c>
      <c r="E432" s="51">
        <v>46192</v>
      </c>
      <c r="F432" s="52">
        <v>175443</v>
      </c>
      <c r="G432" s="58" t="s">
        <v>1491</v>
      </c>
      <c r="H432" s="52">
        <v>175767</v>
      </c>
      <c r="I432" s="58" t="s">
        <v>1492</v>
      </c>
      <c r="J432" s="50" t="s">
        <v>1493</v>
      </c>
      <c r="K432" s="53"/>
      <c r="L432" s="50" t="s">
        <v>60</v>
      </c>
      <c r="M432" s="53"/>
      <c r="N432" s="53"/>
      <c r="O432" s="53"/>
      <c r="P432" s="53"/>
      <c r="Q432" s="53"/>
      <c r="R432" s="53"/>
      <c r="S432" s="53"/>
      <c r="T432" s="53"/>
      <c r="U432" s="85">
        <f>(Tabela1[[#This Row],[Informe o KM final do dia]]-Tabela1[[#This Row],[Informe o KM inicial do dia]])-Tabela1[[#This Row],[Caso tenha rodado particular alguma parte do trajeto, informe o total de KM a ser deduzido.]]</f>
        <v>324</v>
      </c>
      <c r="V432" s="86">
        <f>IF(Tabela1[[#This Row],[Informe a data]]&lt;DATE(2026,3,16), Tabela1[[#This Row],[KM Rodado]]*1.1, Tabela1[[#This Row],[KM Rodado]]*1.23)</f>
        <v>398.52</v>
      </c>
      <c r="W432" s="86">
        <f>IFERROR(SUBSTITUTE(Tabela1[[#This Row],[Pedágio]],".",",",1)*1,0)</f>
        <v>0</v>
      </c>
      <c r="X432" s="86">
        <f>IFERROR(SUBSTITUTE(Tabela1[[#This Row],[Estacionamento]],".",",",1)*1,0)</f>
        <v>0</v>
      </c>
      <c r="Y432" s="86">
        <f>IFERROR(SUBSTITUTE(Tabela1[[#This Row],[Despesas Diversas 
(Jantar em viagem, Impressões, Etc)]],".",",",1)*1,0)</f>
        <v>0</v>
      </c>
      <c r="Z432" s="86">
        <f>IFERROR(SUBSTITUTE(Tabela1[[#This Row],[Hospedagem]],".",",",1)*1,0)</f>
        <v>0</v>
      </c>
      <c r="AA432" s="56" t="str">
        <f>IF(DAY(Tabela1[[#This Row],[Informe a data]])&lt;=15,"1ª Quinzena","2ª Quinzena")</f>
        <v>2ª Quinzena</v>
      </c>
      <c r="AB432" s="56" t="str">
        <f>UPPER(TEXT(Tabela1[[#This Row],[Informe a data]],"mmmm"))</f>
        <v>JUNHO</v>
      </c>
      <c r="AC432" s="87" t="e">
        <f ca="1">_xlfn.CONCAT(Tabela1[[#This Row],[Selecione o Usuário]]," - ",TEXT(Tabela1[[#This Row],[Informe a data]],"dd-mm-aa"))</f>
        <v>#NAME?</v>
      </c>
    </row>
    <row r="433" spans="1:29">
      <c r="A433" s="49">
        <v>46195.765416666669</v>
      </c>
      <c r="B433" s="50" t="s">
        <v>1260</v>
      </c>
      <c r="C433" s="50" t="s">
        <v>505</v>
      </c>
      <c r="D433" s="50" t="s">
        <v>551</v>
      </c>
      <c r="E433" s="51">
        <v>46195</v>
      </c>
      <c r="F433" s="52">
        <v>106776</v>
      </c>
      <c r="G433" s="58" t="s">
        <v>1456</v>
      </c>
      <c r="H433" s="52">
        <v>106830</v>
      </c>
      <c r="I433" s="58" t="s">
        <v>1457</v>
      </c>
      <c r="J433" s="50" t="s">
        <v>1458</v>
      </c>
      <c r="K433" s="53"/>
      <c r="L433" s="50" t="s">
        <v>60</v>
      </c>
      <c r="M433" s="53"/>
      <c r="N433" s="53"/>
      <c r="O433" s="53"/>
      <c r="P433" s="53"/>
      <c r="Q433" s="53"/>
      <c r="R433" s="53"/>
      <c r="S433" s="53"/>
      <c r="T433" s="53"/>
      <c r="U433" s="85">
        <f>(Tabela1[[#This Row],[Informe o KM final do dia]]-Tabela1[[#This Row],[Informe o KM inicial do dia]])-Tabela1[[#This Row],[Caso tenha rodado particular alguma parte do trajeto, informe o total de KM a ser deduzido.]]</f>
        <v>54</v>
      </c>
      <c r="V433" s="86">
        <f>IF(Tabela1[[#This Row],[Informe a data]]&lt;DATE(2026,3,16), Tabela1[[#This Row],[KM Rodado]]*1.1, Tabela1[[#This Row],[KM Rodado]]*1.23)</f>
        <v>66.42</v>
      </c>
      <c r="W433" s="86">
        <f>IFERROR(SUBSTITUTE(Tabela1[[#This Row],[Pedágio]],".",",",1)*1,0)</f>
        <v>0</v>
      </c>
      <c r="X433" s="86">
        <f>IFERROR(SUBSTITUTE(Tabela1[[#This Row],[Estacionamento]],".",",",1)*1,0)</f>
        <v>0</v>
      </c>
      <c r="Y433" s="86">
        <f>IFERROR(SUBSTITUTE(Tabela1[[#This Row],[Despesas Diversas 
(Jantar em viagem, Impressões, Etc)]],".",",",1)*1,0)</f>
        <v>0</v>
      </c>
      <c r="Z433" s="86">
        <f>IFERROR(SUBSTITUTE(Tabela1[[#This Row],[Hospedagem]],".",",",1)*1,0)</f>
        <v>0</v>
      </c>
      <c r="AA433" s="56" t="str">
        <f>IF(DAY(Tabela1[[#This Row],[Informe a data]])&lt;=15,"1ª Quinzena","2ª Quinzena")</f>
        <v>2ª Quinzena</v>
      </c>
      <c r="AB433" s="56" t="str">
        <f>UPPER(TEXT(Tabela1[[#This Row],[Informe a data]],"mmmm"))</f>
        <v>JUNHO</v>
      </c>
      <c r="AC433" s="87" t="e">
        <f ca="1">_xlfn.CONCAT(Tabela1[[#This Row],[Selecione o Usuário]]," - ",TEXT(Tabela1[[#This Row],[Informe a data]],"dd-mm-aa"))</f>
        <v>#NAME?</v>
      </c>
    </row>
    <row r="434" spans="1:29">
      <c r="A434" s="89">
        <v>46197.736377314817</v>
      </c>
      <c r="B434" s="90" t="s">
        <v>131</v>
      </c>
      <c r="C434" s="90" t="s">
        <v>132</v>
      </c>
      <c r="D434" s="90" t="s">
        <v>133</v>
      </c>
      <c r="E434" s="91">
        <v>46196</v>
      </c>
      <c r="F434" s="92">
        <v>194832</v>
      </c>
      <c r="G434" s="93" t="s">
        <v>1459</v>
      </c>
      <c r="H434" s="92">
        <v>194871</v>
      </c>
      <c r="I434" s="93" t="s">
        <v>1460</v>
      </c>
      <c r="J434" s="90" t="s">
        <v>540</v>
      </c>
      <c r="K434" s="94"/>
      <c r="L434" s="90" t="s">
        <v>60</v>
      </c>
      <c r="M434" s="94"/>
      <c r="N434" s="94"/>
      <c r="O434" s="94"/>
      <c r="P434" s="94"/>
      <c r="Q434" s="94"/>
      <c r="R434" s="94"/>
      <c r="S434" s="94"/>
      <c r="T434" s="94"/>
      <c r="U434" s="85">
        <f>(Tabela1[[#This Row],[Informe o KM final do dia]]-Tabela1[[#This Row],[Informe o KM inicial do dia]])-Tabela1[[#This Row],[Caso tenha rodado particular alguma parte do trajeto, informe o total de KM a ser deduzido.]]</f>
        <v>39</v>
      </c>
      <c r="V434" s="86">
        <f>IF(Tabela1[[#This Row],[Informe a data]]&lt;DATE(2026,3,16), Tabela1[[#This Row],[KM Rodado]]*1.1, Tabela1[[#This Row],[KM Rodado]]*1.23)</f>
        <v>47.97</v>
      </c>
      <c r="W434" s="86">
        <f>IFERROR(SUBSTITUTE(Tabela1[[#This Row],[Pedágio]],".",",",1)*1,0)</f>
        <v>0</v>
      </c>
      <c r="X434" s="86">
        <f>IFERROR(SUBSTITUTE(Tabela1[[#This Row],[Estacionamento]],".",",",1)*1,0)</f>
        <v>0</v>
      </c>
      <c r="Y434" s="86">
        <f>IFERROR(SUBSTITUTE(Tabela1[[#This Row],[Despesas Diversas 
(Jantar em viagem, Impressões, Etc)]],".",",",1)*1,0)</f>
        <v>0</v>
      </c>
      <c r="Z434" s="86">
        <f>IFERROR(SUBSTITUTE(Tabela1[[#This Row],[Hospedagem]],".",",",1)*1,0)</f>
        <v>0</v>
      </c>
      <c r="AA434" s="56" t="str">
        <f>IF(DAY(Tabela1[[#This Row],[Informe a data]])&lt;=15,"1ª Quinzena","2ª Quinzena")</f>
        <v>2ª Quinzena</v>
      </c>
      <c r="AB434" s="56" t="str">
        <f>UPPER(TEXT(Tabela1[[#This Row],[Informe a data]],"mmmm"))</f>
        <v>JUNHO</v>
      </c>
      <c r="AC434" s="87" t="e">
        <f ca="1">_xlfn.CONCAT(Tabela1[[#This Row],[Selecione o Usuário]]," - ",TEXT(Tabela1[[#This Row],[Informe a data]],"dd-mm-aa"))</f>
        <v>#NAME?</v>
      </c>
    </row>
    <row r="435" spans="1:29">
      <c r="A435" s="89">
        <v>46202.303831018522</v>
      </c>
      <c r="B435" s="90" t="s">
        <v>1260</v>
      </c>
      <c r="C435" s="90" t="s">
        <v>505</v>
      </c>
      <c r="D435" s="90" t="s">
        <v>551</v>
      </c>
      <c r="E435" s="91">
        <v>46196</v>
      </c>
      <c r="F435" s="92">
        <v>106833</v>
      </c>
      <c r="G435" s="93" t="s">
        <v>1472</v>
      </c>
      <c r="H435" s="92">
        <v>106871</v>
      </c>
      <c r="I435" s="93" t="s">
        <v>1473</v>
      </c>
      <c r="J435" s="90" t="s">
        <v>1474</v>
      </c>
      <c r="K435" s="94"/>
      <c r="L435" s="90" t="s">
        <v>60</v>
      </c>
      <c r="M435" s="94"/>
      <c r="N435" s="94"/>
      <c r="O435" s="94"/>
      <c r="P435" s="94"/>
      <c r="Q435" s="94"/>
      <c r="R435" s="94"/>
      <c r="S435" s="94"/>
      <c r="T435" s="94"/>
      <c r="U435" s="85">
        <f>(Tabela1[[#This Row],[Informe o KM final do dia]]-Tabela1[[#This Row],[Informe o KM inicial do dia]])-Tabela1[[#This Row],[Caso tenha rodado particular alguma parte do trajeto, informe o total de KM a ser deduzido.]]</f>
        <v>38</v>
      </c>
      <c r="V435" s="86">
        <f>IF(Tabela1[[#This Row],[Informe a data]]&lt;DATE(2026,3,16), Tabela1[[#This Row],[KM Rodado]]*1.1, Tabela1[[#This Row],[KM Rodado]]*1.23)</f>
        <v>46.74</v>
      </c>
      <c r="W435" s="86">
        <f>IFERROR(SUBSTITUTE(Tabela1[[#This Row],[Pedágio]],".",",",1)*1,0)</f>
        <v>0</v>
      </c>
      <c r="X435" s="86">
        <f>IFERROR(SUBSTITUTE(Tabela1[[#This Row],[Estacionamento]],".",",",1)*1,0)</f>
        <v>0</v>
      </c>
      <c r="Y435" s="86">
        <f>IFERROR(SUBSTITUTE(Tabela1[[#This Row],[Despesas Diversas 
(Jantar em viagem, Impressões, Etc)]],".",",",1)*1,0)</f>
        <v>0</v>
      </c>
      <c r="Z435" s="86">
        <f>IFERROR(SUBSTITUTE(Tabela1[[#This Row],[Hospedagem]],".",",",1)*1,0)</f>
        <v>0</v>
      </c>
      <c r="AA435" s="56" t="str">
        <f>IF(DAY(Tabela1[[#This Row],[Informe a data]])&lt;=15,"1ª Quinzena","2ª Quinzena")</f>
        <v>2ª Quinzena</v>
      </c>
      <c r="AB435" s="56" t="str">
        <f>UPPER(TEXT(Tabela1[[#This Row],[Informe a data]],"mmmm"))</f>
        <v>JUNHO</v>
      </c>
      <c r="AC435" s="87" t="e">
        <f ca="1">_xlfn.CONCAT(Tabela1[[#This Row],[Selecione o Usuário]]," - ",TEXT(Tabela1[[#This Row],[Informe a data]],"dd-mm-aa"))</f>
        <v>#NAME?</v>
      </c>
    </row>
    <row r="436" spans="1:29">
      <c r="A436" s="49">
        <v>46204.391944444447</v>
      </c>
      <c r="B436" s="50" t="s">
        <v>607</v>
      </c>
      <c r="C436" s="50" t="s">
        <v>136</v>
      </c>
      <c r="D436" s="50" t="s">
        <v>177</v>
      </c>
      <c r="E436" s="51">
        <v>46196</v>
      </c>
      <c r="F436" s="52">
        <v>175801</v>
      </c>
      <c r="G436" s="58" t="s">
        <v>1497</v>
      </c>
      <c r="H436" s="52">
        <v>175849</v>
      </c>
      <c r="I436" s="58" t="s">
        <v>1498</v>
      </c>
      <c r="J436" s="50" t="s">
        <v>1499</v>
      </c>
      <c r="K436" s="53"/>
      <c r="L436" s="50" t="s">
        <v>60</v>
      </c>
      <c r="M436" s="53"/>
      <c r="N436" s="53"/>
      <c r="O436" s="53"/>
      <c r="P436" s="53"/>
      <c r="Q436" s="53"/>
      <c r="R436" s="53"/>
      <c r="S436" s="53"/>
      <c r="T436" s="53"/>
      <c r="U436" s="85">
        <f>(Tabela1[[#This Row],[Informe o KM final do dia]]-Tabela1[[#This Row],[Informe o KM inicial do dia]])-Tabela1[[#This Row],[Caso tenha rodado particular alguma parte do trajeto, informe o total de KM a ser deduzido.]]</f>
        <v>48</v>
      </c>
      <c r="V436" s="86">
        <f>IF(Tabela1[[#This Row],[Informe a data]]&lt;DATE(2026,3,16), Tabela1[[#This Row],[KM Rodado]]*1.1, Tabela1[[#This Row],[KM Rodado]]*1.23)</f>
        <v>59.04</v>
      </c>
      <c r="W436" s="86">
        <f>IFERROR(SUBSTITUTE(Tabela1[[#This Row],[Pedágio]],".",",",1)*1,0)</f>
        <v>0</v>
      </c>
      <c r="X436" s="86">
        <f>IFERROR(SUBSTITUTE(Tabela1[[#This Row],[Estacionamento]],".",",",1)*1,0)</f>
        <v>0</v>
      </c>
      <c r="Y436" s="86">
        <f>IFERROR(SUBSTITUTE(Tabela1[[#This Row],[Despesas Diversas 
(Jantar em viagem, Impressões, Etc)]],".",",",1)*1,0)</f>
        <v>0</v>
      </c>
      <c r="Z436" s="86">
        <f>IFERROR(SUBSTITUTE(Tabela1[[#This Row],[Hospedagem]],".",",",1)*1,0)</f>
        <v>0</v>
      </c>
      <c r="AA436" s="56" t="str">
        <f>IF(DAY(Tabela1[[#This Row],[Informe a data]])&lt;=15,"1ª Quinzena","2ª Quinzena")</f>
        <v>2ª Quinzena</v>
      </c>
      <c r="AB436" s="56" t="str">
        <f>UPPER(TEXT(Tabela1[[#This Row],[Informe a data]],"mmmm"))</f>
        <v>JUNHO</v>
      </c>
      <c r="AC436" s="87" t="e">
        <f ca="1">_xlfn.CONCAT(Tabela1[[#This Row],[Selecione o Usuário]]," - ",TEXT(Tabela1[[#This Row],[Informe a data]],"dd-mm-aa"))</f>
        <v>#NAME?</v>
      </c>
    </row>
    <row r="437" spans="1:29">
      <c r="A437" s="49">
        <v>46197.738888888889</v>
      </c>
      <c r="B437" s="50" t="s">
        <v>131</v>
      </c>
      <c r="C437" s="50" t="s">
        <v>132</v>
      </c>
      <c r="D437" s="50" t="s">
        <v>133</v>
      </c>
      <c r="E437" s="51">
        <v>46197</v>
      </c>
      <c r="F437" s="52">
        <v>194871</v>
      </c>
      <c r="G437" s="58" t="s">
        <v>1461</v>
      </c>
      <c r="H437" s="52">
        <v>194915</v>
      </c>
      <c r="I437" s="58" t="s">
        <v>1462</v>
      </c>
      <c r="J437" s="50" t="s">
        <v>1463</v>
      </c>
      <c r="K437" s="53"/>
      <c r="L437" s="50" t="s">
        <v>60</v>
      </c>
      <c r="M437" s="53"/>
      <c r="N437" s="53"/>
      <c r="O437" s="53"/>
      <c r="P437" s="53"/>
      <c r="Q437" s="53"/>
      <c r="R437" s="53"/>
      <c r="S437" s="53"/>
      <c r="T437" s="53"/>
      <c r="U437" s="85">
        <f>(Tabela1[[#This Row],[Informe o KM final do dia]]-Tabela1[[#This Row],[Informe o KM inicial do dia]])-Tabela1[[#This Row],[Caso tenha rodado particular alguma parte do trajeto, informe o total de KM a ser deduzido.]]</f>
        <v>44</v>
      </c>
      <c r="V437" s="86">
        <f>IF(Tabela1[[#This Row],[Informe a data]]&lt;DATE(2026,3,16), Tabela1[[#This Row],[KM Rodado]]*1.1, Tabela1[[#This Row],[KM Rodado]]*1.23)</f>
        <v>54.12</v>
      </c>
      <c r="W437" s="86">
        <f>IFERROR(SUBSTITUTE(Tabela1[[#This Row],[Pedágio]],".",",",1)*1,0)</f>
        <v>0</v>
      </c>
      <c r="X437" s="86">
        <f>IFERROR(SUBSTITUTE(Tabela1[[#This Row],[Estacionamento]],".",",",1)*1,0)</f>
        <v>0</v>
      </c>
      <c r="Y437" s="86">
        <f>IFERROR(SUBSTITUTE(Tabela1[[#This Row],[Despesas Diversas 
(Jantar em viagem, Impressões, Etc)]],".",",",1)*1,0)</f>
        <v>0</v>
      </c>
      <c r="Z437" s="86">
        <f>IFERROR(SUBSTITUTE(Tabela1[[#This Row],[Hospedagem]],".",",",1)*1,0)</f>
        <v>0</v>
      </c>
      <c r="AA437" s="56" t="str">
        <f>IF(DAY(Tabela1[[#This Row],[Informe a data]])&lt;=15,"1ª Quinzena","2ª Quinzena")</f>
        <v>2ª Quinzena</v>
      </c>
      <c r="AB437" s="56" t="str">
        <f>UPPER(TEXT(Tabela1[[#This Row],[Informe a data]],"mmmm"))</f>
        <v>JUNHO</v>
      </c>
      <c r="AC437" s="87" t="e">
        <f ca="1">_xlfn.CONCAT(Tabela1[[#This Row],[Selecione o Usuário]]," - ",TEXT(Tabela1[[#This Row],[Informe a data]],"dd-mm-aa"))</f>
        <v>#NAME?</v>
      </c>
    </row>
    <row r="438" spans="1:29">
      <c r="A438" s="49">
        <v>46202.305428240739</v>
      </c>
      <c r="B438" s="50" t="s">
        <v>1260</v>
      </c>
      <c r="C438" s="50" t="s">
        <v>505</v>
      </c>
      <c r="D438" s="50" t="s">
        <v>551</v>
      </c>
      <c r="E438" s="51">
        <v>46197</v>
      </c>
      <c r="F438" s="52">
        <v>106873</v>
      </c>
      <c r="G438" s="58" t="s">
        <v>1475</v>
      </c>
      <c r="H438" s="52">
        <v>106981</v>
      </c>
      <c r="I438" s="58" t="s">
        <v>1476</v>
      </c>
      <c r="J438" s="50" t="s">
        <v>1477</v>
      </c>
      <c r="K438" s="53"/>
      <c r="L438" s="50" t="s">
        <v>60</v>
      </c>
      <c r="M438" s="53"/>
      <c r="N438" s="53"/>
      <c r="O438" s="53"/>
      <c r="P438" s="53"/>
      <c r="Q438" s="53"/>
      <c r="R438" s="53"/>
      <c r="S438" s="53"/>
      <c r="T438" s="53"/>
      <c r="U438" s="85">
        <f>(Tabela1[[#This Row],[Informe o KM final do dia]]-Tabela1[[#This Row],[Informe o KM inicial do dia]])-Tabela1[[#This Row],[Caso tenha rodado particular alguma parte do trajeto, informe o total de KM a ser deduzido.]]</f>
        <v>108</v>
      </c>
      <c r="V438" s="86">
        <f>IF(Tabela1[[#This Row],[Informe a data]]&lt;DATE(2026,3,16), Tabela1[[#This Row],[KM Rodado]]*1.1, Tabela1[[#This Row],[KM Rodado]]*1.23)</f>
        <v>132.84</v>
      </c>
      <c r="W438" s="86">
        <f>IFERROR(SUBSTITUTE(Tabela1[[#This Row],[Pedágio]],".",",",1)*1,0)</f>
        <v>0</v>
      </c>
      <c r="X438" s="86">
        <f>IFERROR(SUBSTITUTE(Tabela1[[#This Row],[Estacionamento]],".",",",1)*1,0)</f>
        <v>0</v>
      </c>
      <c r="Y438" s="86">
        <f>IFERROR(SUBSTITUTE(Tabela1[[#This Row],[Despesas Diversas 
(Jantar em viagem, Impressões, Etc)]],".",",",1)*1,0)</f>
        <v>0</v>
      </c>
      <c r="Z438" s="86">
        <f>IFERROR(SUBSTITUTE(Tabela1[[#This Row],[Hospedagem]],".",",",1)*1,0)</f>
        <v>0</v>
      </c>
      <c r="AA438" s="56" t="str">
        <f>IF(DAY(Tabela1[[#This Row],[Informe a data]])&lt;=15,"1ª Quinzena","2ª Quinzena")</f>
        <v>2ª Quinzena</v>
      </c>
      <c r="AB438" s="56" t="str">
        <f>UPPER(TEXT(Tabela1[[#This Row],[Informe a data]],"mmmm"))</f>
        <v>JUNHO</v>
      </c>
      <c r="AC438" s="87" t="e">
        <f ca="1">_xlfn.CONCAT(Tabela1[[#This Row],[Selecione o Usuário]]," - ",TEXT(Tabela1[[#This Row],[Informe a data]],"dd-mm-aa"))</f>
        <v>#NAME?</v>
      </c>
    </row>
    <row r="439" spans="1:29">
      <c r="A439" s="89">
        <v>46198.803877314815</v>
      </c>
      <c r="B439" s="90" t="s">
        <v>131</v>
      </c>
      <c r="C439" s="90" t="s">
        <v>132</v>
      </c>
      <c r="D439" s="90" t="s">
        <v>133</v>
      </c>
      <c r="E439" s="91">
        <v>46198</v>
      </c>
      <c r="F439" s="92">
        <v>194915</v>
      </c>
      <c r="G439" s="93" t="s">
        <v>1464</v>
      </c>
      <c r="H439" s="92">
        <v>194971</v>
      </c>
      <c r="I439" s="93" t="s">
        <v>1465</v>
      </c>
      <c r="J439" s="90" t="s">
        <v>1466</v>
      </c>
      <c r="K439" s="94"/>
      <c r="L439" s="90" t="s">
        <v>61</v>
      </c>
      <c r="M439" s="94"/>
      <c r="N439" s="94"/>
      <c r="O439" s="94"/>
      <c r="P439" s="94"/>
      <c r="Q439" s="90" t="s">
        <v>1467</v>
      </c>
      <c r="R439" s="90" t="s">
        <v>1468</v>
      </c>
      <c r="S439" s="94"/>
      <c r="T439" s="94"/>
      <c r="U439" s="85">
        <f>(Tabela1[[#This Row],[Informe o KM final do dia]]-Tabela1[[#This Row],[Informe o KM inicial do dia]])-Tabela1[[#This Row],[Caso tenha rodado particular alguma parte do trajeto, informe o total de KM a ser deduzido.]]</f>
        <v>56</v>
      </c>
      <c r="V439" s="86">
        <f>IF(Tabela1[[#This Row],[Informe a data]]&lt;DATE(2026,3,16), Tabela1[[#This Row],[KM Rodado]]*1.1, Tabela1[[#This Row],[KM Rodado]]*1.23)</f>
        <v>68.88</v>
      </c>
      <c r="W439" s="86">
        <f>IFERROR(SUBSTITUTE(Tabela1[[#This Row],[Pedágio]],".",",",1)*1,0)</f>
        <v>0</v>
      </c>
      <c r="X439" s="86">
        <f>IFERROR(SUBSTITUTE(Tabela1[[#This Row],[Estacionamento]],".",",",1)*1,0)</f>
        <v>0</v>
      </c>
      <c r="Y439" s="86">
        <f>IFERROR(SUBSTITUTE(Tabela1[[#This Row],[Despesas Diversas 
(Jantar em viagem, Impressões, Etc)]],".",",",1)*1,0)</f>
        <v>34</v>
      </c>
      <c r="Z439" s="86">
        <f>IFERROR(SUBSTITUTE(Tabela1[[#This Row],[Hospedagem]],".",",",1)*1,0)</f>
        <v>0</v>
      </c>
      <c r="AA439" s="56" t="str">
        <f>IF(DAY(Tabela1[[#This Row],[Informe a data]])&lt;=15,"1ª Quinzena","2ª Quinzena")</f>
        <v>2ª Quinzena</v>
      </c>
      <c r="AB439" s="56" t="str">
        <f>UPPER(TEXT(Tabela1[[#This Row],[Informe a data]],"mmmm"))</f>
        <v>JUNHO</v>
      </c>
      <c r="AC439" s="87" t="e">
        <f ca="1">_xlfn.CONCAT(Tabela1[[#This Row],[Selecione o Usuário]]," - ",TEXT(Tabela1[[#This Row],[Informe a data]],"dd-mm-aa"))</f>
        <v>#NAME?</v>
      </c>
    </row>
    <row r="440" spans="1:29">
      <c r="A440" s="89">
        <v>46202.308877314812</v>
      </c>
      <c r="B440" s="90" t="s">
        <v>1260</v>
      </c>
      <c r="C440" s="90" t="s">
        <v>505</v>
      </c>
      <c r="D440" s="90" t="s">
        <v>506</v>
      </c>
      <c r="E440" s="91">
        <v>46198</v>
      </c>
      <c r="F440" s="92">
        <v>106998</v>
      </c>
      <c r="G440" s="93" t="s">
        <v>1478</v>
      </c>
      <c r="H440" s="92">
        <v>107022</v>
      </c>
      <c r="I440" s="93" t="s">
        <v>1479</v>
      </c>
      <c r="J440" s="90" t="s">
        <v>1480</v>
      </c>
      <c r="K440" s="94"/>
      <c r="L440" s="90" t="s">
        <v>60</v>
      </c>
      <c r="M440" s="94"/>
      <c r="N440" s="94"/>
      <c r="O440" s="94"/>
      <c r="P440" s="94"/>
      <c r="Q440" s="94"/>
      <c r="R440" s="94"/>
      <c r="S440" s="94"/>
      <c r="T440" s="94"/>
      <c r="U440" s="85">
        <f>(Tabela1[[#This Row],[Informe o KM final do dia]]-Tabela1[[#This Row],[Informe o KM inicial do dia]])-Tabela1[[#This Row],[Caso tenha rodado particular alguma parte do trajeto, informe o total de KM a ser deduzido.]]</f>
        <v>24</v>
      </c>
      <c r="V440" s="86">
        <f>IF(Tabela1[[#This Row],[Informe a data]]&lt;DATE(2026,3,16), Tabela1[[#This Row],[KM Rodado]]*1.1, Tabela1[[#This Row],[KM Rodado]]*1.23)</f>
        <v>29.52</v>
      </c>
      <c r="W440" s="86">
        <f>IFERROR(SUBSTITUTE(Tabela1[[#This Row],[Pedágio]],".",",",1)*1,0)</f>
        <v>0</v>
      </c>
      <c r="X440" s="86">
        <f>IFERROR(SUBSTITUTE(Tabela1[[#This Row],[Estacionamento]],".",",",1)*1,0)</f>
        <v>0</v>
      </c>
      <c r="Y440" s="86">
        <f>IFERROR(SUBSTITUTE(Tabela1[[#This Row],[Despesas Diversas 
(Jantar em viagem, Impressões, Etc)]],".",",",1)*1,0)</f>
        <v>0</v>
      </c>
      <c r="Z440" s="86">
        <f>IFERROR(SUBSTITUTE(Tabela1[[#This Row],[Hospedagem]],".",",",1)*1,0)</f>
        <v>0</v>
      </c>
      <c r="AA440" s="56" t="str">
        <f>IF(DAY(Tabela1[[#This Row],[Informe a data]])&lt;=15,"1ª Quinzena","2ª Quinzena")</f>
        <v>2ª Quinzena</v>
      </c>
      <c r="AB440" s="56" t="str">
        <f>UPPER(TEXT(Tabela1[[#This Row],[Informe a data]],"mmmm"))</f>
        <v>JUNHO</v>
      </c>
      <c r="AC440" s="87" t="e">
        <f ca="1">_xlfn.CONCAT(Tabela1[[#This Row],[Selecione o Usuário]]," - ",TEXT(Tabela1[[#This Row],[Informe a data]],"dd-mm-aa"))</f>
        <v>#NAME?</v>
      </c>
    </row>
    <row r="441" spans="1:29">
      <c r="A441" s="49">
        <v>46199.846643518518</v>
      </c>
      <c r="B441" s="50" t="s">
        <v>131</v>
      </c>
      <c r="C441" s="50" t="s">
        <v>132</v>
      </c>
      <c r="D441" s="50" t="s">
        <v>133</v>
      </c>
      <c r="E441" s="51">
        <v>46199</v>
      </c>
      <c r="F441" s="52">
        <v>194971</v>
      </c>
      <c r="G441" s="58" t="s">
        <v>1469</v>
      </c>
      <c r="H441" s="52">
        <v>195005</v>
      </c>
      <c r="I441" s="58" t="s">
        <v>1470</v>
      </c>
      <c r="J441" s="50" t="s">
        <v>1471</v>
      </c>
      <c r="K441" s="53"/>
      <c r="L441" s="50" t="s">
        <v>60</v>
      </c>
      <c r="M441" s="53"/>
      <c r="N441" s="53"/>
      <c r="O441" s="53"/>
      <c r="P441" s="53"/>
      <c r="Q441" s="53"/>
      <c r="R441" s="53"/>
      <c r="S441" s="53"/>
      <c r="T441" s="53"/>
      <c r="U441" s="85">
        <f>(Tabela1[[#This Row],[Informe o KM final do dia]]-Tabela1[[#This Row],[Informe o KM inicial do dia]])-Tabela1[[#This Row],[Caso tenha rodado particular alguma parte do trajeto, informe o total de KM a ser deduzido.]]</f>
        <v>34</v>
      </c>
      <c r="V441" s="86">
        <f>IF(Tabela1[[#This Row],[Informe a data]]&lt;DATE(2026,3,16), Tabela1[[#This Row],[KM Rodado]]*1.1, Tabela1[[#This Row],[KM Rodado]]*1.23)</f>
        <v>41.82</v>
      </c>
      <c r="W441" s="86">
        <f>IFERROR(SUBSTITUTE(Tabela1[[#This Row],[Pedágio]],".",",",1)*1,0)</f>
        <v>0</v>
      </c>
      <c r="X441" s="86">
        <f>IFERROR(SUBSTITUTE(Tabela1[[#This Row],[Estacionamento]],".",",",1)*1,0)</f>
        <v>0</v>
      </c>
      <c r="Y441" s="86">
        <f>IFERROR(SUBSTITUTE(Tabela1[[#This Row],[Despesas Diversas 
(Jantar em viagem, Impressões, Etc)]],".",",",1)*1,0)</f>
        <v>0</v>
      </c>
      <c r="Z441" s="86">
        <f>IFERROR(SUBSTITUTE(Tabela1[[#This Row],[Hospedagem]],".",",",1)*1,0)</f>
        <v>0</v>
      </c>
      <c r="AA441" s="56" t="str">
        <f>IF(DAY(Tabela1[[#This Row],[Informe a data]])&lt;=15,"1ª Quinzena","2ª Quinzena")</f>
        <v>2ª Quinzena</v>
      </c>
      <c r="AB441" s="56" t="str">
        <f>UPPER(TEXT(Tabela1[[#This Row],[Informe a data]],"mmmm"))</f>
        <v>JUNHO</v>
      </c>
      <c r="AC441" s="87" t="e">
        <f ca="1">_xlfn.CONCAT(Tabela1[[#This Row],[Selecione o Usuário]]," - ",TEXT(Tabela1[[#This Row],[Informe a data]],"dd-mm-aa"))</f>
        <v>#NAME?</v>
      </c>
    </row>
    <row r="442" spans="1:29">
      <c r="A442" s="49">
        <v>46202.310416666667</v>
      </c>
      <c r="B442" s="50" t="s">
        <v>1260</v>
      </c>
      <c r="C442" s="50" t="s">
        <v>505</v>
      </c>
      <c r="D442" s="50" t="s">
        <v>506</v>
      </c>
      <c r="E442" s="51">
        <v>46199</v>
      </c>
      <c r="F442" s="52">
        <v>107022</v>
      </c>
      <c r="G442" s="58" t="s">
        <v>1481</v>
      </c>
      <c r="H442" s="52">
        <v>107119</v>
      </c>
      <c r="I442" s="58" t="s">
        <v>1482</v>
      </c>
      <c r="J442" s="50" t="s">
        <v>1483</v>
      </c>
      <c r="K442" s="53"/>
      <c r="L442" s="50" t="s">
        <v>60</v>
      </c>
      <c r="M442" s="53"/>
      <c r="N442" s="53"/>
      <c r="O442" s="53"/>
      <c r="P442" s="53"/>
      <c r="Q442" s="53"/>
      <c r="R442" s="53"/>
      <c r="S442" s="53"/>
      <c r="T442" s="53"/>
      <c r="U442" s="85">
        <f>(Tabela1[[#This Row],[Informe o KM final do dia]]-Tabela1[[#This Row],[Informe o KM inicial do dia]])-Tabela1[[#This Row],[Caso tenha rodado particular alguma parte do trajeto, informe o total de KM a ser deduzido.]]</f>
        <v>97</v>
      </c>
      <c r="V442" s="86">
        <f>IF(Tabela1[[#This Row],[Informe a data]]&lt;DATE(2026,3,16), Tabela1[[#This Row],[KM Rodado]]*1.1, Tabela1[[#This Row],[KM Rodado]]*1.23)</f>
        <v>119.31</v>
      </c>
      <c r="W442" s="86">
        <f>IFERROR(SUBSTITUTE(Tabela1[[#This Row],[Pedágio]],".",",",1)*1,0)</f>
        <v>0</v>
      </c>
      <c r="X442" s="86">
        <f>IFERROR(SUBSTITUTE(Tabela1[[#This Row],[Estacionamento]],".",",",1)*1,0)</f>
        <v>0</v>
      </c>
      <c r="Y442" s="86">
        <f>IFERROR(SUBSTITUTE(Tabela1[[#This Row],[Despesas Diversas 
(Jantar em viagem, Impressões, Etc)]],".",",",1)*1,0)</f>
        <v>0</v>
      </c>
      <c r="Z442" s="86">
        <f>IFERROR(SUBSTITUTE(Tabela1[[#This Row],[Hospedagem]],".",",",1)*1,0)</f>
        <v>0</v>
      </c>
      <c r="AA442" s="56" t="str">
        <f>IF(DAY(Tabela1[[#This Row],[Informe a data]])&lt;=15,"1ª Quinzena","2ª Quinzena")</f>
        <v>2ª Quinzena</v>
      </c>
      <c r="AB442" s="56" t="str">
        <f>UPPER(TEXT(Tabela1[[#This Row],[Informe a data]],"mmmm"))</f>
        <v>JUNHO</v>
      </c>
      <c r="AC442" s="87" t="e">
        <f ca="1">_xlfn.CONCAT(Tabela1[[#This Row],[Selecione o Usuário]]," - ",TEXT(Tabela1[[#This Row],[Informe a data]],"dd-mm-aa"))</f>
        <v>#NAME?</v>
      </c>
    </row>
    <row r="443" spans="1:29">
      <c r="A443" s="89">
        <v>46202.3125462963</v>
      </c>
      <c r="B443" s="90" t="s">
        <v>1260</v>
      </c>
      <c r="C443" s="90" t="s">
        <v>505</v>
      </c>
      <c r="D443" s="90" t="s">
        <v>506</v>
      </c>
      <c r="E443" s="91">
        <v>46200</v>
      </c>
      <c r="F443" s="92">
        <v>107139</v>
      </c>
      <c r="G443" s="94"/>
      <c r="H443" s="92">
        <v>107150</v>
      </c>
      <c r="I443" s="94"/>
      <c r="J443" s="90" t="s">
        <v>1484</v>
      </c>
      <c r="K443" s="94"/>
      <c r="L443" s="90" t="s">
        <v>60</v>
      </c>
      <c r="M443" s="94"/>
      <c r="N443" s="94"/>
      <c r="O443" s="94"/>
      <c r="P443" s="94"/>
      <c r="Q443" s="94"/>
      <c r="R443" s="94"/>
      <c r="S443" s="94"/>
      <c r="T443" s="94"/>
      <c r="U443" s="85">
        <f>(Tabela1[[#This Row],[Informe o KM final do dia]]-Tabela1[[#This Row],[Informe o KM inicial do dia]])-Tabela1[[#This Row],[Caso tenha rodado particular alguma parte do trajeto, informe o total de KM a ser deduzido.]]</f>
        <v>11</v>
      </c>
      <c r="V443" s="86">
        <f>IF(Tabela1[[#This Row],[Informe a data]]&lt;DATE(2026,3,16), Tabela1[[#This Row],[KM Rodado]]*1.1, Tabela1[[#This Row],[KM Rodado]]*1.23)</f>
        <v>13.53</v>
      </c>
      <c r="W443" s="86">
        <f>IFERROR(SUBSTITUTE(Tabela1[[#This Row],[Pedágio]],".",",",1)*1,0)</f>
        <v>0</v>
      </c>
      <c r="X443" s="86">
        <f>IFERROR(SUBSTITUTE(Tabela1[[#This Row],[Estacionamento]],".",",",1)*1,0)</f>
        <v>0</v>
      </c>
      <c r="Y443" s="86">
        <f>IFERROR(SUBSTITUTE(Tabela1[[#This Row],[Despesas Diversas 
(Jantar em viagem, Impressões, Etc)]],".",",",1)*1,0)</f>
        <v>0</v>
      </c>
      <c r="Z443" s="86">
        <f>IFERROR(SUBSTITUTE(Tabela1[[#This Row],[Hospedagem]],".",",",1)*1,0)</f>
        <v>0</v>
      </c>
      <c r="AA443" s="56" t="str">
        <f>IF(DAY(Tabela1[[#This Row],[Informe a data]])&lt;=15,"1ª Quinzena","2ª Quinzena")</f>
        <v>2ª Quinzena</v>
      </c>
      <c r="AB443" s="56" t="str">
        <f>UPPER(TEXT(Tabela1[[#This Row],[Informe a data]],"mmmm"))</f>
        <v>JUNHO</v>
      </c>
      <c r="AC443" s="87" t="e">
        <f ca="1">_xlfn.CONCAT(Tabela1[[#This Row],[Selecione o Usuário]]," - ",TEXT(Tabela1[[#This Row],[Informe a data]],"dd-mm-aa"))</f>
        <v>#NAME?</v>
      </c>
    </row>
    <row r="444" spans="1:29">
      <c r="A444" s="89">
        <v>46203.717766203707</v>
      </c>
      <c r="B444" s="90" t="s">
        <v>131</v>
      </c>
      <c r="C444" s="90" t="s">
        <v>132</v>
      </c>
      <c r="D444" s="90" t="s">
        <v>133</v>
      </c>
      <c r="E444" s="91">
        <v>46203</v>
      </c>
      <c r="F444" s="92">
        <v>195013</v>
      </c>
      <c r="G444" s="93" t="s">
        <v>1488</v>
      </c>
      <c r="H444" s="92">
        <v>195070</v>
      </c>
      <c r="I444" s="93" t="s">
        <v>1489</v>
      </c>
      <c r="J444" s="90" t="s">
        <v>1490</v>
      </c>
      <c r="K444" s="94"/>
      <c r="L444" s="90" t="s">
        <v>60</v>
      </c>
      <c r="M444" s="94"/>
      <c r="N444" s="94"/>
      <c r="O444" s="94"/>
      <c r="P444" s="94"/>
      <c r="Q444" s="94"/>
      <c r="R444" s="94"/>
      <c r="S444" s="94"/>
      <c r="T444" s="94"/>
      <c r="U444" s="85">
        <f>(Tabela1[[#This Row],[Informe o KM final do dia]]-Tabela1[[#This Row],[Informe o KM inicial do dia]])-Tabela1[[#This Row],[Caso tenha rodado particular alguma parte do trajeto, informe o total de KM a ser deduzido.]]</f>
        <v>57</v>
      </c>
      <c r="V444" s="86">
        <f>IF(Tabela1[[#This Row],[Informe a data]]&lt;DATE(2026,3,16), Tabela1[[#This Row],[KM Rodado]]*1.1, Tabela1[[#This Row],[KM Rodado]]*1.23)</f>
        <v>70.11</v>
      </c>
      <c r="W444" s="86">
        <f>IFERROR(SUBSTITUTE(Tabela1[[#This Row],[Pedágio]],".",",",1)*1,0)</f>
        <v>0</v>
      </c>
      <c r="X444" s="86">
        <f>IFERROR(SUBSTITUTE(Tabela1[[#This Row],[Estacionamento]],".",",",1)*1,0)</f>
        <v>0</v>
      </c>
      <c r="Y444" s="86">
        <f>IFERROR(SUBSTITUTE(Tabela1[[#This Row],[Despesas Diversas 
(Jantar em viagem, Impressões, Etc)]],".",",",1)*1,0)</f>
        <v>0</v>
      </c>
      <c r="Z444" s="86">
        <f>IFERROR(SUBSTITUTE(Tabela1[[#This Row],[Hospedagem]],".",",",1)*1,0)</f>
        <v>0</v>
      </c>
      <c r="AA444" s="56" t="str">
        <f>IF(DAY(Tabela1[[#This Row],[Informe a data]])&lt;=15,"1ª Quinzena","2ª Quinzena")</f>
        <v>2ª Quinzena</v>
      </c>
      <c r="AB444" s="56" t="str">
        <f>UPPER(TEXT(Tabela1[[#This Row],[Informe a data]],"mmmm"))</f>
        <v>JUNHO</v>
      </c>
      <c r="AC444" s="87" t="e">
        <f ca="1">_xlfn.CONCAT(Tabela1[[#This Row],[Selecione o Usuário]]," - ",TEXT(Tabela1[[#This Row],[Informe a data]],"dd-mm-aa"))</f>
        <v>#NAME?</v>
      </c>
    </row>
    <row r="445" spans="1:29">
      <c r="A445" s="49">
        <v>46203.538368055553</v>
      </c>
      <c r="B445" s="50" t="s">
        <v>1260</v>
      </c>
      <c r="C445" s="50" t="s">
        <v>505</v>
      </c>
      <c r="D445" s="50" t="s">
        <v>506</v>
      </c>
      <c r="E445" s="51">
        <v>46203</v>
      </c>
      <c r="F445" s="52">
        <v>107180</v>
      </c>
      <c r="G445" s="58" t="s">
        <v>1485</v>
      </c>
      <c r="H445" s="52">
        <v>107229</v>
      </c>
      <c r="I445" s="58" t="s">
        <v>1486</v>
      </c>
      <c r="J445" s="50" t="s">
        <v>1487</v>
      </c>
      <c r="K445" s="53"/>
      <c r="L445" s="50" t="s">
        <v>60</v>
      </c>
      <c r="M445" s="53"/>
      <c r="N445" s="53"/>
      <c r="O445" s="53"/>
      <c r="P445" s="53"/>
      <c r="Q445" s="53"/>
      <c r="R445" s="53"/>
      <c r="S445" s="53"/>
      <c r="T445" s="53"/>
      <c r="U445" s="85">
        <f>(Tabela1[[#This Row],[Informe o KM final do dia]]-Tabela1[[#This Row],[Informe o KM inicial do dia]])-Tabela1[[#This Row],[Caso tenha rodado particular alguma parte do trajeto, informe o total de KM a ser deduzido.]]</f>
        <v>49</v>
      </c>
      <c r="V445" s="86">
        <f>IF(Tabela1[[#This Row],[Informe a data]]&lt;DATE(2026,3,16), Tabela1[[#This Row],[KM Rodado]]*1.1, Tabela1[[#This Row],[KM Rodado]]*1.23)</f>
        <v>60.269999999999996</v>
      </c>
      <c r="W445" s="86">
        <f>IFERROR(SUBSTITUTE(Tabela1[[#This Row],[Pedágio]],".",",",1)*1,0)</f>
        <v>0</v>
      </c>
      <c r="X445" s="86">
        <f>IFERROR(SUBSTITUTE(Tabela1[[#This Row],[Estacionamento]],".",",",1)*1,0)</f>
        <v>0</v>
      </c>
      <c r="Y445" s="86">
        <f>IFERROR(SUBSTITUTE(Tabela1[[#This Row],[Despesas Diversas 
(Jantar em viagem, Impressões, Etc)]],".",",",1)*1,0)</f>
        <v>0</v>
      </c>
      <c r="Z445" s="86">
        <f>IFERROR(SUBSTITUTE(Tabela1[[#This Row],[Hospedagem]],".",",",1)*1,0)</f>
        <v>0</v>
      </c>
      <c r="AA445" s="56" t="str">
        <f>IF(DAY(Tabela1[[#This Row],[Informe a data]])&lt;=15,"1ª Quinzena","2ª Quinzena")</f>
        <v>2ª Quinzena</v>
      </c>
      <c r="AB445" s="56" t="str">
        <f>UPPER(TEXT(Tabela1[[#This Row],[Informe a data]],"mmmm"))</f>
        <v>JUNHO</v>
      </c>
      <c r="AC445" s="87" t="e">
        <f ca="1">_xlfn.CONCAT(Tabela1[[#This Row],[Selecione o Usuário]]," - ",TEXT(Tabela1[[#This Row],[Informe a data]],"dd-mm-aa"))</f>
        <v>#NAME?</v>
      </c>
    </row>
    <row r="446" spans="1:29">
      <c r="A446" s="89">
        <v>46204.390127314815</v>
      </c>
      <c r="B446" s="90" t="s">
        <v>607</v>
      </c>
      <c r="C446" s="90" t="s">
        <v>136</v>
      </c>
      <c r="D446" s="90" t="s">
        <v>177</v>
      </c>
      <c r="E446" s="91">
        <v>46203</v>
      </c>
      <c r="F446" s="92">
        <v>175900</v>
      </c>
      <c r="G446" s="93" t="s">
        <v>1494</v>
      </c>
      <c r="H446" s="92">
        <v>176144</v>
      </c>
      <c r="I446" s="93" t="s">
        <v>1495</v>
      </c>
      <c r="J446" s="90" t="s">
        <v>1496</v>
      </c>
      <c r="K446" s="94"/>
      <c r="L446" s="90" t="s">
        <v>60</v>
      </c>
      <c r="M446" s="94"/>
      <c r="N446" s="94"/>
      <c r="O446" s="94"/>
      <c r="P446" s="94"/>
      <c r="Q446" s="94"/>
      <c r="R446" s="94"/>
      <c r="S446" s="94"/>
      <c r="T446" s="94"/>
      <c r="U446" s="85">
        <f>(Tabela1[[#This Row],[Informe o KM final do dia]]-Tabela1[[#This Row],[Informe o KM inicial do dia]])-Tabela1[[#This Row],[Caso tenha rodado particular alguma parte do trajeto, informe o total de KM a ser deduzido.]]</f>
        <v>244</v>
      </c>
      <c r="V446" s="86">
        <f>IF(Tabela1[[#This Row],[Informe a data]]&lt;DATE(2026,3,16), Tabela1[[#This Row],[KM Rodado]]*1.1, Tabela1[[#This Row],[KM Rodado]]*1.23)</f>
        <v>300.12</v>
      </c>
      <c r="W446" s="86">
        <f>IFERROR(SUBSTITUTE(Tabela1[[#This Row],[Pedágio]],".",",",1)*1,0)</f>
        <v>0</v>
      </c>
      <c r="X446" s="86">
        <f>IFERROR(SUBSTITUTE(Tabela1[[#This Row],[Estacionamento]],".",",",1)*1,0)</f>
        <v>0</v>
      </c>
      <c r="Y446" s="86">
        <f>IFERROR(SUBSTITUTE(Tabela1[[#This Row],[Despesas Diversas 
(Jantar em viagem, Impressões, Etc)]],".",",",1)*1,0)</f>
        <v>0</v>
      </c>
      <c r="Z446" s="86">
        <f>IFERROR(SUBSTITUTE(Tabela1[[#This Row],[Hospedagem]],".",",",1)*1,0)</f>
        <v>0</v>
      </c>
      <c r="AA446" s="56" t="str">
        <f>IF(DAY(Tabela1[[#This Row],[Informe a data]])&lt;=15,"1ª Quinzena","2ª Quinzena")</f>
        <v>2ª Quinzena</v>
      </c>
      <c r="AB446" s="56" t="str">
        <f>UPPER(TEXT(Tabela1[[#This Row],[Informe a data]],"mmmm"))</f>
        <v>JUNHO</v>
      </c>
      <c r="AC446" s="87" t="e">
        <f ca="1">_xlfn.CONCAT(Tabela1[[#This Row],[Selecione o Usuário]]," - ",TEXT(Tabela1[[#This Row],[Informe a data]],"dd-mm-aa"))</f>
        <v>#NAME?</v>
      </c>
    </row>
    <row r="447" spans="1:29">
      <c r="A447" s="89">
        <v>46205.857071759259</v>
      </c>
      <c r="B447" s="90" t="s">
        <v>625</v>
      </c>
      <c r="C447" s="90" t="s">
        <v>626</v>
      </c>
      <c r="D447" s="90" t="s">
        <v>627</v>
      </c>
      <c r="E447" s="91">
        <v>46204</v>
      </c>
      <c r="F447" s="92">
        <v>169220</v>
      </c>
      <c r="G447" s="93" t="s">
        <v>1515</v>
      </c>
      <c r="H447" s="92">
        <v>169404</v>
      </c>
      <c r="I447" s="93" t="s">
        <v>1516</v>
      </c>
      <c r="J447" s="90" t="s">
        <v>1517</v>
      </c>
      <c r="K447" s="94"/>
      <c r="L447" s="90" t="s">
        <v>60</v>
      </c>
      <c r="M447" s="94"/>
      <c r="N447" s="94"/>
      <c r="O447" s="94"/>
      <c r="P447" s="94"/>
      <c r="Q447" s="94"/>
      <c r="R447" s="94"/>
      <c r="S447" s="94"/>
      <c r="T447" s="94"/>
      <c r="U447" s="85">
        <f>(Tabela1[[#This Row],[Informe o KM final do dia]]-Tabela1[[#This Row],[Informe o KM inicial do dia]])-Tabela1[[#This Row],[Caso tenha rodado particular alguma parte do trajeto, informe o total de KM a ser deduzido.]]</f>
        <v>184</v>
      </c>
      <c r="V447" s="86">
        <f>IF(Tabela1[[#This Row],[Informe a data]]&lt;DATE(2026,3,16), Tabela1[[#This Row],[KM Rodado]]*1.1, Tabela1[[#This Row],[KM Rodado]]*1.23)</f>
        <v>226.32</v>
      </c>
      <c r="W447" s="86">
        <f>IFERROR(SUBSTITUTE(Tabela1[[#This Row],[Pedágio]],".",",",1)*1,0)</f>
        <v>0</v>
      </c>
      <c r="X447" s="86">
        <f>IFERROR(SUBSTITUTE(Tabela1[[#This Row],[Estacionamento]],".",",",1)*1,0)</f>
        <v>0</v>
      </c>
      <c r="Y447" s="86">
        <f>IFERROR(SUBSTITUTE(Tabela1[[#This Row],[Despesas Diversas 
(Jantar em viagem, Impressões, Etc)]],".",",",1)*1,0)</f>
        <v>0</v>
      </c>
      <c r="Z447" s="86">
        <f>IFERROR(SUBSTITUTE(Tabela1[[#This Row],[Hospedagem]],".",",",1)*1,0)</f>
        <v>0</v>
      </c>
      <c r="AA447" s="56" t="str">
        <f>IF(DAY(Tabela1[[#This Row],[Informe a data]])&lt;=15,"1ª Quinzena","2ª Quinzena")</f>
        <v>1ª Quinzena</v>
      </c>
      <c r="AB447" s="56" t="str">
        <f>UPPER(TEXT(Tabela1[[#This Row],[Informe a data]],"mmmm"))</f>
        <v>JULHO</v>
      </c>
      <c r="AC447" s="87" t="e">
        <f ca="1">_xlfn.CONCAT(Tabela1[[#This Row],[Selecione o Usuário]]," - ",TEXT(Tabela1[[#This Row],[Informe a data]],"dd-mm-aa"))</f>
        <v>#NAME?</v>
      </c>
    </row>
    <row r="448" spans="1:29">
      <c r="A448" s="49">
        <v>46204.744016203702</v>
      </c>
      <c r="B448" s="50" t="s">
        <v>131</v>
      </c>
      <c r="C448" s="50" t="s">
        <v>132</v>
      </c>
      <c r="D448" s="50" t="s">
        <v>133</v>
      </c>
      <c r="E448" s="51">
        <v>46204</v>
      </c>
      <c r="F448" s="52">
        <v>195070</v>
      </c>
      <c r="G448" s="58" t="s">
        <v>1504</v>
      </c>
      <c r="H448" s="52">
        <v>195130</v>
      </c>
      <c r="I448" s="58" t="s">
        <v>1505</v>
      </c>
      <c r="J448" s="50" t="s">
        <v>1506</v>
      </c>
      <c r="K448" s="53"/>
      <c r="L448" s="50" t="s">
        <v>61</v>
      </c>
      <c r="M448" s="53"/>
      <c r="N448" s="53"/>
      <c r="O448" s="53"/>
      <c r="P448" s="53"/>
      <c r="Q448" s="50" t="s">
        <v>1507</v>
      </c>
      <c r="R448" s="58" t="s">
        <v>1508</v>
      </c>
      <c r="S448" s="53"/>
      <c r="T448" s="53"/>
      <c r="U448" s="85">
        <f>(Tabela1[[#This Row],[Informe o KM final do dia]]-Tabela1[[#This Row],[Informe o KM inicial do dia]])-Tabela1[[#This Row],[Caso tenha rodado particular alguma parte do trajeto, informe o total de KM a ser deduzido.]]</f>
        <v>60</v>
      </c>
      <c r="V448" s="86">
        <f>IF(Tabela1[[#This Row],[Informe a data]]&lt;DATE(2026,3,16), Tabela1[[#This Row],[KM Rodado]]*1.1, Tabela1[[#This Row],[KM Rodado]]*1.23)</f>
        <v>73.8</v>
      </c>
      <c r="W448" s="86">
        <f>IFERROR(SUBSTITUTE(Tabela1[[#This Row],[Pedágio]],".",",",1)*1,0)</f>
        <v>0</v>
      </c>
      <c r="X448" s="86">
        <f>IFERROR(SUBSTITUTE(Tabela1[[#This Row],[Estacionamento]],".",",",1)*1,0)</f>
        <v>0</v>
      </c>
      <c r="Y448" s="86">
        <f>IFERROR(SUBSTITUTE(Tabela1[[#This Row],[Despesas Diversas 
(Jantar em viagem, Impressões, Etc)]],".",",",1)*1,0)</f>
        <v>6</v>
      </c>
      <c r="Z448" s="86">
        <f>IFERROR(SUBSTITUTE(Tabela1[[#This Row],[Hospedagem]],".",",",1)*1,0)</f>
        <v>0</v>
      </c>
      <c r="AA448" s="56" t="str">
        <f>IF(DAY(Tabela1[[#This Row],[Informe a data]])&lt;=15,"1ª Quinzena","2ª Quinzena")</f>
        <v>1ª Quinzena</v>
      </c>
      <c r="AB448" s="56" t="str">
        <f>UPPER(TEXT(Tabela1[[#This Row],[Informe a data]],"mmmm"))</f>
        <v>JULHO</v>
      </c>
      <c r="AC448" s="87" t="e">
        <f ca="1">_xlfn.CONCAT(Tabela1[[#This Row],[Selecione o Usuário]]," - ",TEXT(Tabela1[[#This Row],[Informe a data]],"dd-mm-aa"))</f>
        <v>#NAME?</v>
      </c>
    </row>
    <row r="449" spans="1:29">
      <c r="A449" s="89">
        <v>46204.525509259256</v>
      </c>
      <c r="B449" s="90" t="s">
        <v>1174</v>
      </c>
      <c r="C449" s="90" t="s">
        <v>134</v>
      </c>
      <c r="D449" s="90" t="s">
        <v>209</v>
      </c>
      <c r="E449" s="91">
        <v>46204</v>
      </c>
      <c r="F449" s="92">
        <v>172173</v>
      </c>
      <c r="G449" s="93" t="s">
        <v>1501</v>
      </c>
      <c r="H449" s="92">
        <v>172424</v>
      </c>
      <c r="I449" s="93" t="s">
        <v>1502</v>
      </c>
      <c r="J449" s="90" t="s">
        <v>1503</v>
      </c>
      <c r="K449" s="94"/>
      <c r="L449" s="90" t="s">
        <v>60</v>
      </c>
      <c r="M449" s="94"/>
      <c r="N449" s="94"/>
      <c r="O449" s="94"/>
      <c r="P449" s="94"/>
      <c r="Q449" s="94"/>
      <c r="R449" s="94"/>
      <c r="S449" s="94"/>
      <c r="T449" s="94"/>
      <c r="U449" s="85">
        <f>(Tabela1[[#This Row],[Informe o KM final do dia]]-Tabela1[[#This Row],[Informe o KM inicial do dia]])-Tabela1[[#This Row],[Caso tenha rodado particular alguma parte do trajeto, informe o total de KM a ser deduzido.]]</f>
        <v>251</v>
      </c>
      <c r="V449" s="86">
        <f>IF(Tabela1[[#This Row],[Informe a data]]&lt;DATE(2026,3,16), Tabela1[[#This Row],[KM Rodado]]*1.1, Tabela1[[#This Row],[KM Rodado]]*1.23)</f>
        <v>308.73</v>
      </c>
      <c r="W449" s="86">
        <f>IFERROR(SUBSTITUTE(Tabela1[[#This Row],[Pedágio]],".",",",1)*1,0)</f>
        <v>0</v>
      </c>
      <c r="X449" s="86">
        <f>IFERROR(SUBSTITUTE(Tabela1[[#This Row],[Estacionamento]],".",",",1)*1,0)</f>
        <v>0</v>
      </c>
      <c r="Y449" s="86">
        <f>IFERROR(SUBSTITUTE(Tabela1[[#This Row],[Despesas Diversas 
(Jantar em viagem, Impressões, Etc)]],".",",",1)*1,0)</f>
        <v>0</v>
      </c>
      <c r="Z449" s="86">
        <f>IFERROR(SUBSTITUTE(Tabela1[[#This Row],[Hospedagem]],".",",",1)*1,0)</f>
        <v>0</v>
      </c>
      <c r="AA449" s="56" t="str">
        <f>IF(DAY(Tabela1[[#This Row],[Informe a data]])&lt;=15,"1ª Quinzena","2ª Quinzena")</f>
        <v>1ª Quinzena</v>
      </c>
      <c r="AB449" s="56" t="str">
        <f>UPPER(TEXT(Tabela1[[#This Row],[Informe a data]],"mmmm"))</f>
        <v>JULHO</v>
      </c>
      <c r="AC449" s="87" t="e">
        <f ca="1">_xlfn.CONCAT(Tabela1[[#This Row],[Selecione o Usuário]]," - ",TEXT(Tabela1[[#This Row],[Informe a data]],"dd-mm-aa"))</f>
        <v>#NAME?</v>
      </c>
    </row>
    <row r="450" spans="1:29">
      <c r="A450" s="89">
        <v>46214.496967592589</v>
      </c>
      <c r="B450" s="90" t="s">
        <v>1260</v>
      </c>
      <c r="C450" s="90" t="s">
        <v>505</v>
      </c>
      <c r="D450" s="90" t="s">
        <v>551</v>
      </c>
      <c r="E450" s="91">
        <v>46204</v>
      </c>
      <c r="F450" s="92">
        <v>107245</v>
      </c>
      <c r="G450" s="93" t="s">
        <v>1565</v>
      </c>
      <c r="H450" s="92">
        <v>107295</v>
      </c>
      <c r="I450" s="93" t="s">
        <v>1566</v>
      </c>
      <c r="J450" s="90" t="s">
        <v>1567</v>
      </c>
      <c r="K450" s="94"/>
      <c r="L450" s="90" t="s">
        <v>60</v>
      </c>
      <c r="M450" s="94"/>
      <c r="N450" s="94"/>
      <c r="O450" s="94"/>
      <c r="P450" s="94"/>
      <c r="Q450" s="94"/>
      <c r="R450" s="94"/>
      <c r="S450" s="94"/>
      <c r="T450" s="94"/>
      <c r="U450" s="85">
        <f>(Tabela1[[#This Row],[Informe o KM final do dia]]-Tabela1[[#This Row],[Informe o KM inicial do dia]])-Tabela1[[#This Row],[Caso tenha rodado particular alguma parte do trajeto, informe o total de KM a ser deduzido.]]</f>
        <v>50</v>
      </c>
      <c r="V450" s="86">
        <f>IF(Tabela1[[#This Row],[Informe a data]]&lt;DATE(2026,3,16), Tabela1[[#This Row],[KM Rodado]]*1.1, Tabela1[[#This Row],[KM Rodado]]*1.23)</f>
        <v>61.5</v>
      </c>
      <c r="W450" s="86">
        <f>IFERROR(SUBSTITUTE(Tabela1[[#This Row],[Pedágio]],".",",",1)*1,0)</f>
        <v>0</v>
      </c>
      <c r="X450" s="86">
        <f>IFERROR(SUBSTITUTE(Tabela1[[#This Row],[Estacionamento]],".",",",1)*1,0)</f>
        <v>0</v>
      </c>
      <c r="Y450" s="86">
        <f>IFERROR(SUBSTITUTE(Tabela1[[#This Row],[Despesas Diversas 
(Jantar em viagem, Impressões, Etc)]],".",",",1)*1,0)</f>
        <v>0</v>
      </c>
      <c r="Z450" s="86">
        <f>IFERROR(SUBSTITUTE(Tabela1[[#This Row],[Hospedagem]],".",",",1)*1,0)</f>
        <v>0</v>
      </c>
      <c r="AA450" s="56" t="str">
        <f>IF(DAY(Tabela1[[#This Row],[Informe a data]])&lt;=15,"1ª Quinzena","2ª Quinzena")</f>
        <v>1ª Quinzena</v>
      </c>
      <c r="AB450" s="56" t="str">
        <f>UPPER(TEXT(Tabela1[[#This Row],[Informe a data]],"mmmm"))</f>
        <v>JULHO</v>
      </c>
      <c r="AC450" s="87" t="e">
        <f ca="1">_xlfn.CONCAT(Tabela1[[#This Row],[Selecione o Usuário]]," - ",TEXT(Tabela1[[#This Row],[Informe a data]],"dd-mm-aa"))</f>
        <v>#NAME?</v>
      </c>
    </row>
    <row r="451" spans="1:29">
      <c r="A451" s="49">
        <v>46219.349490740744</v>
      </c>
      <c r="B451" s="50" t="s">
        <v>607</v>
      </c>
      <c r="C451" s="50" t="s">
        <v>136</v>
      </c>
      <c r="D451" s="50" t="s">
        <v>177</v>
      </c>
      <c r="E451" s="51">
        <v>46204</v>
      </c>
      <c r="F451" s="52">
        <v>176201</v>
      </c>
      <c r="G451" s="58" t="s">
        <v>1622</v>
      </c>
      <c r="H451" s="52">
        <v>176525</v>
      </c>
      <c r="I451" s="58" t="s">
        <v>1623</v>
      </c>
      <c r="J451" s="50" t="s">
        <v>1624</v>
      </c>
      <c r="K451" s="53"/>
      <c r="L451" s="50" t="s">
        <v>60</v>
      </c>
      <c r="M451" s="53"/>
      <c r="N451" s="53"/>
      <c r="O451" s="53"/>
      <c r="P451" s="53"/>
      <c r="Q451" s="53"/>
      <c r="R451" s="53"/>
      <c r="S451" s="53"/>
      <c r="T451" s="53"/>
      <c r="U451" s="85">
        <f>(Tabela1[[#This Row],[Informe o KM final do dia]]-Tabela1[[#This Row],[Informe o KM inicial do dia]])-Tabela1[[#This Row],[Caso tenha rodado particular alguma parte do trajeto, informe o total de KM a ser deduzido.]]</f>
        <v>324</v>
      </c>
      <c r="V451" s="86">
        <f>IF(Tabela1[[#This Row],[Informe a data]]&lt;DATE(2026,3,16), Tabela1[[#This Row],[KM Rodado]]*1.1, Tabela1[[#This Row],[KM Rodado]]*1.23)</f>
        <v>398.52</v>
      </c>
      <c r="W451" s="86">
        <f>IFERROR(SUBSTITUTE(Tabela1[[#This Row],[Pedágio]],".",",",1)*1,0)</f>
        <v>0</v>
      </c>
      <c r="X451" s="86">
        <f>IFERROR(SUBSTITUTE(Tabela1[[#This Row],[Estacionamento]],".",",",1)*1,0)</f>
        <v>0</v>
      </c>
      <c r="Y451" s="86">
        <f>IFERROR(SUBSTITUTE(Tabela1[[#This Row],[Despesas Diversas 
(Jantar em viagem, Impressões, Etc)]],".",",",1)*1,0)</f>
        <v>0</v>
      </c>
      <c r="Z451" s="86">
        <f>IFERROR(SUBSTITUTE(Tabela1[[#This Row],[Hospedagem]],".",",",1)*1,0)</f>
        <v>0</v>
      </c>
      <c r="AA451" s="56" t="str">
        <f>IF(DAY(Tabela1[[#This Row],[Informe a data]])&lt;=15,"1ª Quinzena","2ª Quinzena")</f>
        <v>1ª Quinzena</v>
      </c>
      <c r="AB451" s="56" t="str">
        <f>UPPER(TEXT(Tabela1[[#This Row],[Informe a data]],"mmmm"))</f>
        <v>JULHO</v>
      </c>
      <c r="AC451" s="87" t="e">
        <f ca="1">_xlfn.CONCAT(Tabela1[[#This Row],[Selecione o Usuário]]," - ",TEXT(Tabela1[[#This Row],[Informe a data]],"dd-mm-aa"))</f>
        <v>#NAME?</v>
      </c>
    </row>
    <row r="452" spans="1:29">
      <c r="A452" s="49">
        <v>46205.751736111109</v>
      </c>
      <c r="B452" s="50" t="s">
        <v>131</v>
      </c>
      <c r="C452" s="50" t="s">
        <v>132</v>
      </c>
      <c r="D452" s="50" t="s">
        <v>133</v>
      </c>
      <c r="E452" s="51">
        <v>46205</v>
      </c>
      <c r="F452" s="52">
        <v>195130</v>
      </c>
      <c r="G452" s="58" t="s">
        <v>1512</v>
      </c>
      <c r="H452" s="52">
        <v>195147</v>
      </c>
      <c r="I452" s="58" t="s">
        <v>1513</v>
      </c>
      <c r="J452" s="50" t="s">
        <v>1514</v>
      </c>
      <c r="K452" s="53"/>
      <c r="L452" s="50" t="s">
        <v>60</v>
      </c>
      <c r="M452" s="53"/>
      <c r="N452" s="53"/>
      <c r="O452" s="53"/>
      <c r="P452" s="53"/>
      <c r="Q452" s="53"/>
      <c r="R452" s="53"/>
      <c r="S452" s="53"/>
      <c r="T452" s="53"/>
      <c r="U452" s="85">
        <f>(Tabela1[[#This Row],[Informe o KM final do dia]]-Tabela1[[#This Row],[Informe o KM inicial do dia]])-Tabela1[[#This Row],[Caso tenha rodado particular alguma parte do trajeto, informe o total de KM a ser deduzido.]]</f>
        <v>17</v>
      </c>
      <c r="V452" s="86">
        <f>IF(Tabela1[[#This Row],[Informe a data]]&lt;DATE(2026,3,16), Tabela1[[#This Row],[KM Rodado]]*1.1, Tabela1[[#This Row],[KM Rodado]]*1.23)</f>
        <v>20.91</v>
      </c>
      <c r="W452" s="86">
        <f>IFERROR(SUBSTITUTE(Tabela1[[#This Row],[Pedágio]],".",",",1)*1,0)</f>
        <v>0</v>
      </c>
      <c r="X452" s="86">
        <f>IFERROR(SUBSTITUTE(Tabela1[[#This Row],[Estacionamento]],".",",",1)*1,0)</f>
        <v>0</v>
      </c>
      <c r="Y452" s="86">
        <f>IFERROR(SUBSTITUTE(Tabela1[[#This Row],[Despesas Diversas 
(Jantar em viagem, Impressões, Etc)]],".",",",1)*1,0)</f>
        <v>0</v>
      </c>
      <c r="Z452" s="86">
        <f>IFERROR(SUBSTITUTE(Tabela1[[#This Row],[Hospedagem]],".",",",1)*1,0)</f>
        <v>0</v>
      </c>
      <c r="AA452" s="56" t="str">
        <f>IF(DAY(Tabela1[[#This Row],[Informe a data]])&lt;=15,"1ª Quinzena","2ª Quinzena")</f>
        <v>1ª Quinzena</v>
      </c>
      <c r="AB452" s="56" t="str">
        <f>UPPER(TEXT(Tabela1[[#This Row],[Informe a data]],"mmmm"))</f>
        <v>JULHO</v>
      </c>
      <c r="AC452" s="87" t="e">
        <f ca="1">_xlfn.CONCAT(Tabela1[[#This Row],[Selecione o Usuário]]," - ",TEXT(Tabela1[[#This Row],[Informe a data]],"dd-mm-aa"))</f>
        <v>#NAME?</v>
      </c>
    </row>
    <row r="453" spans="1:29">
      <c r="A453" s="89">
        <v>46205.405648148146</v>
      </c>
      <c r="B453" s="90" t="s">
        <v>1174</v>
      </c>
      <c r="C453" s="90" t="s">
        <v>134</v>
      </c>
      <c r="D453" s="90" t="s">
        <v>209</v>
      </c>
      <c r="E453" s="91">
        <v>46205</v>
      </c>
      <c r="F453" s="92">
        <v>172424</v>
      </c>
      <c r="G453" s="93" t="s">
        <v>1509</v>
      </c>
      <c r="H453" s="92">
        <v>172669</v>
      </c>
      <c r="I453" s="93" t="s">
        <v>1510</v>
      </c>
      <c r="J453" s="90" t="s">
        <v>1511</v>
      </c>
      <c r="K453" s="94"/>
      <c r="L453" s="90" t="s">
        <v>60</v>
      </c>
      <c r="M453" s="94"/>
      <c r="N453" s="94"/>
      <c r="O453" s="94"/>
      <c r="P453" s="94"/>
      <c r="Q453" s="94"/>
      <c r="R453" s="94"/>
      <c r="S453" s="94"/>
      <c r="T453" s="94"/>
      <c r="U453" s="85">
        <f>(Tabela1[[#This Row],[Informe o KM final do dia]]-Tabela1[[#This Row],[Informe o KM inicial do dia]])-Tabela1[[#This Row],[Caso tenha rodado particular alguma parte do trajeto, informe o total de KM a ser deduzido.]]</f>
        <v>245</v>
      </c>
      <c r="V453" s="86">
        <f>IF(Tabela1[[#This Row],[Informe a data]]&lt;DATE(2026,3,16), Tabela1[[#This Row],[KM Rodado]]*1.1, Tabela1[[#This Row],[KM Rodado]]*1.23)</f>
        <v>301.35000000000002</v>
      </c>
      <c r="W453" s="86">
        <f>IFERROR(SUBSTITUTE(Tabela1[[#This Row],[Pedágio]],".",",",1)*1,0)</f>
        <v>0</v>
      </c>
      <c r="X453" s="86">
        <f>IFERROR(SUBSTITUTE(Tabela1[[#This Row],[Estacionamento]],".",",",1)*1,0)</f>
        <v>0</v>
      </c>
      <c r="Y453" s="86">
        <f>IFERROR(SUBSTITUTE(Tabela1[[#This Row],[Despesas Diversas 
(Jantar em viagem, Impressões, Etc)]],".",",",1)*1,0)</f>
        <v>0</v>
      </c>
      <c r="Z453" s="86">
        <f>IFERROR(SUBSTITUTE(Tabela1[[#This Row],[Hospedagem]],".",",",1)*1,0)</f>
        <v>0</v>
      </c>
      <c r="AA453" s="56" t="str">
        <f>IF(DAY(Tabela1[[#This Row],[Informe a data]])&lt;=15,"1ª Quinzena","2ª Quinzena")</f>
        <v>1ª Quinzena</v>
      </c>
      <c r="AB453" s="56" t="str">
        <f>UPPER(TEXT(Tabela1[[#This Row],[Informe a data]],"mmmm"))</f>
        <v>JULHO</v>
      </c>
      <c r="AC453" s="87" t="e">
        <f ca="1">_xlfn.CONCAT(Tabela1[[#This Row],[Selecione o Usuário]]," - ",TEXT(Tabela1[[#This Row],[Informe a data]],"dd-mm-aa"))</f>
        <v>#NAME?</v>
      </c>
    </row>
    <row r="454" spans="1:29">
      <c r="A454" s="49">
        <v>46214.500601851854</v>
      </c>
      <c r="B454" s="50" t="s">
        <v>1260</v>
      </c>
      <c r="C454" s="50" t="s">
        <v>505</v>
      </c>
      <c r="D454" s="50" t="s">
        <v>551</v>
      </c>
      <c r="E454" s="51">
        <v>46205</v>
      </c>
      <c r="F454" s="52">
        <v>107295</v>
      </c>
      <c r="G454" s="58" t="s">
        <v>1568</v>
      </c>
      <c r="H454" s="52">
        <v>107450</v>
      </c>
      <c r="I454" s="58" t="s">
        <v>1569</v>
      </c>
      <c r="J454" s="50" t="s">
        <v>1570</v>
      </c>
      <c r="K454" s="53"/>
      <c r="L454" s="50" t="s">
        <v>61</v>
      </c>
      <c r="M454" s="50" t="s">
        <v>128</v>
      </c>
      <c r="N454" s="50" t="s">
        <v>1571</v>
      </c>
      <c r="O454" s="53"/>
      <c r="P454" s="53"/>
      <c r="Q454" s="53"/>
      <c r="R454" s="53"/>
      <c r="S454" s="53"/>
      <c r="T454" s="53"/>
      <c r="U454" s="85">
        <f>(Tabela1[[#This Row],[Informe o KM final do dia]]-Tabela1[[#This Row],[Informe o KM inicial do dia]])-Tabela1[[#This Row],[Caso tenha rodado particular alguma parte do trajeto, informe o total de KM a ser deduzido.]]</f>
        <v>155</v>
      </c>
      <c r="V454" s="86">
        <f>IF(Tabela1[[#This Row],[Informe a data]]&lt;DATE(2026,3,16), Tabela1[[#This Row],[KM Rodado]]*1.1, Tabela1[[#This Row],[KM Rodado]]*1.23)</f>
        <v>190.65</v>
      </c>
      <c r="W454" s="86">
        <f>IFERROR(SUBSTITUTE(Tabela1[[#This Row],[Pedágio]],".",",",1)*1,0)</f>
        <v>11.4</v>
      </c>
      <c r="X454" s="86">
        <f>IFERROR(SUBSTITUTE(Tabela1[[#This Row],[Estacionamento]],".",",",1)*1,0)</f>
        <v>0</v>
      </c>
      <c r="Y454" s="86">
        <f>IFERROR(SUBSTITUTE(Tabela1[[#This Row],[Despesas Diversas 
(Jantar em viagem, Impressões, Etc)]],".",",",1)*1,0)</f>
        <v>0</v>
      </c>
      <c r="Z454" s="86">
        <f>IFERROR(SUBSTITUTE(Tabela1[[#This Row],[Hospedagem]],".",",",1)*1,0)</f>
        <v>0</v>
      </c>
      <c r="AA454" s="56" t="str">
        <f>IF(DAY(Tabela1[[#This Row],[Informe a data]])&lt;=15,"1ª Quinzena","2ª Quinzena")</f>
        <v>1ª Quinzena</v>
      </c>
      <c r="AB454" s="56" t="str">
        <f>UPPER(TEXT(Tabela1[[#This Row],[Informe a data]],"mmmm"))</f>
        <v>JULHO</v>
      </c>
      <c r="AC454" s="87" t="e">
        <f ca="1">_xlfn.CONCAT(Tabela1[[#This Row],[Selecione o Usuário]]," - ",TEXT(Tabela1[[#This Row],[Informe a data]],"dd-mm-aa"))</f>
        <v>#NAME?</v>
      </c>
    </row>
    <row r="455" spans="1:29">
      <c r="A455" s="49">
        <v>46206.443009259259</v>
      </c>
      <c r="B455" s="50" t="s">
        <v>300</v>
      </c>
      <c r="C455" s="50" t="s">
        <v>250</v>
      </c>
      <c r="D455" s="50" t="s">
        <v>228</v>
      </c>
      <c r="E455" s="51">
        <v>46205</v>
      </c>
      <c r="F455" s="52">
        <v>133723</v>
      </c>
      <c r="G455" s="58" t="s">
        <v>1518</v>
      </c>
      <c r="H455" s="52">
        <v>133869</v>
      </c>
      <c r="I455" s="58" t="s">
        <v>1519</v>
      </c>
      <c r="J455" s="50" t="s">
        <v>1520</v>
      </c>
      <c r="K455" s="53"/>
      <c r="L455" s="50" t="s">
        <v>60</v>
      </c>
      <c r="M455" s="53"/>
      <c r="N455" s="53"/>
      <c r="O455" s="53"/>
      <c r="P455" s="53"/>
      <c r="Q455" s="53"/>
      <c r="R455" s="53"/>
      <c r="S455" s="53"/>
      <c r="T455" s="53"/>
      <c r="U455" s="85">
        <f>(Tabela1[[#This Row],[Informe o KM final do dia]]-Tabela1[[#This Row],[Informe o KM inicial do dia]])-Tabela1[[#This Row],[Caso tenha rodado particular alguma parte do trajeto, informe o total de KM a ser deduzido.]]</f>
        <v>146</v>
      </c>
      <c r="V455" s="86">
        <f>IF(Tabela1[[#This Row],[Informe a data]]&lt;DATE(2026,3,16), Tabela1[[#This Row],[KM Rodado]]*1.1, Tabela1[[#This Row],[KM Rodado]]*1.23)</f>
        <v>179.57999999999998</v>
      </c>
      <c r="W455" s="86">
        <f>IFERROR(SUBSTITUTE(Tabela1[[#This Row],[Pedágio]],".",",",1)*1,0)</f>
        <v>0</v>
      </c>
      <c r="X455" s="86">
        <f>IFERROR(SUBSTITUTE(Tabela1[[#This Row],[Estacionamento]],".",",",1)*1,0)</f>
        <v>0</v>
      </c>
      <c r="Y455" s="86">
        <f>IFERROR(SUBSTITUTE(Tabela1[[#This Row],[Despesas Diversas 
(Jantar em viagem, Impressões, Etc)]],".",",",1)*1,0)</f>
        <v>0</v>
      </c>
      <c r="Z455" s="86">
        <f>IFERROR(SUBSTITUTE(Tabela1[[#This Row],[Hospedagem]],".",",",1)*1,0)</f>
        <v>0</v>
      </c>
      <c r="AA455" s="56" t="str">
        <f>IF(DAY(Tabela1[[#This Row],[Informe a data]])&lt;=15,"1ª Quinzena","2ª Quinzena")</f>
        <v>1ª Quinzena</v>
      </c>
      <c r="AB455" s="56" t="str">
        <f>UPPER(TEXT(Tabela1[[#This Row],[Informe a data]],"mmmm"))</f>
        <v>JULHO</v>
      </c>
      <c r="AC455" s="87" t="e">
        <f ca="1">_xlfn.CONCAT(Tabela1[[#This Row],[Selecione o Usuário]]," - ",TEXT(Tabela1[[#This Row],[Informe a data]],"dd-mm-aa"))</f>
        <v>#NAME?</v>
      </c>
    </row>
    <row r="456" spans="1:29">
      <c r="A456" s="49">
        <v>46206.784583333334</v>
      </c>
      <c r="B456" s="50" t="s">
        <v>131</v>
      </c>
      <c r="C456" s="50" t="s">
        <v>132</v>
      </c>
      <c r="D456" s="50" t="s">
        <v>133</v>
      </c>
      <c r="E456" s="51">
        <v>46206</v>
      </c>
      <c r="F456" s="52">
        <v>195147</v>
      </c>
      <c r="G456" s="58" t="s">
        <v>1523</v>
      </c>
      <c r="H456" s="52">
        <v>195555</v>
      </c>
      <c r="I456" s="58" t="s">
        <v>1524</v>
      </c>
      <c r="J456" s="50" t="s">
        <v>1525</v>
      </c>
      <c r="K456" s="53"/>
      <c r="L456" s="50" t="s">
        <v>61</v>
      </c>
      <c r="M456" s="50" t="s">
        <v>1192</v>
      </c>
      <c r="N456" s="58" t="s">
        <v>1526</v>
      </c>
      <c r="O456" s="53"/>
      <c r="P456" s="53"/>
      <c r="Q456" s="53"/>
      <c r="R456" s="53"/>
      <c r="S456" s="53"/>
      <c r="T456" s="53"/>
      <c r="U456" s="85">
        <f>(Tabela1[[#This Row],[Informe o KM final do dia]]-Tabela1[[#This Row],[Informe o KM inicial do dia]])-Tabela1[[#This Row],[Caso tenha rodado particular alguma parte do trajeto, informe o total de KM a ser deduzido.]]</f>
        <v>408</v>
      </c>
      <c r="V456" s="86">
        <f>IF(Tabela1[[#This Row],[Informe a data]]&lt;DATE(2026,3,16), Tabela1[[#This Row],[KM Rodado]]*1.1, Tabela1[[#This Row],[KM Rodado]]*1.23)</f>
        <v>501.84</v>
      </c>
      <c r="W456" s="86">
        <f>IFERROR(SUBSTITUTE(Tabela1[[#This Row],[Pedágio]],".",",",1)*1,0)</f>
        <v>23.4</v>
      </c>
      <c r="X456" s="86">
        <f>IFERROR(SUBSTITUTE(Tabela1[[#This Row],[Estacionamento]],".",",",1)*1,0)</f>
        <v>0</v>
      </c>
      <c r="Y456" s="86">
        <f>IFERROR(SUBSTITUTE(Tabela1[[#This Row],[Despesas Diversas 
(Jantar em viagem, Impressões, Etc)]],".",",",1)*1,0)</f>
        <v>0</v>
      </c>
      <c r="Z456" s="86">
        <f>IFERROR(SUBSTITUTE(Tabela1[[#This Row],[Hospedagem]],".",",",1)*1,0)</f>
        <v>0</v>
      </c>
      <c r="AA456" s="56" t="str">
        <f>IF(DAY(Tabela1[[#This Row],[Informe a data]])&lt;=15,"1ª Quinzena","2ª Quinzena")</f>
        <v>1ª Quinzena</v>
      </c>
      <c r="AB456" s="56" t="str">
        <f>UPPER(TEXT(Tabela1[[#This Row],[Informe a data]],"mmmm"))</f>
        <v>JULHO</v>
      </c>
      <c r="AC456" s="87" t="e">
        <f ca="1">_xlfn.CONCAT(Tabela1[[#This Row],[Selecione o Usuário]]," - ",TEXT(Tabela1[[#This Row],[Informe a data]],"dd-mm-aa"))</f>
        <v>#NAME?</v>
      </c>
    </row>
    <row r="457" spans="1:29">
      <c r="A457" s="49">
        <v>46209.634479166663</v>
      </c>
      <c r="B457" s="50" t="s">
        <v>497</v>
      </c>
      <c r="C457" s="50" t="s">
        <v>498</v>
      </c>
      <c r="D457" s="50" t="s">
        <v>1530</v>
      </c>
      <c r="E457" s="51">
        <v>46206</v>
      </c>
      <c r="F457" s="52">
        <v>55141</v>
      </c>
      <c r="G457" s="58" t="s">
        <v>1531</v>
      </c>
      <c r="H457" s="52">
        <v>55163</v>
      </c>
      <c r="I457" s="58" t="s">
        <v>1532</v>
      </c>
      <c r="J457" s="50" t="s">
        <v>1533</v>
      </c>
      <c r="K457" s="53"/>
      <c r="L457" s="50" t="s">
        <v>60</v>
      </c>
      <c r="M457" s="53"/>
      <c r="N457" s="53"/>
      <c r="O457" s="53"/>
      <c r="P457" s="53"/>
      <c r="Q457" s="53"/>
      <c r="R457" s="53"/>
      <c r="S457" s="53"/>
      <c r="T457" s="53"/>
      <c r="U457" s="85">
        <f>(Tabela1[[#This Row],[Informe o KM final do dia]]-Tabela1[[#This Row],[Informe o KM inicial do dia]])-Tabela1[[#This Row],[Caso tenha rodado particular alguma parte do trajeto, informe o total de KM a ser deduzido.]]</f>
        <v>22</v>
      </c>
      <c r="V457" s="86">
        <f>IF(Tabela1[[#This Row],[Informe a data]]&lt;DATE(2026,3,16), Tabela1[[#This Row],[KM Rodado]]*1.1, Tabela1[[#This Row],[KM Rodado]]*1.23)</f>
        <v>27.06</v>
      </c>
      <c r="W457" s="86">
        <f>IFERROR(SUBSTITUTE(Tabela1[[#This Row],[Pedágio]],".",",",1)*1,0)</f>
        <v>0</v>
      </c>
      <c r="X457" s="86">
        <f>IFERROR(SUBSTITUTE(Tabela1[[#This Row],[Estacionamento]],".",",",1)*1,0)</f>
        <v>0</v>
      </c>
      <c r="Y457" s="86">
        <f>IFERROR(SUBSTITUTE(Tabela1[[#This Row],[Despesas Diversas 
(Jantar em viagem, Impressões, Etc)]],".",",",1)*1,0)</f>
        <v>0</v>
      </c>
      <c r="Z457" s="86">
        <f>IFERROR(SUBSTITUTE(Tabela1[[#This Row],[Hospedagem]],".",",",1)*1,0)</f>
        <v>0</v>
      </c>
      <c r="AA457" s="56" t="str">
        <f>IF(DAY(Tabela1[[#This Row],[Informe a data]])&lt;=15,"1ª Quinzena","2ª Quinzena")</f>
        <v>1ª Quinzena</v>
      </c>
      <c r="AB457" s="56" t="str">
        <f>UPPER(TEXT(Tabela1[[#This Row],[Informe a data]],"mmmm"))</f>
        <v>JULHO</v>
      </c>
      <c r="AC457" s="87" t="e">
        <f ca="1">_xlfn.CONCAT(Tabela1[[#This Row],[Selecione o Usuário]]," - ",TEXT(Tabela1[[#This Row],[Informe a data]],"dd-mm-aa"))</f>
        <v>#NAME?</v>
      </c>
    </row>
    <row r="458" spans="1:29">
      <c r="A458" s="49">
        <v>46220.819108796299</v>
      </c>
      <c r="B458" s="50" t="s">
        <v>1634</v>
      </c>
      <c r="C458" s="50" t="s">
        <v>1635</v>
      </c>
      <c r="D458" s="50" t="s">
        <v>1636</v>
      </c>
      <c r="E458" s="51">
        <v>46206</v>
      </c>
      <c r="F458" s="52">
        <v>133478</v>
      </c>
      <c r="G458" s="58" t="s">
        <v>1637</v>
      </c>
      <c r="H458" s="52">
        <v>133653</v>
      </c>
      <c r="I458" s="58" t="s">
        <v>1638</v>
      </c>
      <c r="J458" s="50" t="s">
        <v>1639</v>
      </c>
      <c r="K458" s="53"/>
      <c r="L458" s="50" t="s">
        <v>60</v>
      </c>
      <c r="M458" s="53"/>
      <c r="N458" s="53"/>
      <c r="O458" s="53"/>
      <c r="P458" s="53"/>
      <c r="Q458" s="53"/>
      <c r="R458" s="53"/>
      <c r="S458" s="53"/>
      <c r="T458" s="53"/>
      <c r="U458" s="85">
        <f>(Tabela1[[#This Row],[Informe o KM final do dia]]-Tabela1[[#This Row],[Informe o KM inicial do dia]])-Tabela1[[#This Row],[Caso tenha rodado particular alguma parte do trajeto, informe o total de KM a ser deduzido.]]</f>
        <v>175</v>
      </c>
      <c r="V458" s="86">
        <f>IF(Tabela1[[#This Row],[Informe a data]]&lt;DATE(2026,3,16), Tabela1[[#This Row],[KM Rodado]]*1.1, Tabela1[[#This Row],[KM Rodado]]*1.23)</f>
        <v>215.25</v>
      </c>
      <c r="W458" s="86">
        <f>IFERROR(SUBSTITUTE(Tabela1[[#This Row],[Pedágio]],".",",",1)*1,0)</f>
        <v>0</v>
      </c>
      <c r="X458" s="86">
        <f>IFERROR(SUBSTITUTE(Tabela1[[#This Row],[Estacionamento]],".",",",1)*1,0)</f>
        <v>0</v>
      </c>
      <c r="Y458" s="86">
        <f>IFERROR(SUBSTITUTE(Tabela1[[#This Row],[Despesas Diversas 
(Jantar em viagem, Impressões, Etc)]],".",",",1)*1,0)</f>
        <v>0</v>
      </c>
      <c r="Z458" s="86">
        <f>IFERROR(SUBSTITUTE(Tabela1[[#This Row],[Hospedagem]],".",",",1)*1,0)</f>
        <v>0</v>
      </c>
      <c r="AA458" s="56" t="str">
        <f>IF(DAY(Tabela1[[#This Row],[Informe a data]])&lt;=15,"1ª Quinzena","2ª Quinzena")</f>
        <v>1ª Quinzena</v>
      </c>
      <c r="AB458" s="56" t="str">
        <f>UPPER(TEXT(Tabela1[[#This Row],[Informe a data]],"mmmm"))</f>
        <v>JULHO</v>
      </c>
      <c r="AC458" s="87" t="e">
        <f ca="1">_xlfn.CONCAT(Tabela1[[#This Row],[Selecione o Usuário]]," - ",TEXT(Tabela1[[#This Row],[Informe a data]],"dd-mm-aa"))</f>
        <v>#NAME?</v>
      </c>
    </row>
    <row r="459" spans="1:29">
      <c r="A459" s="89">
        <v>46206.692071759258</v>
      </c>
      <c r="B459" s="90" t="s">
        <v>1174</v>
      </c>
      <c r="C459" s="90" t="s">
        <v>134</v>
      </c>
      <c r="D459" s="90" t="s">
        <v>209</v>
      </c>
      <c r="E459" s="91">
        <v>46206</v>
      </c>
      <c r="F459" s="92">
        <v>172744</v>
      </c>
      <c r="G459" s="93" t="s">
        <v>1521</v>
      </c>
      <c r="H459" s="92">
        <v>172944</v>
      </c>
      <c r="I459" s="94"/>
      <c r="J459" s="90" t="s">
        <v>1522</v>
      </c>
      <c r="K459" s="94"/>
      <c r="L459" s="90" t="s">
        <v>60</v>
      </c>
      <c r="M459" s="94"/>
      <c r="N459" s="94"/>
      <c r="O459" s="94"/>
      <c r="P459" s="94"/>
      <c r="Q459" s="94"/>
      <c r="R459" s="94"/>
      <c r="S459" s="94"/>
      <c r="T459" s="94"/>
      <c r="U459" s="85">
        <f>(Tabela1[[#This Row],[Informe o KM final do dia]]-Tabela1[[#This Row],[Informe o KM inicial do dia]])-Tabela1[[#This Row],[Caso tenha rodado particular alguma parte do trajeto, informe o total de KM a ser deduzido.]]</f>
        <v>200</v>
      </c>
      <c r="V459" s="86">
        <f>IF(Tabela1[[#This Row],[Informe a data]]&lt;DATE(2026,3,16), Tabela1[[#This Row],[KM Rodado]]*1.1, Tabela1[[#This Row],[KM Rodado]]*1.23)</f>
        <v>246</v>
      </c>
      <c r="W459" s="86">
        <f>IFERROR(SUBSTITUTE(Tabela1[[#This Row],[Pedágio]],".",",",1)*1,0)</f>
        <v>0</v>
      </c>
      <c r="X459" s="86">
        <f>IFERROR(SUBSTITUTE(Tabela1[[#This Row],[Estacionamento]],".",",",1)*1,0)</f>
        <v>0</v>
      </c>
      <c r="Y459" s="86">
        <f>IFERROR(SUBSTITUTE(Tabela1[[#This Row],[Despesas Diversas 
(Jantar em viagem, Impressões, Etc)]],".",",",1)*1,0)</f>
        <v>0</v>
      </c>
      <c r="Z459" s="86">
        <f>IFERROR(SUBSTITUTE(Tabela1[[#This Row],[Hospedagem]],".",",",1)*1,0)</f>
        <v>0</v>
      </c>
      <c r="AA459" s="56" t="str">
        <f>IF(DAY(Tabela1[[#This Row],[Informe a data]])&lt;=15,"1ª Quinzena","2ª Quinzena")</f>
        <v>1ª Quinzena</v>
      </c>
      <c r="AB459" s="56" t="str">
        <f>UPPER(TEXT(Tabela1[[#This Row],[Informe a data]],"mmmm"))</f>
        <v>JULHO</v>
      </c>
      <c r="AC459" s="87" t="e">
        <f ca="1">_xlfn.CONCAT(Tabela1[[#This Row],[Selecione o Usuário]]," - ",TEXT(Tabela1[[#This Row],[Informe a data]],"dd-mm-aa"))</f>
        <v>#NAME?</v>
      </c>
    </row>
    <row r="460" spans="1:29">
      <c r="A460" s="89">
        <v>46214.503611111111</v>
      </c>
      <c r="B460" s="90" t="s">
        <v>1260</v>
      </c>
      <c r="C460" s="90" t="s">
        <v>505</v>
      </c>
      <c r="D460" s="90" t="s">
        <v>551</v>
      </c>
      <c r="E460" s="91">
        <v>46206</v>
      </c>
      <c r="F460" s="92">
        <v>107450</v>
      </c>
      <c r="G460" s="93" t="s">
        <v>1572</v>
      </c>
      <c r="H460" s="92">
        <v>107528</v>
      </c>
      <c r="I460" s="93" t="s">
        <v>1573</v>
      </c>
      <c r="J460" s="90" t="s">
        <v>1574</v>
      </c>
      <c r="K460" s="94"/>
      <c r="L460" s="90" t="s">
        <v>60</v>
      </c>
      <c r="M460" s="94"/>
      <c r="N460" s="94"/>
      <c r="O460" s="94"/>
      <c r="P460" s="94"/>
      <c r="Q460" s="94"/>
      <c r="R460" s="94"/>
      <c r="S460" s="94"/>
      <c r="T460" s="94"/>
      <c r="U460" s="85">
        <f>(Tabela1[[#This Row],[Informe o KM final do dia]]-Tabela1[[#This Row],[Informe o KM inicial do dia]])-Tabela1[[#This Row],[Caso tenha rodado particular alguma parte do trajeto, informe o total de KM a ser deduzido.]]</f>
        <v>78</v>
      </c>
      <c r="V460" s="86">
        <f>IF(Tabela1[[#This Row],[Informe a data]]&lt;DATE(2026,3,16), Tabela1[[#This Row],[KM Rodado]]*1.1, Tabela1[[#This Row],[KM Rodado]]*1.23)</f>
        <v>95.94</v>
      </c>
      <c r="W460" s="86">
        <f>IFERROR(SUBSTITUTE(Tabela1[[#This Row],[Pedágio]],".",",",1)*1,0)</f>
        <v>0</v>
      </c>
      <c r="X460" s="86">
        <f>IFERROR(SUBSTITUTE(Tabela1[[#This Row],[Estacionamento]],".",",",1)*1,0)</f>
        <v>0</v>
      </c>
      <c r="Y460" s="86">
        <f>IFERROR(SUBSTITUTE(Tabela1[[#This Row],[Despesas Diversas 
(Jantar em viagem, Impressões, Etc)]],".",",",1)*1,0)</f>
        <v>0</v>
      </c>
      <c r="Z460" s="86">
        <f>IFERROR(SUBSTITUTE(Tabela1[[#This Row],[Hospedagem]],".",",",1)*1,0)</f>
        <v>0</v>
      </c>
      <c r="AA460" s="56" t="str">
        <f>IF(DAY(Tabela1[[#This Row],[Informe a data]])&lt;=15,"1ª Quinzena","2ª Quinzena")</f>
        <v>1ª Quinzena</v>
      </c>
      <c r="AB460" s="56" t="str">
        <f>UPPER(TEXT(Tabela1[[#This Row],[Informe a data]],"mmmm"))</f>
        <v>JULHO</v>
      </c>
      <c r="AC460" s="87" t="e">
        <f ca="1">_xlfn.CONCAT(Tabela1[[#This Row],[Selecione o Usuário]]," - ",TEXT(Tabela1[[#This Row],[Informe a data]],"dd-mm-aa"))</f>
        <v>#NAME?</v>
      </c>
    </row>
    <row r="461" spans="1:29">
      <c r="A461" s="89">
        <v>46214.403310185182</v>
      </c>
      <c r="B461" s="90" t="s">
        <v>300</v>
      </c>
      <c r="C461" s="90" t="s">
        <v>250</v>
      </c>
      <c r="D461" s="90" t="s">
        <v>228</v>
      </c>
      <c r="E461" s="91">
        <v>46206</v>
      </c>
      <c r="F461" s="92">
        <v>133869</v>
      </c>
      <c r="G461" s="93" t="s">
        <v>1559</v>
      </c>
      <c r="H461" s="92">
        <v>133996</v>
      </c>
      <c r="I461" s="93" t="s">
        <v>1560</v>
      </c>
      <c r="J461" s="90" t="s">
        <v>1561</v>
      </c>
      <c r="K461" s="94"/>
      <c r="L461" s="90" t="s">
        <v>60</v>
      </c>
      <c r="M461" s="94"/>
      <c r="N461" s="94"/>
      <c r="O461" s="94"/>
      <c r="P461" s="94"/>
      <c r="Q461" s="94"/>
      <c r="R461" s="94"/>
      <c r="S461" s="94"/>
      <c r="T461" s="94"/>
      <c r="U461" s="85">
        <f>(Tabela1[[#This Row],[Informe o KM final do dia]]-Tabela1[[#This Row],[Informe o KM inicial do dia]])-Tabela1[[#This Row],[Caso tenha rodado particular alguma parte do trajeto, informe o total de KM a ser deduzido.]]</f>
        <v>127</v>
      </c>
      <c r="V461" s="86">
        <f>IF(Tabela1[[#This Row],[Informe a data]]&lt;DATE(2026,3,16), Tabela1[[#This Row],[KM Rodado]]*1.1, Tabela1[[#This Row],[KM Rodado]]*1.23)</f>
        <v>156.21</v>
      </c>
      <c r="W461" s="86">
        <f>IFERROR(SUBSTITUTE(Tabela1[[#This Row],[Pedágio]],".",",",1)*1,0)</f>
        <v>0</v>
      </c>
      <c r="X461" s="86">
        <f>IFERROR(SUBSTITUTE(Tabela1[[#This Row],[Estacionamento]],".",",",1)*1,0)</f>
        <v>0</v>
      </c>
      <c r="Y461" s="86">
        <f>IFERROR(SUBSTITUTE(Tabela1[[#This Row],[Despesas Diversas 
(Jantar em viagem, Impressões, Etc)]],".",",",1)*1,0)</f>
        <v>0</v>
      </c>
      <c r="Z461" s="86">
        <f>IFERROR(SUBSTITUTE(Tabela1[[#This Row],[Hospedagem]],".",",",1)*1,0)</f>
        <v>0</v>
      </c>
      <c r="AA461" s="56" t="str">
        <f>IF(DAY(Tabela1[[#This Row],[Informe a data]])&lt;=15,"1ª Quinzena","2ª Quinzena")</f>
        <v>1ª Quinzena</v>
      </c>
      <c r="AB461" s="56" t="str">
        <f>UPPER(TEXT(Tabela1[[#This Row],[Informe a data]],"mmmm"))</f>
        <v>JULHO</v>
      </c>
      <c r="AC461" s="87" t="e">
        <f ca="1">_xlfn.CONCAT(Tabela1[[#This Row],[Selecione o Usuário]]," - ",TEXT(Tabela1[[#This Row],[Informe a data]],"dd-mm-aa"))</f>
        <v>#NAME?</v>
      </c>
    </row>
    <row r="462" spans="1:29">
      <c r="A462" s="89">
        <v>46219.350960648146</v>
      </c>
      <c r="B462" s="90" t="s">
        <v>607</v>
      </c>
      <c r="C462" s="90" t="s">
        <v>136</v>
      </c>
      <c r="D462" s="90" t="s">
        <v>177</v>
      </c>
      <c r="E462" s="91">
        <v>46206</v>
      </c>
      <c r="F462" s="92">
        <v>176550</v>
      </c>
      <c r="G462" s="93" t="s">
        <v>1625</v>
      </c>
      <c r="H462" s="92">
        <v>176648</v>
      </c>
      <c r="I462" s="93" t="s">
        <v>1626</v>
      </c>
      <c r="J462" s="90" t="s">
        <v>1627</v>
      </c>
      <c r="K462" s="94"/>
      <c r="L462" s="90" t="s">
        <v>60</v>
      </c>
      <c r="M462" s="94"/>
      <c r="N462" s="94"/>
      <c r="O462" s="94"/>
      <c r="P462" s="94"/>
      <c r="Q462" s="94"/>
      <c r="R462" s="94"/>
      <c r="S462" s="94"/>
      <c r="T462" s="94"/>
      <c r="U462" s="85">
        <f>(Tabela1[[#This Row],[Informe o KM final do dia]]-Tabela1[[#This Row],[Informe o KM inicial do dia]])-Tabela1[[#This Row],[Caso tenha rodado particular alguma parte do trajeto, informe o total de KM a ser deduzido.]]</f>
        <v>98</v>
      </c>
      <c r="V462" s="86">
        <f>IF(Tabela1[[#This Row],[Informe a data]]&lt;DATE(2026,3,16), Tabela1[[#This Row],[KM Rodado]]*1.1, Tabela1[[#This Row],[KM Rodado]]*1.23)</f>
        <v>120.53999999999999</v>
      </c>
      <c r="W462" s="86">
        <f>IFERROR(SUBSTITUTE(Tabela1[[#This Row],[Pedágio]],".",",",1)*1,0)</f>
        <v>0</v>
      </c>
      <c r="X462" s="86">
        <f>IFERROR(SUBSTITUTE(Tabela1[[#This Row],[Estacionamento]],".",",",1)*1,0)</f>
        <v>0</v>
      </c>
      <c r="Y462" s="86">
        <f>IFERROR(SUBSTITUTE(Tabela1[[#This Row],[Despesas Diversas 
(Jantar em viagem, Impressões, Etc)]],".",",",1)*1,0)</f>
        <v>0</v>
      </c>
      <c r="Z462" s="86">
        <f>IFERROR(SUBSTITUTE(Tabela1[[#This Row],[Hospedagem]],".",",",1)*1,0)</f>
        <v>0</v>
      </c>
      <c r="AA462" s="56" t="str">
        <f>IF(DAY(Tabela1[[#This Row],[Informe a data]])&lt;=15,"1ª Quinzena","2ª Quinzena")</f>
        <v>1ª Quinzena</v>
      </c>
      <c r="AB462" s="56" t="str">
        <f>UPPER(TEXT(Tabela1[[#This Row],[Informe a data]],"mmmm"))</f>
        <v>JULHO</v>
      </c>
      <c r="AC462" s="87" t="e">
        <f ca="1">_xlfn.CONCAT(Tabela1[[#This Row],[Selecione o Usuário]]," - ",TEXT(Tabela1[[#This Row],[Informe a data]],"dd-mm-aa"))</f>
        <v>#NAME?</v>
      </c>
    </row>
    <row r="463" spans="1:29">
      <c r="A463" s="89">
        <v>46208.481469907405</v>
      </c>
      <c r="B463" s="90" t="s">
        <v>131</v>
      </c>
      <c r="C463" s="90" t="s">
        <v>132</v>
      </c>
      <c r="D463" s="90" t="s">
        <v>133</v>
      </c>
      <c r="E463" s="91">
        <v>46207</v>
      </c>
      <c r="F463" s="92">
        <v>195555</v>
      </c>
      <c r="G463" s="93" t="s">
        <v>1527</v>
      </c>
      <c r="H463" s="92">
        <v>195609</v>
      </c>
      <c r="I463" s="93" t="s">
        <v>1528</v>
      </c>
      <c r="J463" s="90" t="s">
        <v>1529</v>
      </c>
      <c r="K463" s="94"/>
      <c r="L463" s="90" t="s">
        <v>60</v>
      </c>
      <c r="M463" s="94"/>
      <c r="N463" s="94"/>
      <c r="O463" s="94"/>
      <c r="P463" s="94"/>
      <c r="Q463" s="94"/>
      <c r="R463" s="94"/>
      <c r="S463" s="94"/>
      <c r="T463" s="94"/>
      <c r="U463" s="85">
        <f>(Tabela1[[#This Row],[Informe o KM final do dia]]-Tabela1[[#This Row],[Informe o KM inicial do dia]])-Tabela1[[#This Row],[Caso tenha rodado particular alguma parte do trajeto, informe o total de KM a ser deduzido.]]</f>
        <v>54</v>
      </c>
      <c r="V463" s="86">
        <f>IF(Tabela1[[#This Row],[Informe a data]]&lt;DATE(2026,3,16), Tabela1[[#This Row],[KM Rodado]]*1.1, Tabela1[[#This Row],[KM Rodado]]*1.23)</f>
        <v>66.42</v>
      </c>
      <c r="W463" s="86">
        <f>IFERROR(SUBSTITUTE(Tabela1[[#This Row],[Pedágio]],".",",",1)*1,0)</f>
        <v>0</v>
      </c>
      <c r="X463" s="86">
        <f>IFERROR(SUBSTITUTE(Tabela1[[#This Row],[Estacionamento]],".",",",1)*1,0)</f>
        <v>0</v>
      </c>
      <c r="Y463" s="86">
        <f>IFERROR(SUBSTITUTE(Tabela1[[#This Row],[Despesas Diversas 
(Jantar em viagem, Impressões, Etc)]],".",",",1)*1,0)</f>
        <v>0</v>
      </c>
      <c r="Z463" s="86">
        <f>IFERROR(SUBSTITUTE(Tabela1[[#This Row],[Hospedagem]],".",",",1)*1,0)</f>
        <v>0</v>
      </c>
      <c r="AA463" s="56" t="str">
        <f>IF(DAY(Tabela1[[#This Row],[Informe a data]])&lt;=15,"1ª Quinzena","2ª Quinzena")</f>
        <v>1ª Quinzena</v>
      </c>
      <c r="AB463" s="56" t="str">
        <f>UPPER(TEXT(Tabela1[[#This Row],[Informe a data]],"mmmm"))</f>
        <v>JULHO</v>
      </c>
      <c r="AC463" s="87" t="e">
        <f ca="1">_xlfn.CONCAT(Tabela1[[#This Row],[Selecione o Usuário]]," - ",TEXT(Tabela1[[#This Row],[Informe a data]],"dd-mm-aa"))</f>
        <v>#NAME?</v>
      </c>
    </row>
    <row r="464" spans="1:29">
      <c r="A464" s="89">
        <v>46209.703541666669</v>
      </c>
      <c r="B464" s="90" t="s">
        <v>131</v>
      </c>
      <c r="C464" s="90" t="s">
        <v>132</v>
      </c>
      <c r="D464" s="90" t="s">
        <v>133</v>
      </c>
      <c r="E464" s="91">
        <v>46209</v>
      </c>
      <c r="F464" s="92">
        <v>165620</v>
      </c>
      <c r="G464" s="93" t="s">
        <v>1534</v>
      </c>
      <c r="H464" s="92">
        <v>165644</v>
      </c>
      <c r="I464" s="93" t="s">
        <v>1535</v>
      </c>
      <c r="J464" s="90" t="s">
        <v>1536</v>
      </c>
      <c r="K464" s="94"/>
      <c r="L464" s="90" t="s">
        <v>61</v>
      </c>
      <c r="M464" s="94"/>
      <c r="N464" s="94"/>
      <c r="O464" s="94"/>
      <c r="P464" s="94"/>
      <c r="Q464" s="90" t="s">
        <v>1537</v>
      </c>
      <c r="R464" s="93" t="s">
        <v>1538</v>
      </c>
      <c r="S464" s="94"/>
      <c r="T464" s="94"/>
      <c r="U464" s="85">
        <f>(Tabela1[[#This Row],[Informe o KM final do dia]]-Tabela1[[#This Row],[Informe o KM inicial do dia]])-Tabela1[[#This Row],[Caso tenha rodado particular alguma parte do trajeto, informe o total de KM a ser deduzido.]]</f>
        <v>24</v>
      </c>
      <c r="V464" s="86">
        <f>IF(Tabela1[[#This Row],[Informe a data]]&lt;DATE(2026,3,16), Tabela1[[#This Row],[KM Rodado]]*1.1, Tabela1[[#This Row],[KM Rodado]]*1.23)</f>
        <v>29.52</v>
      </c>
      <c r="W464" s="86">
        <f>IFERROR(SUBSTITUTE(Tabela1[[#This Row],[Pedágio]],".",",",1)*1,0)</f>
        <v>0</v>
      </c>
      <c r="X464" s="86">
        <f>IFERROR(SUBSTITUTE(Tabela1[[#This Row],[Estacionamento]],".",",",1)*1,0)</f>
        <v>0</v>
      </c>
      <c r="Y464" s="86">
        <f>IFERROR(SUBSTITUTE(Tabela1[[#This Row],[Despesas Diversas 
(Jantar em viagem, Impressões, Etc)]],".",",",1)*1,0)</f>
        <v>56.1</v>
      </c>
      <c r="Z464" s="86">
        <f>IFERROR(SUBSTITUTE(Tabela1[[#This Row],[Hospedagem]],".",",",1)*1,0)</f>
        <v>0</v>
      </c>
      <c r="AA464" s="56" t="str">
        <f>IF(DAY(Tabela1[[#This Row],[Informe a data]])&lt;=15,"1ª Quinzena","2ª Quinzena")</f>
        <v>1ª Quinzena</v>
      </c>
      <c r="AB464" s="56" t="str">
        <f>UPPER(TEXT(Tabela1[[#This Row],[Informe a data]],"mmmm"))</f>
        <v>JULHO</v>
      </c>
      <c r="AC464" s="87" t="e">
        <f ca="1">_xlfn.CONCAT(Tabela1[[#This Row],[Selecione o Usuário]]," - ",TEXT(Tabela1[[#This Row],[Informe a data]],"dd-mm-aa"))</f>
        <v>#NAME?</v>
      </c>
    </row>
    <row r="465" spans="1:29">
      <c r="A465" s="49">
        <v>46210.387731481482</v>
      </c>
      <c r="B465" s="50" t="s">
        <v>497</v>
      </c>
      <c r="C465" s="50" t="s">
        <v>498</v>
      </c>
      <c r="D465" s="50" t="s">
        <v>1072</v>
      </c>
      <c r="E465" s="51">
        <v>46209</v>
      </c>
      <c r="F465" s="52">
        <v>55408</v>
      </c>
      <c r="G465" s="58" t="s">
        <v>1539</v>
      </c>
      <c r="H465" s="52">
        <v>55823</v>
      </c>
      <c r="I465" s="58" t="s">
        <v>1540</v>
      </c>
      <c r="J465" s="50" t="s">
        <v>1541</v>
      </c>
      <c r="K465" s="53"/>
      <c r="L465" s="50" t="s">
        <v>61</v>
      </c>
      <c r="M465" s="50" t="s">
        <v>669</v>
      </c>
      <c r="N465" s="50" t="s">
        <v>1542</v>
      </c>
      <c r="O465" s="53"/>
      <c r="P465" s="53"/>
      <c r="Q465" s="53"/>
      <c r="R465" s="53"/>
      <c r="S465" s="53"/>
      <c r="T465" s="53" t="s">
        <v>1543</v>
      </c>
      <c r="U465" s="85">
        <f>(Tabela1[[#This Row],[Informe o KM final do dia]]-Tabela1[[#This Row],[Informe o KM inicial do dia]])-Tabela1[[#This Row],[Caso tenha rodado particular alguma parte do trajeto, informe o total de KM a ser deduzido.]]</f>
        <v>415</v>
      </c>
      <c r="V465" s="86">
        <f>IF(Tabela1[[#This Row],[Informe a data]]&lt;DATE(2026,3,16), Tabela1[[#This Row],[KM Rodado]]*1.1, Tabela1[[#This Row],[KM Rodado]]*1.23)</f>
        <v>510.45</v>
      </c>
      <c r="W465" s="86">
        <f>IFERROR(SUBSTITUTE(Tabela1[[#This Row],[Pedágio]],".",",",1)*1,0)</f>
        <v>20.8</v>
      </c>
      <c r="X465" s="86">
        <f>IFERROR(SUBSTITUTE(Tabela1[[#This Row],[Estacionamento]],".",",",1)*1,0)</f>
        <v>0</v>
      </c>
      <c r="Y465" s="86">
        <f>IFERROR(SUBSTITUTE(Tabela1[[#This Row],[Despesas Diversas 
(Jantar em viagem, Impressões, Etc)]],".",",",1)*1,0)</f>
        <v>0</v>
      </c>
      <c r="Z465" s="86">
        <f>IFERROR(SUBSTITUTE(Tabela1[[#This Row],[Hospedagem]],".",",",1)*1,0)</f>
        <v>0</v>
      </c>
      <c r="AA465" s="56" t="str">
        <f>IF(DAY(Tabela1[[#This Row],[Informe a data]])&lt;=15,"1ª Quinzena","2ª Quinzena")</f>
        <v>1ª Quinzena</v>
      </c>
      <c r="AB465" s="56" t="str">
        <f>UPPER(TEXT(Tabela1[[#This Row],[Informe a data]],"mmmm"))</f>
        <v>JULHO</v>
      </c>
      <c r="AC465" s="87" t="e">
        <f ca="1">_xlfn.CONCAT(Tabela1[[#This Row],[Selecione o Usuário]]," - ",TEXT(Tabela1[[#This Row],[Informe a data]],"dd-mm-aa"))</f>
        <v>#NAME?</v>
      </c>
    </row>
    <row r="466" spans="1:29">
      <c r="A466" s="49">
        <v>46214.504988425928</v>
      </c>
      <c r="B466" s="50" t="s">
        <v>1260</v>
      </c>
      <c r="C466" s="50" t="s">
        <v>505</v>
      </c>
      <c r="D466" s="50" t="s">
        <v>551</v>
      </c>
      <c r="E466" s="51">
        <v>46209</v>
      </c>
      <c r="F466" s="52">
        <v>107591</v>
      </c>
      <c r="G466" s="58" t="s">
        <v>1575</v>
      </c>
      <c r="H466" s="52">
        <v>107641</v>
      </c>
      <c r="I466" s="58" t="s">
        <v>1576</v>
      </c>
      <c r="J466" s="50" t="s">
        <v>1577</v>
      </c>
      <c r="K466" s="53"/>
      <c r="L466" s="50" t="s">
        <v>60</v>
      </c>
      <c r="M466" s="53"/>
      <c r="N466" s="53"/>
      <c r="O466" s="53"/>
      <c r="P466" s="53"/>
      <c r="Q466" s="53"/>
      <c r="R466" s="53"/>
      <c r="S466" s="53"/>
      <c r="T466" s="53"/>
      <c r="U466" s="85">
        <f>(Tabela1[[#This Row],[Informe o KM final do dia]]-Tabela1[[#This Row],[Informe o KM inicial do dia]])-Tabela1[[#This Row],[Caso tenha rodado particular alguma parte do trajeto, informe o total de KM a ser deduzido.]]</f>
        <v>50</v>
      </c>
      <c r="V466" s="86">
        <f>IF(Tabela1[[#This Row],[Informe a data]]&lt;DATE(2026,3,16), Tabela1[[#This Row],[KM Rodado]]*1.1, Tabela1[[#This Row],[KM Rodado]]*1.23)</f>
        <v>61.5</v>
      </c>
      <c r="W466" s="86">
        <f>IFERROR(SUBSTITUTE(Tabela1[[#This Row],[Pedágio]],".",",",1)*1,0)</f>
        <v>0</v>
      </c>
      <c r="X466" s="86">
        <f>IFERROR(SUBSTITUTE(Tabela1[[#This Row],[Estacionamento]],".",",",1)*1,0)</f>
        <v>0</v>
      </c>
      <c r="Y466" s="86">
        <f>IFERROR(SUBSTITUTE(Tabela1[[#This Row],[Despesas Diversas 
(Jantar em viagem, Impressões, Etc)]],".",",",1)*1,0)</f>
        <v>0</v>
      </c>
      <c r="Z466" s="86">
        <f>IFERROR(SUBSTITUTE(Tabela1[[#This Row],[Hospedagem]],".",",",1)*1,0)</f>
        <v>0</v>
      </c>
      <c r="AA466" s="56" t="str">
        <f>IF(DAY(Tabela1[[#This Row],[Informe a data]])&lt;=15,"1ª Quinzena","2ª Quinzena")</f>
        <v>1ª Quinzena</v>
      </c>
      <c r="AB466" s="56" t="str">
        <f>UPPER(TEXT(Tabela1[[#This Row],[Informe a data]],"mmmm"))</f>
        <v>JULHO</v>
      </c>
      <c r="AC466" s="87" t="e">
        <f ca="1">_xlfn.CONCAT(Tabela1[[#This Row],[Selecione o Usuário]]," - ",TEXT(Tabela1[[#This Row],[Informe a data]],"dd-mm-aa"))</f>
        <v>#NAME?</v>
      </c>
    </row>
    <row r="467" spans="1:29">
      <c r="A467" s="89">
        <v>46218.786053240743</v>
      </c>
      <c r="B467" s="90" t="s">
        <v>1605</v>
      </c>
      <c r="C467" s="90" t="s">
        <v>1696</v>
      </c>
      <c r="D467" s="90" t="s">
        <v>1606</v>
      </c>
      <c r="E467" s="91">
        <v>46209</v>
      </c>
      <c r="F467" s="92">
        <v>118246</v>
      </c>
      <c r="G467" s="93" t="s">
        <v>1607</v>
      </c>
      <c r="H467" s="92">
        <v>118334</v>
      </c>
      <c r="I467" s="93" t="s">
        <v>1608</v>
      </c>
      <c r="J467" s="90" t="s">
        <v>1609</v>
      </c>
      <c r="K467" s="94"/>
      <c r="L467" s="90" t="s">
        <v>60</v>
      </c>
      <c r="M467" s="94"/>
      <c r="N467" s="94"/>
      <c r="O467" s="94"/>
      <c r="P467" s="94"/>
      <c r="Q467" s="94"/>
      <c r="R467" s="94"/>
      <c r="S467" s="94"/>
      <c r="T467" s="94"/>
      <c r="U467" s="85">
        <f>(Tabela1[[#This Row],[Informe o KM final do dia]]-Tabela1[[#This Row],[Informe o KM inicial do dia]])-Tabela1[[#This Row],[Caso tenha rodado particular alguma parte do trajeto, informe o total de KM a ser deduzido.]]</f>
        <v>88</v>
      </c>
      <c r="V467" s="86">
        <f>IF(Tabela1[[#This Row],[Informe a data]]&lt;DATE(2026,3,16), Tabela1[[#This Row],[KM Rodado]]*1.1, Tabela1[[#This Row],[KM Rodado]]*1.23)</f>
        <v>108.24</v>
      </c>
      <c r="W467" s="86">
        <f>IFERROR(SUBSTITUTE(Tabela1[[#This Row],[Pedágio]],".",",",1)*1,0)</f>
        <v>0</v>
      </c>
      <c r="X467" s="86">
        <f>IFERROR(SUBSTITUTE(Tabela1[[#This Row],[Estacionamento]],".",",",1)*1,0)</f>
        <v>0</v>
      </c>
      <c r="Y467" s="86">
        <f>IFERROR(SUBSTITUTE(Tabela1[[#This Row],[Despesas Diversas 
(Jantar em viagem, Impressões, Etc)]],".",",",1)*1,0)</f>
        <v>0</v>
      </c>
      <c r="Z467" s="86">
        <f>IFERROR(SUBSTITUTE(Tabela1[[#This Row],[Hospedagem]],".",",",1)*1,0)</f>
        <v>0</v>
      </c>
      <c r="AA467" s="56" t="str">
        <f>IF(DAY(Tabela1[[#This Row],[Informe a data]])&lt;=15,"1ª Quinzena","2ª Quinzena")</f>
        <v>1ª Quinzena</v>
      </c>
      <c r="AB467" s="56" t="str">
        <f>UPPER(TEXT(Tabela1[[#This Row],[Informe a data]],"mmmm"))</f>
        <v>JULHO</v>
      </c>
      <c r="AC467" s="87" t="e">
        <f ca="1">_xlfn.CONCAT(Tabela1[[#This Row],[Selecione o Usuário]]," - ",TEXT(Tabela1[[#This Row],[Informe a data]],"dd-mm-aa"))</f>
        <v>#NAME?</v>
      </c>
    </row>
    <row r="468" spans="1:29">
      <c r="A468" s="89">
        <v>46212.383321759262</v>
      </c>
      <c r="B468" s="90" t="s">
        <v>131</v>
      </c>
      <c r="C468" s="90" t="s">
        <v>132</v>
      </c>
      <c r="D468" s="90" t="s">
        <v>133</v>
      </c>
      <c r="E468" s="91">
        <v>46211</v>
      </c>
      <c r="F468" s="92">
        <v>195650</v>
      </c>
      <c r="G468" s="93" t="s">
        <v>1544</v>
      </c>
      <c r="H468" s="92">
        <v>195688</v>
      </c>
      <c r="I468" s="93" t="s">
        <v>1545</v>
      </c>
      <c r="J468" s="90" t="s">
        <v>1546</v>
      </c>
      <c r="K468" s="94"/>
      <c r="L468" s="90" t="s">
        <v>60</v>
      </c>
      <c r="M468" s="94"/>
      <c r="N468" s="94"/>
      <c r="O468" s="94"/>
      <c r="P468" s="94"/>
      <c r="Q468" s="94"/>
      <c r="R468" s="94"/>
      <c r="S468" s="94"/>
      <c r="T468" s="94"/>
      <c r="U468" s="85">
        <f>(Tabela1[[#This Row],[Informe o KM final do dia]]-Tabela1[[#This Row],[Informe o KM inicial do dia]])-Tabela1[[#This Row],[Caso tenha rodado particular alguma parte do trajeto, informe o total de KM a ser deduzido.]]</f>
        <v>38</v>
      </c>
      <c r="V468" s="86">
        <f>IF(Tabela1[[#This Row],[Informe a data]]&lt;DATE(2026,3,16), Tabela1[[#This Row],[KM Rodado]]*1.1, Tabela1[[#This Row],[KM Rodado]]*1.23)</f>
        <v>46.74</v>
      </c>
      <c r="W468" s="86">
        <f>IFERROR(SUBSTITUTE(Tabela1[[#This Row],[Pedágio]],".",",",1)*1,0)</f>
        <v>0</v>
      </c>
      <c r="X468" s="86">
        <f>IFERROR(SUBSTITUTE(Tabela1[[#This Row],[Estacionamento]],".",",",1)*1,0)</f>
        <v>0</v>
      </c>
      <c r="Y468" s="86">
        <f>IFERROR(SUBSTITUTE(Tabela1[[#This Row],[Despesas Diversas 
(Jantar em viagem, Impressões, Etc)]],".",",",1)*1,0)</f>
        <v>0</v>
      </c>
      <c r="Z468" s="86">
        <f>IFERROR(SUBSTITUTE(Tabela1[[#This Row],[Hospedagem]],".",",",1)*1,0)</f>
        <v>0</v>
      </c>
      <c r="AA468" s="56" t="str">
        <f>IF(DAY(Tabela1[[#This Row],[Informe a data]])&lt;=15,"1ª Quinzena","2ª Quinzena")</f>
        <v>1ª Quinzena</v>
      </c>
      <c r="AB468" s="56" t="str">
        <f>UPPER(TEXT(Tabela1[[#This Row],[Informe a data]],"mmmm"))</f>
        <v>JULHO</v>
      </c>
      <c r="AC468" s="87" t="e">
        <f ca="1">_xlfn.CONCAT(Tabela1[[#This Row],[Selecione o Usuário]]," - ",TEXT(Tabela1[[#This Row],[Informe a data]],"dd-mm-aa"))</f>
        <v>#NAME?</v>
      </c>
    </row>
    <row r="469" spans="1:29">
      <c r="A469" s="89">
        <v>46216.698067129626</v>
      </c>
      <c r="B469" s="90" t="s">
        <v>497</v>
      </c>
      <c r="C469" s="90" t="s">
        <v>498</v>
      </c>
      <c r="D469" s="90" t="s">
        <v>1072</v>
      </c>
      <c r="E469" s="91">
        <v>46211</v>
      </c>
      <c r="F469" s="92">
        <v>55831</v>
      </c>
      <c r="G469" s="93" t="s">
        <v>1584</v>
      </c>
      <c r="H469" s="92">
        <v>55877</v>
      </c>
      <c r="I469" s="93" t="s">
        <v>1585</v>
      </c>
      <c r="J469" s="90" t="s">
        <v>1586</v>
      </c>
      <c r="K469" s="94"/>
      <c r="L469" s="90" t="s">
        <v>60</v>
      </c>
      <c r="M469" s="94"/>
      <c r="N469" s="94"/>
      <c r="O469" s="94"/>
      <c r="P469" s="94"/>
      <c r="Q469" s="94"/>
      <c r="R469" s="94"/>
      <c r="S469" s="94"/>
      <c r="T469" s="94"/>
      <c r="U469" s="85">
        <f>(Tabela1[[#This Row],[Informe o KM final do dia]]-Tabela1[[#This Row],[Informe o KM inicial do dia]])-Tabela1[[#This Row],[Caso tenha rodado particular alguma parte do trajeto, informe o total de KM a ser deduzido.]]</f>
        <v>46</v>
      </c>
      <c r="V469" s="86">
        <f>IF(Tabela1[[#This Row],[Informe a data]]&lt;DATE(2026,3,16), Tabela1[[#This Row],[KM Rodado]]*1.1, Tabela1[[#This Row],[KM Rodado]]*1.23)</f>
        <v>56.58</v>
      </c>
      <c r="W469" s="86">
        <f>IFERROR(SUBSTITUTE(Tabela1[[#This Row],[Pedágio]],".",",",1)*1,0)</f>
        <v>0</v>
      </c>
      <c r="X469" s="86">
        <f>IFERROR(SUBSTITUTE(Tabela1[[#This Row],[Estacionamento]],".",",",1)*1,0)</f>
        <v>0</v>
      </c>
      <c r="Y469" s="86">
        <f>IFERROR(SUBSTITUTE(Tabela1[[#This Row],[Despesas Diversas 
(Jantar em viagem, Impressões, Etc)]],".",",",1)*1,0)</f>
        <v>0</v>
      </c>
      <c r="Z469" s="86">
        <f>IFERROR(SUBSTITUTE(Tabela1[[#This Row],[Hospedagem]],".",",",1)*1,0)</f>
        <v>0</v>
      </c>
      <c r="AA469" s="56" t="str">
        <f>IF(DAY(Tabela1[[#This Row],[Informe a data]])&lt;=15,"1ª Quinzena","2ª Quinzena")</f>
        <v>1ª Quinzena</v>
      </c>
      <c r="AB469" s="56" t="str">
        <f>UPPER(TEXT(Tabela1[[#This Row],[Informe a data]],"mmmm"))</f>
        <v>JULHO</v>
      </c>
      <c r="AC469" s="87" t="e">
        <f ca="1">_xlfn.CONCAT(Tabela1[[#This Row],[Selecione o Usuário]]," - ",TEXT(Tabela1[[#This Row],[Informe a data]],"dd-mm-aa"))</f>
        <v>#NAME?</v>
      </c>
    </row>
    <row r="470" spans="1:29">
      <c r="A470" s="89">
        <v>46214.506620370368</v>
      </c>
      <c r="B470" s="90" t="s">
        <v>1260</v>
      </c>
      <c r="C470" s="90" t="s">
        <v>505</v>
      </c>
      <c r="D470" s="90" t="s">
        <v>551</v>
      </c>
      <c r="E470" s="91">
        <v>46211</v>
      </c>
      <c r="F470" s="92">
        <v>107653</v>
      </c>
      <c r="G470" s="93" t="s">
        <v>1578</v>
      </c>
      <c r="H470" s="92">
        <v>107717</v>
      </c>
      <c r="I470" s="93" t="s">
        <v>1579</v>
      </c>
      <c r="J470" s="90" t="s">
        <v>1580</v>
      </c>
      <c r="K470" s="94"/>
      <c r="L470" s="90" t="s">
        <v>60</v>
      </c>
      <c r="M470" s="94"/>
      <c r="N470" s="94"/>
      <c r="O470" s="94"/>
      <c r="P470" s="94"/>
      <c r="Q470" s="94"/>
      <c r="R470" s="94"/>
      <c r="S470" s="94"/>
      <c r="T470" s="94"/>
      <c r="U470" s="85">
        <f>(Tabela1[[#This Row],[Informe o KM final do dia]]-Tabela1[[#This Row],[Informe o KM inicial do dia]])-Tabela1[[#This Row],[Caso tenha rodado particular alguma parte do trajeto, informe o total de KM a ser deduzido.]]</f>
        <v>64</v>
      </c>
      <c r="V470" s="86">
        <f>IF(Tabela1[[#This Row],[Informe a data]]&lt;DATE(2026,3,16), Tabela1[[#This Row],[KM Rodado]]*1.1, Tabela1[[#This Row],[KM Rodado]]*1.23)</f>
        <v>78.72</v>
      </c>
      <c r="W470" s="86">
        <f>IFERROR(SUBSTITUTE(Tabela1[[#This Row],[Pedágio]],".",",",1)*1,0)</f>
        <v>0</v>
      </c>
      <c r="X470" s="86">
        <f>IFERROR(SUBSTITUTE(Tabela1[[#This Row],[Estacionamento]],".",",",1)*1,0)</f>
        <v>0</v>
      </c>
      <c r="Y470" s="86">
        <f>IFERROR(SUBSTITUTE(Tabela1[[#This Row],[Despesas Diversas 
(Jantar em viagem, Impressões, Etc)]],".",",",1)*1,0)</f>
        <v>0</v>
      </c>
      <c r="Z470" s="86">
        <f>IFERROR(SUBSTITUTE(Tabela1[[#This Row],[Hospedagem]],".",",",1)*1,0)</f>
        <v>0</v>
      </c>
      <c r="AA470" s="56" t="str">
        <f>IF(DAY(Tabela1[[#This Row],[Informe a data]])&lt;=15,"1ª Quinzena","2ª Quinzena")</f>
        <v>1ª Quinzena</v>
      </c>
      <c r="AB470" s="56" t="str">
        <f>UPPER(TEXT(Tabela1[[#This Row],[Informe a data]],"mmmm"))</f>
        <v>JULHO</v>
      </c>
      <c r="AC470" s="87" t="e">
        <f ca="1">_xlfn.CONCAT(Tabela1[[#This Row],[Selecione o Usuário]]," - ",TEXT(Tabela1[[#This Row],[Informe a data]],"dd-mm-aa"))</f>
        <v>#NAME?</v>
      </c>
    </row>
    <row r="471" spans="1:29">
      <c r="A471" s="89">
        <v>46213.387291666666</v>
      </c>
      <c r="B471" s="90" t="s">
        <v>131</v>
      </c>
      <c r="C471" s="90" t="s">
        <v>132</v>
      </c>
      <c r="D471" s="90" t="s">
        <v>133</v>
      </c>
      <c r="E471" s="91">
        <v>46212</v>
      </c>
      <c r="F471" s="92">
        <v>195688</v>
      </c>
      <c r="G471" s="93" t="s">
        <v>1552</v>
      </c>
      <c r="H471" s="92">
        <v>195743</v>
      </c>
      <c r="I471" s="93" t="s">
        <v>1553</v>
      </c>
      <c r="J471" s="90" t="s">
        <v>1554</v>
      </c>
      <c r="K471" s="94"/>
      <c r="L471" s="90" t="s">
        <v>60</v>
      </c>
      <c r="M471" s="94"/>
      <c r="N471" s="94"/>
      <c r="O471" s="94"/>
      <c r="P471" s="94"/>
      <c r="Q471" s="94"/>
      <c r="R471" s="94"/>
      <c r="S471" s="94"/>
      <c r="T471" s="94"/>
      <c r="U471" s="85">
        <f>(Tabela1[[#This Row],[Informe o KM final do dia]]-Tabela1[[#This Row],[Informe o KM inicial do dia]])-Tabela1[[#This Row],[Caso tenha rodado particular alguma parte do trajeto, informe o total de KM a ser deduzido.]]</f>
        <v>55</v>
      </c>
      <c r="V471" s="86">
        <f>IF(Tabela1[[#This Row],[Informe a data]]&lt;DATE(2026,3,16), Tabela1[[#This Row],[KM Rodado]]*1.1, Tabela1[[#This Row],[KM Rodado]]*1.23)</f>
        <v>67.650000000000006</v>
      </c>
      <c r="W471" s="86">
        <f>IFERROR(SUBSTITUTE(Tabela1[[#This Row],[Pedágio]],".",",",1)*1,0)</f>
        <v>0</v>
      </c>
      <c r="X471" s="86">
        <f>IFERROR(SUBSTITUTE(Tabela1[[#This Row],[Estacionamento]],".",",",1)*1,0)</f>
        <v>0</v>
      </c>
      <c r="Y471" s="86">
        <f>IFERROR(SUBSTITUTE(Tabela1[[#This Row],[Despesas Diversas 
(Jantar em viagem, Impressões, Etc)]],".",",",1)*1,0)</f>
        <v>0</v>
      </c>
      <c r="Z471" s="86">
        <f>IFERROR(SUBSTITUTE(Tabela1[[#This Row],[Hospedagem]],".",",",1)*1,0)</f>
        <v>0</v>
      </c>
      <c r="AA471" s="56" t="str">
        <f>IF(DAY(Tabela1[[#This Row],[Informe a data]])&lt;=15,"1ª Quinzena","2ª Quinzena")</f>
        <v>1ª Quinzena</v>
      </c>
      <c r="AB471" s="56" t="str">
        <f>UPPER(TEXT(Tabela1[[#This Row],[Informe a data]],"mmmm"))</f>
        <v>JULHO</v>
      </c>
      <c r="AC471" s="87" t="e">
        <f ca="1">_xlfn.CONCAT(Tabela1[[#This Row],[Selecione o Usuário]]," - ",TEXT(Tabela1[[#This Row],[Informe a data]],"dd-mm-aa"))</f>
        <v>#NAME?</v>
      </c>
    </row>
    <row r="472" spans="1:29">
      <c r="A472" s="49">
        <v>46212.663124999999</v>
      </c>
      <c r="B472" s="50" t="s">
        <v>497</v>
      </c>
      <c r="C472" s="50" t="s">
        <v>498</v>
      </c>
      <c r="D472" s="50" t="s">
        <v>1547</v>
      </c>
      <c r="E472" s="51">
        <v>46212</v>
      </c>
      <c r="F472" s="52">
        <v>13931</v>
      </c>
      <c r="G472" s="58" t="s">
        <v>1548</v>
      </c>
      <c r="H472" s="52">
        <v>14124</v>
      </c>
      <c r="I472" s="58" t="s">
        <v>1549</v>
      </c>
      <c r="J472" s="50" t="s">
        <v>1550</v>
      </c>
      <c r="K472" s="53"/>
      <c r="L472" s="50" t="s">
        <v>61</v>
      </c>
      <c r="M472" s="50" t="s">
        <v>744</v>
      </c>
      <c r="N472" s="50" t="s">
        <v>1551</v>
      </c>
      <c r="O472" s="53"/>
      <c r="P472" s="53"/>
      <c r="Q472" s="53"/>
      <c r="R472" s="53"/>
      <c r="S472" s="53"/>
      <c r="T472" s="53"/>
      <c r="U472" s="85">
        <f>(Tabela1[[#This Row],[Informe o KM final do dia]]-Tabela1[[#This Row],[Informe o KM inicial do dia]])-Tabela1[[#This Row],[Caso tenha rodado particular alguma parte do trajeto, informe o total de KM a ser deduzido.]]</f>
        <v>193</v>
      </c>
      <c r="V472" s="86">
        <f>IF(Tabela1[[#This Row],[Informe a data]]&lt;DATE(2026,3,16), Tabela1[[#This Row],[KM Rodado]]*1.1, Tabela1[[#This Row],[KM Rodado]]*1.23)</f>
        <v>237.39</v>
      </c>
      <c r="W472" s="86">
        <f>IFERROR(SUBSTITUTE(Tabela1[[#This Row],[Pedágio]],".",",",1)*1,0)</f>
        <v>10.4</v>
      </c>
      <c r="X472" s="86">
        <f>IFERROR(SUBSTITUTE(Tabela1[[#This Row],[Estacionamento]],".",",",1)*1,0)</f>
        <v>0</v>
      </c>
      <c r="Y472" s="86">
        <f>IFERROR(SUBSTITUTE(Tabela1[[#This Row],[Despesas Diversas 
(Jantar em viagem, Impressões, Etc)]],".",",",1)*1,0)</f>
        <v>0</v>
      </c>
      <c r="Z472" s="86">
        <f>IFERROR(SUBSTITUTE(Tabela1[[#This Row],[Hospedagem]],".",",",1)*1,0)</f>
        <v>0</v>
      </c>
      <c r="AA472" s="56" t="str">
        <f>IF(DAY(Tabela1[[#This Row],[Informe a data]])&lt;=15,"1ª Quinzena","2ª Quinzena")</f>
        <v>1ª Quinzena</v>
      </c>
      <c r="AB472" s="56" t="str">
        <f>UPPER(TEXT(Tabela1[[#This Row],[Informe a data]],"mmmm"))</f>
        <v>JULHO</v>
      </c>
      <c r="AC472" s="87" t="e">
        <f ca="1">_xlfn.CONCAT(Tabela1[[#This Row],[Selecione o Usuário]]," - ",TEXT(Tabela1[[#This Row],[Informe a data]],"dd-mm-aa"))</f>
        <v>#NAME?</v>
      </c>
    </row>
    <row r="473" spans="1:29">
      <c r="A473" s="49">
        <v>46214.508252314816</v>
      </c>
      <c r="B473" s="50" t="s">
        <v>1260</v>
      </c>
      <c r="C473" s="50" t="s">
        <v>505</v>
      </c>
      <c r="D473" s="50" t="s">
        <v>551</v>
      </c>
      <c r="E473" s="51">
        <v>46212</v>
      </c>
      <c r="F473" s="52">
        <v>107717</v>
      </c>
      <c r="G473" s="58" t="s">
        <v>1581</v>
      </c>
      <c r="H473" s="52">
        <v>107823</v>
      </c>
      <c r="I473" s="58" t="s">
        <v>1582</v>
      </c>
      <c r="J473" s="50" t="s">
        <v>1583</v>
      </c>
      <c r="K473" s="53"/>
      <c r="L473" s="50" t="s">
        <v>60</v>
      </c>
      <c r="M473" s="53"/>
      <c r="N473" s="53"/>
      <c r="O473" s="53"/>
      <c r="P473" s="53"/>
      <c r="Q473" s="53"/>
      <c r="R473" s="53"/>
      <c r="S473" s="53"/>
      <c r="T473" s="53"/>
      <c r="U473" s="85">
        <f>(Tabela1[[#This Row],[Informe o KM final do dia]]-Tabela1[[#This Row],[Informe o KM inicial do dia]])-Tabela1[[#This Row],[Caso tenha rodado particular alguma parte do trajeto, informe o total de KM a ser deduzido.]]</f>
        <v>106</v>
      </c>
      <c r="V473" s="86">
        <f>IF(Tabela1[[#This Row],[Informe a data]]&lt;DATE(2026,3,16), Tabela1[[#This Row],[KM Rodado]]*1.1, Tabela1[[#This Row],[KM Rodado]]*1.23)</f>
        <v>130.38</v>
      </c>
      <c r="W473" s="86">
        <f>IFERROR(SUBSTITUTE(Tabela1[[#This Row],[Pedágio]],".",",",1)*1,0)</f>
        <v>0</v>
      </c>
      <c r="X473" s="86">
        <f>IFERROR(SUBSTITUTE(Tabela1[[#This Row],[Estacionamento]],".",",",1)*1,0)</f>
        <v>0</v>
      </c>
      <c r="Y473" s="86">
        <f>IFERROR(SUBSTITUTE(Tabela1[[#This Row],[Despesas Diversas 
(Jantar em viagem, Impressões, Etc)]],".",",",1)*1,0)</f>
        <v>0</v>
      </c>
      <c r="Z473" s="86">
        <f>IFERROR(SUBSTITUTE(Tabela1[[#This Row],[Hospedagem]],".",",",1)*1,0)</f>
        <v>0</v>
      </c>
      <c r="AA473" s="56" t="str">
        <f>IF(DAY(Tabela1[[#This Row],[Informe a data]])&lt;=15,"1ª Quinzena","2ª Quinzena")</f>
        <v>1ª Quinzena</v>
      </c>
      <c r="AB473" s="56" t="str">
        <f>UPPER(TEXT(Tabela1[[#This Row],[Informe a data]],"mmmm"))</f>
        <v>JULHO</v>
      </c>
      <c r="AC473" s="87" t="e">
        <f ca="1">_xlfn.CONCAT(Tabela1[[#This Row],[Selecione o Usuário]]," - ",TEXT(Tabela1[[#This Row],[Informe a data]],"dd-mm-aa"))</f>
        <v>#NAME?</v>
      </c>
    </row>
    <row r="474" spans="1:29">
      <c r="A474" s="49">
        <v>46219.352361111109</v>
      </c>
      <c r="B474" s="50" t="s">
        <v>607</v>
      </c>
      <c r="C474" s="50" t="s">
        <v>136</v>
      </c>
      <c r="D474" s="50" t="s">
        <v>177</v>
      </c>
      <c r="E474" s="51">
        <v>46212</v>
      </c>
      <c r="F474" s="52">
        <v>176815</v>
      </c>
      <c r="G474" s="58" t="s">
        <v>1628</v>
      </c>
      <c r="H474" s="52">
        <v>176847</v>
      </c>
      <c r="I474" s="58" t="s">
        <v>1629</v>
      </c>
      <c r="J474" s="50" t="s">
        <v>1630</v>
      </c>
      <c r="K474" s="53"/>
      <c r="L474" s="50" t="s">
        <v>60</v>
      </c>
      <c r="M474" s="53"/>
      <c r="N474" s="53"/>
      <c r="O474" s="53"/>
      <c r="P474" s="53"/>
      <c r="Q474" s="53"/>
      <c r="R474" s="53"/>
      <c r="S474" s="53"/>
      <c r="T474" s="53"/>
      <c r="U474" s="85">
        <f>(Tabela1[[#This Row],[Informe o KM final do dia]]-Tabela1[[#This Row],[Informe o KM inicial do dia]])-Tabela1[[#This Row],[Caso tenha rodado particular alguma parte do trajeto, informe o total de KM a ser deduzido.]]</f>
        <v>32</v>
      </c>
      <c r="V474" s="86">
        <f>IF(Tabela1[[#This Row],[Informe a data]]&lt;DATE(2026,3,16), Tabela1[[#This Row],[KM Rodado]]*1.1, Tabela1[[#This Row],[KM Rodado]]*1.23)</f>
        <v>39.36</v>
      </c>
      <c r="W474" s="86">
        <f>IFERROR(SUBSTITUTE(Tabela1[[#This Row],[Pedágio]],".",",",1)*1,0)</f>
        <v>0</v>
      </c>
      <c r="X474" s="86">
        <f>IFERROR(SUBSTITUTE(Tabela1[[#This Row],[Estacionamento]],".",",",1)*1,0)</f>
        <v>0</v>
      </c>
      <c r="Y474" s="86">
        <f>IFERROR(SUBSTITUTE(Tabela1[[#This Row],[Despesas Diversas 
(Jantar em viagem, Impressões, Etc)]],".",",",1)*1,0)</f>
        <v>0</v>
      </c>
      <c r="Z474" s="86">
        <f>IFERROR(SUBSTITUTE(Tabela1[[#This Row],[Hospedagem]],".",",",1)*1,0)</f>
        <v>0</v>
      </c>
      <c r="AA474" s="56" t="str">
        <f>IF(DAY(Tabela1[[#This Row],[Informe a data]])&lt;=15,"1ª Quinzena","2ª Quinzena")</f>
        <v>1ª Quinzena</v>
      </c>
      <c r="AB474" s="56" t="str">
        <f>UPPER(TEXT(Tabela1[[#This Row],[Informe a data]],"mmmm"))</f>
        <v>JULHO</v>
      </c>
      <c r="AC474" s="87" t="e">
        <f ca="1">_xlfn.CONCAT(Tabela1[[#This Row],[Selecione o Usuário]]," - ",TEXT(Tabela1[[#This Row],[Informe a data]],"dd-mm-aa"))</f>
        <v>#NAME?</v>
      </c>
    </row>
    <row r="475" spans="1:29">
      <c r="A475" s="49">
        <v>46214.339016203703</v>
      </c>
      <c r="B475" s="50" t="s">
        <v>131</v>
      </c>
      <c r="C475" s="50" t="s">
        <v>132</v>
      </c>
      <c r="D475" s="50" t="s">
        <v>133</v>
      </c>
      <c r="E475" s="51">
        <v>46213</v>
      </c>
      <c r="F475" s="52">
        <v>195743</v>
      </c>
      <c r="G475" s="58" t="s">
        <v>1555</v>
      </c>
      <c r="H475" s="52">
        <v>195800</v>
      </c>
      <c r="I475" s="58" t="s">
        <v>1556</v>
      </c>
      <c r="J475" s="50" t="s">
        <v>1557</v>
      </c>
      <c r="K475" s="53"/>
      <c r="L475" s="50" t="s">
        <v>61</v>
      </c>
      <c r="M475" s="53"/>
      <c r="N475" s="53"/>
      <c r="O475" s="53"/>
      <c r="P475" s="53"/>
      <c r="Q475" s="50" t="s">
        <v>1467</v>
      </c>
      <c r="R475" s="58" t="s">
        <v>1558</v>
      </c>
      <c r="S475" s="53"/>
      <c r="T475" s="53"/>
      <c r="U475" s="85">
        <f>(Tabela1[[#This Row],[Informe o KM final do dia]]-Tabela1[[#This Row],[Informe o KM inicial do dia]])-Tabela1[[#This Row],[Caso tenha rodado particular alguma parte do trajeto, informe o total de KM a ser deduzido.]]</f>
        <v>57</v>
      </c>
      <c r="V475" s="86">
        <f>IF(Tabela1[[#This Row],[Informe a data]]&lt;DATE(2026,3,16), Tabela1[[#This Row],[KM Rodado]]*1.1, Tabela1[[#This Row],[KM Rodado]]*1.23)</f>
        <v>70.11</v>
      </c>
      <c r="W475" s="86">
        <f>IFERROR(SUBSTITUTE(Tabela1[[#This Row],[Pedágio]],".",",",1)*1,0)</f>
        <v>0</v>
      </c>
      <c r="X475" s="86">
        <f>IFERROR(SUBSTITUTE(Tabela1[[#This Row],[Estacionamento]],".",",",1)*1,0)</f>
        <v>0</v>
      </c>
      <c r="Y475" s="86">
        <f>IFERROR(SUBSTITUTE(Tabela1[[#This Row],[Despesas Diversas 
(Jantar em viagem, Impressões, Etc)]],".",",",1)*1,0)</f>
        <v>34</v>
      </c>
      <c r="Z475" s="86">
        <f>IFERROR(SUBSTITUTE(Tabela1[[#This Row],[Hospedagem]],".",",",1)*1,0)</f>
        <v>0</v>
      </c>
      <c r="AA475" s="56" t="str">
        <f>IF(DAY(Tabela1[[#This Row],[Informe a data]])&lt;=15,"1ª Quinzena","2ª Quinzena")</f>
        <v>1ª Quinzena</v>
      </c>
      <c r="AB475" s="56" t="str">
        <f>UPPER(TEXT(Tabela1[[#This Row],[Informe a data]],"mmmm"))</f>
        <v>JULHO</v>
      </c>
      <c r="AC475" s="87" t="e">
        <f ca="1">_xlfn.CONCAT(Tabela1[[#This Row],[Selecione o Usuário]]," - ",TEXT(Tabela1[[#This Row],[Informe a data]],"dd-mm-aa"))</f>
        <v>#NAME?</v>
      </c>
    </row>
    <row r="476" spans="1:29">
      <c r="A476" s="49">
        <v>46214.411712962959</v>
      </c>
      <c r="B476" s="50" t="s">
        <v>300</v>
      </c>
      <c r="C476" s="50" t="s">
        <v>250</v>
      </c>
      <c r="D476" s="50" t="s">
        <v>228</v>
      </c>
      <c r="E476" s="51">
        <v>46213</v>
      </c>
      <c r="F476" s="52">
        <v>134645</v>
      </c>
      <c r="G476" s="58" t="s">
        <v>1562</v>
      </c>
      <c r="H476" s="52">
        <v>134767</v>
      </c>
      <c r="I476" s="58" t="s">
        <v>1563</v>
      </c>
      <c r="J476" s="50" t="s">
        <v>1564</v>
      </c>
      <c r="K476" s="53"/>
      <c r="L476" s="50" t="s">
        <v>60</v>
      </c>
      <c r="M476" s="53"/>
      <c r="N476" s="53"/>
      <c r="O476" s="53"/>
      <c r="P476" s="53"/>
      <c r="Q476" s="53"/>
      <c r="R476" s="53"/>
      <c r="S476" s="53"/>
      <c r="T476" s="53"/>
      <c r="U476" s="85">
        <f>(Tabela1[[#This Row],[Informe o KM final do dia]]-Tabela1[[#This Row],[Informe o KM inicial do dia]])-Tabela1[[#This Row],[Caso tenha rodado particular alguma parte do trajeto, informe o total de KM a ser deduzido.]]</f>
        <v>122</v>
      </c>
      <c r="V476" s="86">
        <f>IF(Tabela1[[#This Row],[Informe a data]]&lt;DATE(2026,3,16), Tabela1[[#This Row],[KM Rodado]]*1.1, Tabela1[[#This Row],[KM Rodado]]*1.23)</f>
        <v>150.06</v>
      </c>
      <c r="W476" s="86">
        <f>IFERROR(SUBSTITUTE(Tabela1[[#This Row],[Pedágio]],".",",",1)*1,0)</f>
        <v>0</v>
      </c>
      <c r="X476" s="86">
        <f>IFERROR(SUBSTITUTE(Tabela1[[#This Row],[Estacionamento]],".",",",1)*1,0)</f>
        <v>0</v>
      </c>
      <c r="Y476" s="86">
        <f>IFERROR(SUBSTITUTE(Tabela1[[#This Row],[Despesas Diversas 
(Jantar em viagem, Impressões, Etc)]],".",",",1)*1,0)</f>
        <v>0</v>
      </c>
      <c r="Z476" s="86">
        <f>IFERROR(SUBSTITUTE(Tabela1[[#This Row],[Hospedagem]],".",",",1)*1,0)</f>
        <v>0</v>
      </c>
      <c r="AA476" s="56" t="str">
        <f>IF(DAY(Tabela1[[#This Row],[Informe a data]])&lt;=15,"1ª Quinzena","2ª Quinzena")</f>
        <v>1ª Quinzena</v>
      </c>
      <c r="AB476" s="56" t="str">
        <f>UPPER(TEXT(Tabela1[[#This Row],[Informe a data]],"mmmm"))</f>
        <v>JULHO</v>
      </c>
      <c r="AC476" s="87" t="e">
        <f ca="1">_xlfn.CONCAT(Tabela1[[#This Row],[Selecione o Usuário]]," - ",TEXT(Tabela1[[#This Row],[Informe a data]],"dd-mm-aa"))</f>
        <v>#NAME?</v>
      </c>
    </row>
    <row r="477" spans="1:29">
      <c r="A477" s="49">
        <v>46218.795370370368</v>
      </c>
      <c r="B477" s="50" t="s">
        <v>1605</v>
      </c>
      <c r="C477" s="90" t="s">
        <v>1696</v>
      </c>
      <c r="D477" s="50" t="s">
        <v>1606</v>
      </c>
      <c r="E477" s="51">
        <v>46213</v>
      </c>
      <c r="F477" s="52">
        <v>4212</v>
      </c>
      <c r="G477" s="58" t="s">
        <v>1610</v>
      </c>
      <c r="H477" s="52">
        <v>4391</v>
      </c>
      <c r="I477" s="58" t="s">
        <v>1611</v>
      </c>
      <c r="J477" s="50" t="s">
        <v>1612</v>
      </c>
      <c r="K477" s="53"/>
      <c r="L477" s="50" t="s">
        <v>60</v>
      </c>
      <c r="M477" s="53"/>
      <c r="N477" s="53"/>
      <c r="O477" s="53"/>
      <c r="P477" s="53"/>
      <c r="Q477" s="53"/>
      <c r="R477" s="53"/>
      <c r="S477" s="53"/>
      <c r="T477" s="53"/>
      <c r="U477" s="85">
        <f>(Tabela1[[#This Row],[Informe o KM final do dia]]-Tabela1[[#This Row],[Informe o KM inicial do dia]])-Tabela1[[#This Row],[Caso tenha rodado particular alguma parte do trajeto, informe o total de KM a ser deduzido.]]</f>
        <v>179</v>
      </c>
      <c r="V477" s="86">
        <f>IF(Tabela1[[#This Row],[Informe a data]]&lt;DATE(2026,3,16), Tabela1[[#This Row],[KM Rodado]]*1.1, Tabela1[[#This Row],[KM Rodado]]*1.23)</f>
        <v>220.17</v>
      </c>
      <c r="W477" s="86">
        <f>IFERROR(SUBSTITUTE(Tabela1[[#This Row],[Pedágio]],".",",",1)*1,0)</f>
        <v>0</v>
      </c>
      <c r="X477" s="86">
        <f>IFERROR(SUBSTITUTE(Tabela1[[#This Row],[Estacionamento]],".",",",1)*1,0)</f>
        <v>0</v>
      </c>
      <c r="Y477" s="86">
        <f>IFERROR(SUBSTITUTE(Tabela1[[#This Row],[Despesas Diversas 
(Jantar em viagem, Impressões, Etc)]],".",",",1)*1,0)</f>
        <v>0</v>
      </c>
      <c r="Z477" s="86">
        <f>IFERROR(SUBSTITUTE(Tabela1[[#This Row],[Hospedagem]],".",",",1)*1,0)</f>
        <v>0</v>
      </c>
      <c r="AA477" s="56" t="str">
        <f>IF(DAY(Tabela1[[#This Row],[Informe a data]])&lt;=15,"1ª Quinzena","2ª Quinzena")</f>
        <v>1ª Quinzena</v>
      </c>
      <c r="AB477" s="56" t="str">
        <f>UPPER(TEXT(Tabela1[[#This Row],[Informe a data]],"mmmm"))</f>
        <v>JULHO</v>
      </c>
      <c r="AC477" s="87" t="e">
        <f ca="1">_xlfn.CONCAT(Tabela1[[#This Row],[Selecione o Usuário]]," - ",TEXT(Tabela1[[#This Row],[Informe a data]],"dd-mm-aa"))</f>
        <v>#NAME?</v>
      </c>
    </row>
    <row r="478" spans="1:29">
      <c r="A478" s="49">
        <v>46216.804988425924</v>
      </c>
      <c r="B478" s="50" t="s">
        <v>131</v>
      </c>
      <c r="C478" s="50" t="s">
        <v>132</v>
      </c>
      <c r="D478" s="50" t="s">
        <v>133</v>
      </c>
      <c r="E478" s="51">
        <v>46216</v>
      </c>
      <c r="F478" s="52">
        <v>195806</v>
      </c>
      <c r="G478" s="58" t="s">
        <v>1587</v>
      </c>
      <c r="H478" s="52">
        <v>195872</v>
      </c>
      <c r="I478" s="58" t="s">
        <v>1588</v>
      </c>
      <c r="J478" s="50" t="s">
        <v>1589</v>
      </c>
      <c r="K478" s="53"/>
      <c r="L478" s="50" t="s">
        <v>60</v>
      </c>
      <c r="M478" s="53"/>
      <c r="N478" s="53"/>
      <c r="O478" s="53"/>
      <c r="P478" s="53"/>
      <c r="Q478" s="53"/>
      <c r="R478" s="53"/>
      <c r="S478" s="53"/>
      <c r="T478" s="53"/>
      <c r="U478" s="85">
        <f>(Tabela1[[#This Row],[Informe o KM final do dia]]-Tabela1[[#This Row],[Informe o KM inicial do dia]])-Tabela1[[#This Row],[Caso tenha rodado particular alguma parte do trajeto, informe o total de KM a ser deduzido.]]</f>
        <v>66</v>
      </c>
      <c r="V478" s="86">
        <f>IF(Tabela1[[#This Row],[Informe a data]]&lt;DATE(2026,3,16), Tabela1[[#This Row],[KM Rodado]]*1.1, Tabela1[[#This Row],[KM Rodado]]*1.23)</f>
        <v>81.179999999999993</v>
      </c>
      <c r="W478" s="86">
        <f>IFERROR(SUBSTITUTE(Tabela1[[#This Row],[Pedágio]],".",",",1)*1,0)</f>
        <v>0</v>
      </c>
      <c r="X478" s="86">
        <f>IFERROR(SUBSTITUTE(Tabela1[[#This Row],[Estacionamento]],".",",",1)*1,0)</f>
        <v>0</v>
      </c>
      <c r="Y478" s="86">
        <f>IFERROR(SUBSTITUTE(Tabela1[[#This Row],[Despesas Diversas 
(Jantar em viagem, Impressões, Etc)]],".",",",1)*1,0)</f>
        <v>0</v>
      </c>
      <c r="Z478" s="86">
        <f>IFERROR(SUBSTITUTE(Tabela1[[#This Row],[Hospedagem]],".",",",1)*1,0)</f>
        <v>0</v>
      </c>
      <c r="AA478" s="56" t="str">
        <f>IF(DAY(Tabela1[[#This Row],[Informe a data]])&lt;=15,"1ª Quinzena","2ª Quinzena")</f>
        <v>1ª Quinzena</v>
      </c>
      <c r="AB478" s="56" t="str">
        <f>UPPER(TEXT(Tabela1[[#This Row],[Informe a data]],"mmmm"))</f>
        <v>JULHO</v>
      </c>
      <c r="AC478" s="87" t="e">
        <f ca="1">_xlfn.CONCAT(Tabela1[[#This Row],[Selecione o Usuário]]," - ",TEXT(Tabela1[[#This Row],[Informe a data]],"dd-mm-aa"))</f>
        <v>#NAME?</v>
      </c>
    </row>
    <row r="479" spans="1:29">
      <c r="A479" s="89">
        <v>46218.807291666664</v>
      </c>
      <c r="B479" s="90" t="s">
        <v>1605</v>
      </c>
      <c r="C479" s="90" t="s">
        <v>1696</v>
      </c>
      <c r="D479" s="90" t="s">
        <v>1606</v>
      </c>
      <c r="E479" s="91">
        <v>46216</v>
      </c>
      <c r="F479" s="92">
        <v>118452</v>
      </c>
      <c r="G479" s="93" t="s">
        <v>1613</v>
      </c>
      <c r="H479" s="92">
        <v>118480</v>
      </c>
      <c r="I479" s="93" t="s">
        <v>1614</v>
      </c>
      <c r="J479" s="90" t="s">
        <v>1615</v>
      </c>
      <c r="K479" s="94"/>
      <c r="L479" s="90" t="s">
        <v>60</v>
      </c>
      <c r="M479" s="94"/>
      <c r="N479" s="94"/>
      <c r="O479" s="94"/>
      <c r="P479" s="94"/>
      <c r="Q479" s="94"/>
      <c r="R479" s="94"/>
      <c r="S479" s="94"/>
      <c r="T479" s="94"/>
      <c r="U479" s="85">
        <f>(Tabela1[[#This Row],[Informe o KM final do dia]]-Tabela1[[#This Row],[Informe o KM inicial do dia]])-Tabela1[[#This Row],[Caso tenha rodado particular alguma parte do trajeto, informe o total de KM a ser deduzido.]]</f>
        <v>28</v>
      </c>
      <c r="V479" s="86">
        <f>IF(Tabela1[[#This Row],[Informe a data]]&lt;DATE(2026,3,16), Tabela1[[#This Row],[KM Rodado]]*1.1, Tabela1[[#This Row],[KM Rodado]]*1.23)</f>
        <v>34.44</v>
      </c>
      <c r="W479" s="86">
        <f>IFERROR(SUBSTITUTE(Tabela1[[#This Row],[Pedágio]],".",",",1)*1,0)</f>
        <v>0</v>
      </c>
      <c r="X479" s="86">
        <f>IFERROR(SUBSTITUTE(Tabela1[[#This Row],[Estacionamento]],".",",",1)*1,0)</f>
        <v>0</v>
      </c>
      <c r="Y479" s="86">
        <f>IFERROR(SUBSTITUTE(Tabela1[[#This Row],[Despesas Diversas 
(Jantar em viagem, Impressões, Etc)]],".",",",1)*1,0)</f>
        <v>0</v>
      </c>
      <c r="Z479" s="86">
        <f>IFERROR(SUBSTITUTE(Tabela1[[#This Row],[Hospedagem]],".",",",1)*1,0)</f>
        <v>0</v>
      </c>
      <c r="AA479" s="56" t="str">
        <f>IF(DAY(Tabela1[[#This Row],[Informe a data]])&lt;=15,"1ª Quinzena","2ª Quinzena")</f>
        <v>1ª Quinzena</v>
      </c>
      <c r="AB479" s="56" t="str">
        <f>UPPER(TEXT(Tabela1[[#This Row],[Informe a data]],"mmmm"))</f>
        <v>JULHO</v>
      </c>
      <c r="AC479" s="87" t="e">
        <f ca="1">_xlfn.CONCAT(Tabela1[[#This Row],[Selecione o Usuário]]," - ",TEXT(Tabela1[[#This Row],[Informe a data]],"dd-mm-aa"))</f>
        <v>#NAME?</v>
      </c>
    </row>
    <row r="480" spans="1:29">
      <c r="A480" s="89">
        <v>46217.769444444442</v>
      </c>
      <c r="B480" s="90" t="s">
        <v>131</v>
      </c>
      <c r="C480" s="90" t="s">
        <v>132</v>
      </c>
      <c r="D480" s="90" t="s">
        <v>133</v>
      </c>
      <c r="E480" s="91">
        <v>46217</v>
      </c>
      <c r="F480" s="92">
        <v>195872</v>
      </c>
      <c r="G480" s="93" t="s">
        <v>1590</v>
      </c>
      <c r="H480" s="92">
        <v>195889</v>
      </c>
      <c r="I480" s="93" t="s">
        <v>1591</v>
      </c>
      <c r="J480" s="90" t="s">
        <v>1592</v>
      </c>
      <c r="K480" s="94"/>
      <c r="L480" s="90" t="s">
        <v>60</v>
      </c>
      <c r="M480" s="94"/>
      <c r="N480" s="94"/>
      <c r="O480" s="94"/>
      <c r="P480" s="94"/>
      <c r="Q480" s="94"/>
      <c r="R480" s="94"/>
      <c r="S480" s="94"/>
      <c r="T480" s="94"/>
      <c r="U480" s="85">
        <f>(Tabela1[[#This Row],[Informe o KM final do dia]]-Tabela1[[#This Row],[Informe o KM inicial do dia]])-Tabela1[[#This Row],[Caso tenha rodado particular alguma parte do trajeto, informe o total de KM a ser deduzido.]]</f>
        <v>17</v>
      </c>
      <c r="V480" s="86">
        <f>IF(Tabela1[[#This Row],[Informe a data]]&lt;DATE(2026,3,16), Tabela1[[#This Row],[KM Rodado]]*1.1, Tabela1[[#This Row],[KM Rodado]]*1.23)</f>
        <v>20.91</v>
      </c>
      <c r="W480" s="86">
        <f>IFERROR(SUBSTITUTE(Tabela1[[#This Row],[Pedágio]],".",",",1)*1,0)</f>
        <v>0</v>
      </c>
      <c r="X480" s="86">
        <f>IFERROR(SUBSTITUTE(Tabela1[[#This Row],[Estacionamento]],".",",",1)*1,0)</f>
        <v>0</v>
      </c>
      <c r="Y480" s="86">
        <f>IFERROR(SUBSTITUTE(Tabela1[[#This Row],[Despesas Diversas 
(Jantar em viagem, Impressões, Etc)]],".",",",1)*1,0)</f>
        <v>0</v>
      </c>
      <c r="Z480" s="86">
        <f>IFERROR(SUBSTITUTE(Tabela1[[#This Row],[Hospedagem]],".",",",1)*1,0)</f>
        <v>0</v>
      </c>
      <c r="AA480" s="56" t="str">
        <f>IF(DAY(Tabela1[[#This Row],[Informe a data]])&lt;=15,"1ª Quinzena","2ª Quinzena")</f>
        <v>1ª Quinzena</v>
      </c>
      <c r="AB480" s="56" t="str">
        <f>UPPER(TEXT(Tabela1[[#This Row],[Informe a data]],"mmmm"))</f>
        <v>JULHO</v>
      </c>
      <c r="AC480" s="87" t="e">
        <f ca="1">_xlfn.CONCAT(Tabela1[[#This Row],[Selecione o Usuário]]," - ",TEXT(Tabela1[[#This Row],[Informe a data]],"dd-mm-aa"))</f>
        <v>#NAME?</v>
      </c>
    </row>
    <row r="481" spans="1:29">
      <c r="A481" s="89">
        <v>46220.822916666664</v>
      </c>
      <c r="B481" s="90" t="s">
        <v>1634</v>
      </c>
      <c r="C481" s="90" t="s">
        <v>1635</v>
      </c>
      <c r="D481" s="90" t="s">
        <v>1636</v>
      </c>
      <c r="E481" s="91">
        <v>46217</v>
      </c>
      <c r="F481" s="92">
        <v>134265</v>
      </c>
      <c r="G481" s="93" t="s">
        <v>1640</v>
      </c>
      <c r="H481" s="92">
        <v>134422</v>
      </c>
      <c r="I481" s="93" t="s">
        <v>1641</v>
      </c>
      <c r="J481" s="90" t="s">
        <v>1642</v>
      </c>
      <c r="K481" s="94"/>
      <c r="L481" s="90" t="s">
        <v>60</v>
      </c>
      <c r="M481" s="94"/>
      <c r="N481" s="94"/>
      <c r="O481" s="94"/>
      <c r="P481" s="94"/>
      <c r="Q481" s="94"/>
      <c r="R481" s="94"/>
      <c r="S481" s="94"/>
      <c r="T481" s="94"/>
      <c r="U481" s="85">
        <f>(Tabela1[[#This Row],[Informe o KM final do dia]]-Tabela1[[#This Row],[Informe o KM inicial do dia]])-Tabela1[[#This Row],[Caso tenha rodado particular alguma parte do trajeto, informe o total de KM a ser deduzido.]]</f>
        <v>157</v>
      </c>
      <c r="V481" s="86">
        <f>IF(Tabela1[[#This Row],[Informe a data]]&lt;DATE(2026,3,16), Tabela1[[#This Row],[KM Rodado]]*1.1, Tabela1[[#This Row],[KM Rodado]]*1.23)</f>
        <v>193.10999999999999</v>
      </c>
      <c r="W481" s="86">
        <f>IFERROR(SUBSTITUTE(Tabela1[[#This Row],[Pedágio]],".",",",1)*1,0)</f>
        <v>0</v>
      </c>
      <c r="X481" s="86">
        <f>IFERROR(SUBSTITUTE(Tabela1[[#This Row],[Estacionamento]],".",",",1)*1,0)</f>
        <v>0</v>
      </c>
      <c r="Y481" s="86">
        <f>IFERROR(SUBSTITUTE(Tabela1[[#This Row],[Despesas Diversas 
(Jantar em viagem, Impressões, Etc)]],".",",",1)*1,0)</f>
        <v>0</v>
      </c>
      <c r="Z481" s="86">
        <f>IFERROR(SUBSTITUTE(Tabela1[[#This Row],[Hospedagem]],".",",",1)*1,0)</f>
        <v>0</v>
      </c>
      <c r="AA481" s="56" t="str">
        <f>IF(DAY(Tabela1[[#This Row],[Informe a data]])&lt;=15,"1ª Quinzena","2ª Quinzena")</f>
        <v>1ª Quinzena</v>
      </c>
      <c r="AB481" s="56" t="str">
        <f>UPPER(TEXT(Tabela1[[#This Row],[Informe a data]],"mmmm"))</f>
        <v>JULHO</v>
      </c>
      <c r="AC481" s="87" t="e">
        <f ca="1">_xlfn.CONCAT(Tabela1[[#This Row],[Selecione o Usuário]]," - ",TEXT(Tabela1[[#This Row],[Informe a data]],"dd-mm-aa"))</f>
        <v>#NAME?</v>
      </c>
    </row>
    <row r="482" spans="1:29">
      <c r="A482" s="89">
        <v>46218.695648148147</v>
      </c>
      <c r="B482" s="90" t="s">
        <v>1260</v>
      </c>
      <c r="C482" s="90" t="s">
        <v>505</v>
      </c>
      <c r="D482" s="90" t="s">
        <v>506</v>
      </c>
      <c r="E482" s="91">
        <v>46217</v>
      </c>
      <c r="F482" s="92">
        <v>107904</v>
      </c>
      <c r="G482" s="93" t="s">
        <v>1598</v>
      </c>
      <c r="H482" s="92">
        <v>107950</v>
      </c>
      <c r="I482" s="93" t="s">
        <v>1599</v>
      </c>
      <c r="J482" s="90" t="s">
        <v>1600</v>
      </c>
      <c r="K482" s="94"/>
      <c r="L482" s="90" t="s">
        <v>60</v>
      </c>
      <c r="M482" s="94"/>
      <c r="N482" s="94"/>
      <c r="O482" s="94"/>
      <c r="P482" s="94"/>
      <c r="Q482" s="94"/>
      <c r="R482" s="94"/>
      <c r="S482" s="94"/>
      <c r="T482" s="94"/>
      <c r="U482" s="85">
        <f>(Tabela1[[#This Row],[Informe o KM final do dia]]-Tabela1[[#This Row],[Informe o KM inicial do dia]])-Tabela1[[#This Row],[Caso tenha rodado particular alguma parte do trajeto, informe o total de KM a ser deduzido.]]</f>
        <v>46</v>
      </c>
      <c r="V482" s="86">
        <f>IF(Tabela1[[#This Row],[Informe a data]]&lt;DATE(2026,3,16), Tabela1[[#This Row],[KM Rodado]]*1.1, Tabela1[[#This Row],[KM Rodado]]*1.23)</f>
        <v>56.58</v>
      </c>
      <c r="W482" s="86">
        <f>IFERROR(SUBSTITUTE(Tabela1[[#This Row],[Pedágio]],".",",",1)*1,0)</f>
        <v>0</v>
      </c>
      <c r="X482" s="86">
        <f>IFERROR(SUBSTITUTE(Tabela1[[#This Row],[Estacionamento]],".",",",1)*1,0)</f>
        <v>0</v>
      </c>
      <c r="Y482" s="86">
        <f>IFERROR(SUBSTITUTE(Tabela1[[#This Row],[Despesas Diversas 
(Jantar em viagem, Impressões, Etc)]],".",",",1)*1,0)</f>
        <v>0</v>
      </c>
      <c r="Z482" s="86">
        <f>IFERROR(SUBSTITUTE(Tabela1[[#This Row],[Hospedagem]],".",",",1)*1,0)</f>
        <v>0</v>
      </c>
      <c r="AA482" s="56" t="str">
        <f>IF(DAY(Tabela1[[#This Row],[Informe a data]])&lt;=15,"1ª Quinzena","2ª Quinzena")</f>
        <v>1ª Quinzena</v>
      </c>
      <c r="AB482" s="56" t="str">
        <f>UPPER(TEXT(Tabela1[[#This Row],[Informe a data]],"mmmm"))</f>
        <v>JULHO</v>
      </c>
      <c r="AC482" s="87" t="e">
        <f ca="1">_xlfn.CONCAT(Tabela1[[#This Row],[Selecione o Usuário]]," - ",TEXT(Tabela1[[#This Row],[Informe a data]],"dd-mm-aa"))</f>
        <v>#NAME?</v>
      </c>
    </row>
    <row r="483" spans="1:29">
      <c r="A483" s="49">
        <v>46218.692314814813</v>
      </c>
      <c r="B483" s="50" t="s">
        <v>300</v>
      </c>
      <c r="C483" s="50" t="s">
        <v>250</v>
      </c>
      <c r="D483" s="50" t="s">
        <v>228</v>
      </c>
      <c r="E483" s="51">
        <v>46217</v>
      </c>
      <c r="F483" s="52">
        <v>135091</v>
      </c>
      <c r="G483" s="58" t="s">
        <v>1593</v>
      </c>
      <c r="H483" s="52">
        <v>135197</v>
      </c>
      <c r="I483" s="58" t="s">
        <v>1594</v>
      </c>
      <c r="J483" s="50" t="s">
        <v>1595</v>
      </c>
      <c r="K483" s="53"/>
      <c r="L483" s="50" t="s">
        <v>61</v>
      </c>
      <c r="M483" s="53"/>
      <c r="N483" s="53"/>
      <c r="O483" s="53"/>
      <c r="P483" s="53"/>
      <c r="Q483" s="50" t="s">
        <v>1596</v>
      </c>
      <c r="R483" s="50" t="s">
        <v>1597</v>
      </c>
      <c r="S483" s="53"/>
      <c r="T483" s="53"/>
      <c r="U483" s="85">
        <f>(Tabela1[[#This Row],[Informe o KM final do dia]]-Tabela1[[#This Row],[Informe o KM inicial do dia]])-Tabela1[[#This Row],[Caso tenha rodado particular alguma parte do trajeto, informe o total de KM a ser deduzido.]]</f>
        <v>106</v>
      </c>
      <c r="V483" s="86">
        <f>IF(Tabela1[[#This Row],[Informe a data]]&lt;DATE(2026,3,16), Tabela1[[#This Row],[KM Rodado]]*1.1, Tabela1[[#This Row],[KM Rodado]]*1.23)</f>
        <v>130.38</v>
      </c>
      <c r="W483" s="86">
        <f>IFERROR(SUBSTITUTE(Tabela1[[#This Row],[Pedágio]],".",",",1)*1,0)</f>
        <v>0</v>
      </c>
      <c r="X483" s="86">
        <f>IFERROR(SUBSTITUTE(Tabela1[[#This Row],[Estacionamento]],".",",",1)*1,0)</f>
        <v>0</v>
      </c>
      <c r="Y483" s="86">
        <f>IFERROR(SUBSTITUTE(Tabela1[[#This Row],[Despesas Diversas 
(Jantar em viagem, Impressões, Etc)]],".",",",1)*1,0)</f>
        <v>66.2</v>
      </c>
      <c r="Z483" s="86">
        <f>IFERROR(SUBSTITUTE(Tabela1[[#This Row],[Hospedagem]],".",",",1)*1,0)</f>
        <v>0</v>
      </c>
      <c r="AA483" s="56" t="str">
        <f>IF(DAY(Tabela1[[#This Row],[Informe a data]])&lt;=15,"1ª Quinzena","2ª Quinzena")</f>
        <v>1ª Quinzena</v>
      </c>
      <c r="AB483" s="56" t="str">
        <f>UPPER(TEXT(Tabela1[[#This Row],[Informe a data]],"mmmm"))</f>
        <v>JULHO</v>
      </c>
      <c r="AC483" s="87" t="e">
        <f ca="1">_xlfn.CONCAT(Tabela1[[#This Row],[Selecione o Usuário]]," - ",TEXT(Tabela1[[#This Row],[Informe a data]],"dd-mm-aa"))</f>
        <v>#NAME?</v>
      </c>
    </row>
    <row r="484" spans="1:29">
      <c r="A484" s="89">
        <v>46219.353750000002</v>
      </c>
      <c r="B484" s="90" t="s">
        <v>607</v>
      </c>
      <c r="C484" s="90" t="s">
        <v>136</v>
      </c>
      <c r="D484" s="90" t="s">
        <v>177</v>
      </c>
      <c r="E484" s="91">
        <v>46217</v>
      </c>
      <c r="F484" s="92">
        <v>176905</v>
      </c>
      <c r="G484" s="93" t="s">
        <v>1631</v>
      </c>
      <c r="H484" s="92">
        <v>177149</v>
      </c>
      <c r="I484" s="93" t="s">
        <v>1632</v>
      </c>
      <c r="J484" s="90" t="s">
        <v>1633</v>
      </c>
      <c r="K484" s="94"/>
      <c r="L484" s="90" t="s">
        <v>60</v>
      </c>
      <c r="M484" s="94"/>
      <c r="N484" s="94"/>
      <c r="O484" s="94"/>
      <c r="P484" s="94"/>
      <c r="Q484" s="94"/>
      <c r="R484" s="94"/>
      <c r="S484" s="94"/>
      <c r="T484" s="94"/>
      <c r="U484" s="85">
        <f>(Tabela1[[#This Row],[Informe o KM final do dia]]-Tabela1[[#This Row],[Informe o KM inicial do dia]])-Tabela1[[#This Row],[Caso tenha rodado particular alguma parte do trajeto, informe o total de KM a ser deduzido.]]</f>
        <v>244</v>
      </c>
      <c r="V484" s="86">
        <f>IF(Tabela1[[#This Row],[Informe a data]]&lt;DATE(2026,3,16), Tabela1[[#This Row],[KM Rodado]]*1.1, Tabela1[[#This Row],[KM Rodado]]*1.23)</f>
        <v>300.12</v>
      </c>
      <c r="W484" s="86">
        <f>IFERROR(SUBSTITUTE(Tabela1[[#This Row],[Pedágio]],".",",",1)*1,0)</f>
        <v>0</v>
      </c>
      <c r="X484" s="86">
        <f>IFERROR(SUBSTITUTE(Tabela1[[#This Row],[Estacionamento]],".",",",1)*1,0)</f>
        <v>0</v>
      </c>
      <c r="Y484" s="86">
        <f>IFERROR(SUBSTITUTE(Tabela1[[#This Row],[Despesas Diversas 
(Jantar em viagem, Impressões, Etc)]],".",",",1)*1,0)</f>
        <v>0</v>
      </c>
      <c r="Z484" s="86">
        <f>IFERROR(SUBSTITUTE(Tabela1[[#This Row],[Hospedagem]],".",",",1)*1,0)</f>
        <v>0</v>
      </c>
      <c r="AA484" s="56" t="str">
        <f>IF(DAY(Tabela1[[#This Row],[Informe a data]])&lt;=15,"1ª Quinzena","2ª Quinzena")</f>
        <v>1ª Quinzena</v>
      </c>
      <c r="AB484" s="56" t="str">
        <f>UPPER(TEXT(Tabela1[[#This Row],[Informe a data]],"mmmm"))</f>
        <v>JULHO</v>
      </c>
      <c r="AC484" s="87" t="e">
        <f ca="1">_xlfn.CONCAT(Tabela1[[#This Row],[Selecione o Usuário]]," - ",TEXT(Tabela1[[#This Row],[Informe a data]],"dd-mm-aa"))</f>
        <v>#NAME?</v>
      </c>
    </row>
    <row r="485" spans="1:29">
      <c r="A485" s="49">
        <v>46218.809131944443</v>
      </c>
      <c r="B485" s="50" t="s">
        <v>131</v>
      </c>
      <c r="C485" s="50" t="s">
        <v>132</v>
      </c>
      <c r="D485" s="50" t="s">
        <v>133</v>
      </c>
      <c r="E485" s="51">
        <v>46218</v>
      </c>
      <c r="F485" s="52">
        <v>195889</v>
      </c>
      <c r="G485" s="58" t="s">
        <v>1616</v>
      </c>
      <c r="H485" s="52">
        <v>195915</v>
      </c>
      <c r="I485" s="58" t="s">
        <v>1617</v>
      </c>
      <c r="J485" s="50" t="s">
        <v>1618</v>
      </c>
      <c r="K485" s="53"/>
      <c r="L485" s="50" t="s">
        <v>60</v>
      </c>
      <c r="M485" s="53"/>
      <c r="N485" s="53"/>
      <c r="O485" s="53"/>
      <c r="P485" s="53"/>
      <c r="Q485" s="53"/>
      <c r="R485" s="53"/>
      <c r="S485" s="53"/>
      <c r="T485" s="53"/>
      <c r="U485" s="85">
        <f>(Tabela1[[#This Row],[Informe o KM final do dia]]-Tabela1[[#This Row],[Informe o KM inicial do dia]])-Tabela1[[#This Row],[Caso tenha rodado particular alguma parte do trajeto, informe o total de KM a ser deduzido.]]</f>
        <v>26</v>
      </c>
      <c r="V485" s="86">
        <f>IF(Tabela1[[#This Row],[Informe a data]]&lt;DATE(2026,3,16), Tabela1[[#This Row],[KM Rodado]]*1.1, Tabela1[[#This Row],[KM Rodado]]*1.23)</f>
        <v>31.98</v>
      </c>
      <c r="W485" s="86">
        <f>IFERROR(SUBSTITUTE(Tabela1[[#This Row],[Pedágio]],".",",",1)*1,0)</f>
        <v>0</v>
      </c>
      <c r="X485" s="86">
        <f>IFERROR(SUBSTITUTE(Tabela1[[#This Row],[Estacionamento]],".",",",1)*1,0)</f>
        <v>0</v>
      </c>
      <c r="Y485" s="86">
        <f>IFERROR(SUBSTITUTE(Tabela1[[#This Row],[Despesas Diversas 
(Jantar em viagem, Impressões, Etc)]],".",",",1)*1,0)</f>
        <v>0</v>
      </c>
      <c r="Z485" s="86">
        <f>IFERROR(SUBSTITUTE(Tabela1[[#This Row],[Hospedagem]],".",",",1)*1,0)</f>
        <v>0</v>
      </c>
      <c r="AA485" s="56" t="str">
        <f>IF(DAY(Tabela1[[#This Row],[Informe a data]])&lt;=15,"1ª Quinzena","2ª Quinzena")</f>
        <v>1ª Quinzena</v>
      </c>
      <c r="AB485" s="56" t="str">
        <f>UPPER(TEXT(Tabela1[[#This Row],[Informe a data]],"mmmm"))</f>
        <v>JULHO</v>
      </c>
      <c r="AC485" s="87" t="e">
        <f ca="1">_xlfn.CONCAT(Tabela1[[#This Row],[Selecione o Usuário]]," - ",TEXT(Tabela1[[#This Row],[Informe a data]],"dd-mm-aa"))</f>
        <v>#NAME?</v>
      </c>
    </row>
    <row r="486" spans="1:29">
      <c r="A486" s="49">
        <v>46218.697812500002</v>
      </c>
      <c r="B486" s="50" t="s">
        <v>1260</v>
      </c>
      <c r="C486" s="50" t="s">
        <v>505</v>
      </c>
      <c r="D486" s="50" t="s">
        <v>506</v>
      </c>
      <c r="E486" s="51">
        <v>46218</v>
      </c>
      <c r="F486" s="52">
        <v>107959</v>
      </c>
      <c r="G486" s="58" t="s">
        <v>1601</v>
      </c>
      <c r="H486" s="52">
        <v>108059</v>
      </c>
      <c r="I486" s="58" t="s">
        <v>1602</v>
      </c>
      <c r="J486" s="50" t="s">
        <v>1603</v>
      </c>
      <c r="K486" s="53"/>
      <c r="L486" s="50" t="s">
        <v>61</v>
      </c>
      <c r="M486" s="53"/>
      <c r="N486" s="53"/>
      <c r="O486" s="50" t="s">
        <v>69</v>
      </c>
      <c r="P486" s="58" t="s">
        <v>1604</v>
      </c>
      <c r="Q486" s="53"/>
      <c r="R486" s="53"/>
      <c r="S486" s="53"/>
      <c r="T486" s="53"/>
      <c r="U486" s="85">
        <f>(Tabela1[[#This Row],[Informe o KM final do dia]]-Tabela1[[#This Row],[Informe o KM inicial do dia]])-Tabela1[[#This Row],[Caso tenha rodado particular alguma parte do trajeto, informe o total de KM a ser deduzido.]]</f>
        <v>100</v>
      </c>
      <c r="V486" s="86">
        <f>IF(Tabela1[[#This Row],[Informe a data]]&lt;DATE(2026,3,16), Tabela1[[#This Row],[KM Rodado]]*1.1, Tabela1[[#This Row],[KM Rodado]]*1.23)</f>
        <v>123</v>
      </c>
      <c r="W486" s="86">
        <f>IFERROR(SUBSTITUTE(Tabela1[[#This Row],[Pedágio]],".",",",1)*1,0)</f>
        <v>0</v>
      </c>
      <c r="X486" s="86">
        <f>IFERROR(SUBSTITUTE(Tabela1[[#This Row],[Estacionamento]],".",",",1)*1,0)</f>
        <v>18</v>
      </c>
      <c r="Y486" s="86">
        <f>IFERROR(SUBSTITUTE(Tabela1[[#This Row],[Despesas Diversas 
(Jantar em viagem, Impressões, Etc)]],".",",",1)*1,0)</f>
        <v>0</v>
      </c>
      <c r="Z486" s="86">
        <f>IFERROR(SUBSTITUTE(Tabela1[[#This Row],[Hospedagem]],".",",",1)*1,0)</f>
        <v>0</v>
      </c>
      <c r="AA486" s="56" t="str">
        <f>IF(DAY(Tabela1[[#This Row],[Informe a data]])&lt;=15,"1ª Quinzena","2ª Quinzena")</f>
        <v>1ª Quinzena</v>
      </c>
      <c r="AB486" s="56" t="str">
        <f>UPPER(TEXT(Tabela1[[#This Row],[Informe a data]],"mmmm"))</f>
        <v>JULHO</v>
      </c>
      <c r="AC486" s="87" t="e">
        <f ca="1">_xlfn.CONCAT(Tabela1[[#This Row],[Selecione o Usuário]]," - ",TEXT(Tabela1[[#This Row],[Informe a data]],"dd-mm-aa"))</f>
        <v>#NAME?</v>
      </c>
    </row>
    <row r="487" spans="1:29">
      <c r="A487" s="89">
        <v>46218.811863425923</v>
      </c>
      <c r="B487" s="90" t="s">
        <v>1605</v>
      </c>
      <c r="C487" s="90" t="s">
        <v>1696</v>
      </c>
      <c r="D487" s="90" t="s">
        <v>1606</v>
      </c>
      <c r="E487" s="91">
        <v>46218</v>
      </c>
      <c r="F487" s="92">
        <v>118564</v>
      </c>
      <c r="G487" s="93" t="s">
        <v>1619</v>
      </c>
      <c r="H487" s="92">
        <v>118688</v>
      </c>
      <c r="I487" s="93" t="s">
        <v>1620</v>
      </c>
      <c r="J487" s="90" t="s">
        <v>1621</v>
      </c>
      <c r="K487" s="94"/>
      <c r="L487" s="90" t="s">
        <v>60</v>
      </c>
      <c r="M487" s="94"/>
      <c r="N487" s="94"/>
      <c r="O487" s="94"/>
      <c r="P487" s="94"/>
      <c r="Q487" s="94"/>
      <c r="R487" s="94"/>
      <c r="S487" s="94"/>
      <c r="T487" s="94"/>
      <c r="U487" s="85">
        <f>(Tabela1[[#This Row],[Informe o KM final do dia]]-Tabela1[[#This Row],[Informe o KM inicial do dia]])-Tabela1[[#This Row],[Caso tenha rodado particular alguma parte do trajeto, informe o total de KM a ser deduzido.]]</f>
        <v>124</v>
      </c>
      <c r="V487" s="86">
        <f>IF(Tabela1[[#This Row],[Informe a data]]&lt;DATE(2026,3,16), Tabela1[[#This Row],[KM Rodado]]*1.1, Tabela1[[#This Row],[KM Rodado]]*1.23)</f>
        <v>152.52000000000001</v>
      </c>
      <c r="W487" s="86">
        <f>IFERROR(SUBSTITUTE(Tabela1[[#This Row],[Pedágio]],".",",",1)*1,0)</f>
        <v>0</v>
      </c>
      <c r="X487" s="86">
        <f>IFERROR(SUBSTITUTE(Tabela1[[#This Row],[Estacionamento]],".",",",1)*1,0)</f>
        <v>0</v>
      </c>
      <c r="Y487" s="86">
        <f>IFERROR(SUBSTITUTE(Tabela1[[#This Row],[Despesas Diversas 
(Jantar em viagem, Impressões, Etc)]],".",",",1)*1,0)</f>
        <v>0</v>
      </c>
      <c r="Z487" s="86">
        <f>IFERROR(SUBSTITUTE(Tabela1[[#This Row],[Hospedagem]],".",",",1)*1,0)</f>
        <v>0</v>
      </c>
      <c r="AA487" s="56" t="str">
        <f>IF(DAY(Tabela1[[#This Row],[Informe a data]])&lt;=15,"1ª Quinzena","2ª Quinzena")</f>
        <v>1ª Quinzena</v>
      </c>
      <c r="AB487" s="56" t="str">
        <f>UPPER(TEXT(Tabela1[[#This Row],[Informe a data]],"mmmm"))</f>
        <v>JULHO</v>
      </c>
      <c r="AC487" s="87" t="e">
        <f ca="1">_xlfn.CONCAT(Tabela1[[#This Row],[Selecione o Usuário]]," - ",TEXT(Tabela1[[#This Row],[Informe a data]],"dd-mm-aa"))</f>
        <v>#NAME?</v>
      </c>
    </row>
    <row r="488" spans="1:29">
      <c r="A488" s="89">
        <v>46220.430520833332</v>
      </c>
      <c r="B488" s="90" t="s">
        <v>131</v>
      </c>
      <c r="C488" s="90" t="s">
        <v>132</v>
      </c>
      <c r="D488" s="90" t="s">
        <v>133</v>
      </c>
      <c r="E488" s="91">
        <v>46219</v>
      </c>
      <c r="F488" s="92">
        <v>195915</v>
      </c>
      <c r="G488" s="93" t="s">
        <v>1648</v>
      </c>
      <c r="H488" s="92">
        <v>196105</v>
      </c>
      <c r="I488" s="93" t="s">
        <v>1649</v>
      </c>
      <c r="J488" s="90" t="s">
        <v>1650</v>
      </c>
      <c r="K488" s="94"/>
      <c r="L488" s="90" t="s">
        <v>61</v>
      </c>
      <c r="M488" s="90" t="s">
        <v>291</v>
      </c>
      <c r="N488" s="93" t="s">
        <v>1651</v>
      </c>
      <c r="O488" s="90" t="s">
        <v>361</v>
      </c>
      <c r="P488" s="93" t="s">
        <v>1652</v>
      </c>
      <c r="Q488" s="90" t="s">
        <v>1653</v>
      </c>
      <c r="R488" s="90" t="s">
        <v>1654</v>
      </c>
      <c r="S488" s="90"/>
      <c r="T488" s="94"/>
      <c r="U488" s="85">
        <f>(Tabela1[[#This Row],[Informe o KM final do dia]]-Tabela1[[#This Row],[Informe o KM inicial do dia]])-Tabela1[[#This Row],[Caso tenha rodado particular alguma parte do trajeto, informe o total de KM a ser deduzido.]]</f>
        <v>190</v>
      </c>
      <c r="V488" s="86">
        <f>IF(Tabela1[[#This Row],[Informe a data]]&lt;DATE(2026,3,16), Tabela1[[#This Row],[KM Rodado]]*1.1, Tabela1[[#This Row],[KM Rodado]]*1.23)</f>
        <v>233.7</v>
      </c>
      <c r="W488" s="86">
        <f>IFERROR(SUBSTITUTE(Tabela1[[#This Row],[Pedágio]],".",",",1)*1,0)</f>
        <v>5.7</v>
      </c>
      <c r="X488" s="86">
        <f>IFERROR(SUBSTITUTE(Tabela1[[#This Row],[Estacionamento]],".",",",1)*1,0)</f>
        <v>35</v>
      </c>
      <c r="Y488" s="86">
        <f>IFERROR(SUBSTITUTE(Tabela1[[#This Row],[Despesas Diversas 
(Jantar em viagem, Impressões, Etc)]],".",",",1)*1,0)</f>
        <v>57.8</v>
      </c>
      <c r="Z488" s="86">
        <f>IFERROR(SUBSTITUTE(Tabela1[[#This Row],[Hospedagem]],".",",",1)*1,0)</f>
        <v>0</v>
      </c>
      <c r="AA488" s="56" t="str">
        <f>IF(DAY(Tabela1[[#This Row],[Informe a data]])&lt;=15,"1ª Quinzena","2ª Quinzena")</f>
        <v>2ª Quinzena</v>
      </c>
      <c r="AB488" s="56" t="str">
        <f>UPPER(TEXT(Tabela1[[#This Row],[Informe a data]],"mmmm"))</f>
        <v>JULHO</v>
      </c>
      <c r="AC488" s="87" t="e">
        <f ca="1">_xlfn.CONCAT(Tabela1[[#This Row],[Selecione o Usuário]]," - ",TEXT(Tabela1[[#This Row],[Informe a data]],"dd-mm-aa"))</f>
        <v>#NAME?</v>
      </c>
    </row>
    <row r="489" spans="1:29">
      <c r="A489" s="49">
        <v>46233.538958333331</v>
      </c>
      <c r="B489" s="50" t="s">
        <v>1260</v>
      </c>
      <c r="C489" s="50" t="s">
        <v>505</v>
      </c>
      <c r="D489" s="50" t="s">
        <v>506</v>
      </c>
      <c r="E489" s="51">
        <v>46219</v>
      </c>
      <c r="F489" s="52">
        <v>107959</v>
      </c>
      <c r="G489" s="58" t="s">
        <v>1655</v>
      </c>
      <c r="H489" s="52">
        <v>108059</v>
      </c>
      <c r="I489" s="58" t="s">
        <v>1656</v>
      </c>
      <c r="J489" s="50" t="s">
        <v>1657</v>
      </c>
      <c r="K489" s="53"/>
      <c r="L489" s="50" t="s">
        <v>60</v>
      </c>
      <c r="M489" s="53"/>
      <c r="N489" s="53"/>
      <c r="O489" s="53"/>
      <c r="P489" s="53"/>
      <c r="Q489" s="53"/>
      <c r="R489" s="53"/>
      <c r="S489" s="53"/>
      <c r="T489" s="53"/>
      <c r="U489" s="85">
        <f>(Tabela1[[#This Row],[Informe o KM final do dia]]-Tabela1[[#This Row],[Informe o KM inicial do dia]])-Tabela1[[#This Row],[Caso tenha rodado particular alguma parte do trajeto, informe o total de KM a ser deduzido.]]</f>
        <v>100</v>
      </c>
      <c r="V489" s="86">
        <f>IF(Tabela1[[#This Row],[Informe a data]]&lt;DATE(2026,3,16), Tabela1[[#This Row],[KM Rodado]]*1.1, Tabela1[[#This Row],[KM Rodado]]*1.23)</f>
        <v>123</v>
      </c>
      <c r="W489" s="86">
        <f>IFERROR(SUBSTITUTE(Tabela1[[#This Row],[Pedágio]],".",",",1)*1,0)</f>
        <v>0</v>
      </c>
      <c r="X489" s="86">
        <f>IFERROR(SUBSTITUTE(Tabela1[[#This Row],[Estacionamento]],".",",",1)*1,0)</f>
        <v>0</v>
      </c>
      <c r="Y489" s="86">
        <f>IFERROR(SUBSTITUTE(Tabela1[[#This Row],[Despesas Diversas 
(Jantar em viagem, Impressões, Etc)]],".",",",1)*1,0)</f>
        <v>0</v>
      </c>
      <c r="Z489" s="86">
        <f>IFERROR(SUBSTITUTE(Tabela1[[#This Row],[Hospedagem]],".",",",1)*1,0)</f>
        <v>0</v>
      </c>
      <c r="AA489" s="56" t="str">
        <f>IF(DAY(Tabela1[[#This Row],[Informe a data]])&lt;=15,"1ª Quinzena","2ª Quinzena")</f>
        <v>2ª Quinzena</v>
      </c>
      <c r="AB489" s="56" t="str">
        <f>UPPER(TEXT(Tabela1[[#This Row],[Informe a data]],"mmmm"))</f>
        <v>JULHO</v>
      </c>
      <c r="AC489" s="87" t="e">
        <f ca="1">_xlfn.CONCAT(Tabela1[[#This Row],[Selecione o Usuário]]," - ",TEXT(Tabela1[[#This Row],[Informe a data]],"dd-mm-aa"))</f>
        <v>#NAME?</v>
      </c>
    </row>
    <row r="490" spans="1:29">
      <c r="A490" s="49">
        <v>46219.870810185188</v>
      </c>
      <c r="B490" s="50" t="s">
        <v>1605</v>
      </c>
      <c r="C490" s="90" t="s">
        <v>1696</v>
      </c>
      <c r="D490" s="50" t="s">
        <v>1606</v>
      </c>
      <c r="E490" s="51">
        <v>46219</v>
      </c>
      <c r="F490" s="52">
        <v>118747</v>
      </c>
      <c r="G490" s="58" t="s">
        <v>1645</v>
      </c>
      <c r="H490" s="52">
        <v>118895</v>
      </c>
      <c r="I490" s="58" t="s">
        <v>1646</v>
      </c>
      <c r="J490" s="50" t="s">
        <v>1647</v>
      </c>
      <c r="K490" s="53"/>
      <c r="L490" s="50" t="s">
        <v>60</v>
      </c>
      <c r="M490" s="53"/>
      <c r="N490" s="53"/>
      <c r="O490" s="53"/>
      <c r="P490" s="53"/>
      <c r="Q490" s="53"/>
      <c r="R490" s="53"/>
      <c r="S490" s="53"/>
      <c r="T490" s="53"/>
      <c r="U490" s="85">
        <f>(Tabela1[[#This Row],[Informe o KM final do dia]]-Tabela1[[#This Row],[Informe o KM inicial do dia]])-Tabela1[[#This Row],[Caso tenha rodado particular alguma parte do trajeto, informe o total de KM a ser deduzido.]]</f>
        <v>148</v>
      </c>
      <c r="V490" s="86">
        <f>IF(Tabela1[[#This Row],[Informe a data]]&lt;DATE(2026,3,16), Tabela1[[#This Row],[KM Rodado]]*1.1, Tabela1[[#This Row],[KM Rodado]]*1.23)</f>
        <v>182.04</v>
      </c>
      <c r="W490" s="86">
        <f>IFERROR(SUBSTITUTE(Tabela1[[#This Row],[Pedágio]],".",",",1)*1,0)</f>
        <v>0</v>
      </c>
      <c r="X490" s="86">
        <f>IFERROR(SUBSTITUTE(Tabela1[[#This Row],[Estacionamento]],".",",",1)*1,0)</f>
        <v>0</v>
      </c>
      <c r="Y490" s="86">
        <f>IFERROR(SUBSTITUTE(Tabela1[[#This Row],[Despesas Diversas 
(Jantar em viagem, Impressões, Etc)]],".",",",1)*1,0)</f>
        <v>0</v>
      </c>
      <c r="Z490" s="86">
        <f>IFERROR(SUBSTITUTE(Tabela1[[#This Row],[Hospedagem]],".",",",1)*1,0)</f>
        <v>0</v>
      </c>
      <c r="AA490" s="56" t="str">
        <f>IF(DAY(Tabela1[[#This Row],[Informe a data]])&lt;=15,"1ª Quinzena","2ª Quinzena")</f>
        <v>2ª Quinzena</v>
      </c>
      <c r="AB490" s="56" t="str">
        <f>UPPER(TEXT(Tabela1[[#This Row],[Informe a data]],"mmmm"))</f>
        <v>JULHO</v>
      </c>
      <c r="AC490" s="87" t="e">
        <f ca="1">_xlfn.CONCAT(Tabela1[[#This Row],[Selecione o Usuário]]," - ",TEXT(Tabela1[[#This Row],[Informe a data]],"dd-mm-aa"))</f>
        <v>#NAME?</v>
      </c>
    </row>
    <row r="491" spans="1:29">
      <c r="A491" s="89">
        <v>46220.972627314812</v>
      </c>
      <c r="B491" s="90" t="s">
        <v>131</v>
      </c>
      <c r="C491" s="90" t="s">
        <v>132</v>
      </c>
      <c r="D491" s="90" t="s">
        <v>133</v>
      </c>
      <c r="E491" s="91">
        <v>46220</v>
      </c>
      <c r="F491" s="92">
        <v>196105</v>
      </c>
      <c r="G491" s="93" t="s">
        <v>1658</v>
      </c>
      <c r="H491" s="92">
        <v>196293</v>
      </c>
      <c r="I491" s="93" t="s">
        <v>1659</v>
      </c>
      <c r="J491" s="90" t="s">
        <v>1660</v>
      </c>
      <c r="K491" s="94"/>
      <c r="L491" s="90" t="s">
        <v>61</v>
      </c>
      <c r="M491" s="94"/>
      <c r="N491" s="94"/>
      <c r="O491" s="94"/>
      <c r="P491" s="94"/>
      <c r="Q491" s="90" t="s">
        <v>1661</v>
      </c>
      <c r="R491" s="94"/>
      <c r="S491" s="94"/>
      <c r="T491" s="94"/>
      <c r="U491" s="85">
        <f>(Tabela1[[#This Row],[Informe o KM final do dia]]-Tabela1[[#This Row],[Informe o KM inicial do dia]])-Tabela1[[#This Row],[Caso tenha rodado particular alguma parte do trajeto, informe o total de KM a ser deduzido.]]</f>
        <v>188</v>
      </c>
      <c r="V491" s="86">
        <f>IF(Tabela1[[#This Row],[Informe a data]]&lt;DATE(2026,3,16), Tabela1[[#This Row],[KM Rodado]]*1.1, Tabela1[[#This Row],[KM Rodado]]*1.23)</f>
        <v>231.24</v>
      </c>
      <c r="W491" s="86">
        <f>IFERROR(SUBSTITUTE(Tabela1[[#This Row],[Pedágio]],".",",",1)*1,0)</f>
        <v>0</v>
      </c>
      <c r="X491" s="86">
        <f>IFERROR(SUBSTITUTE(Tabela1[[#This Row],[Estacionamento]],".",",",1)*1,0)</f>
        <v>0</v>
      </c>
      <c r="Y491" s="86">
        <f>IFERROR(SUBSTITUTE(Tabela1[[#This Row],[Despesas Diversas 
(Jantar em viagem, Impressões, Etc)]],".",",",1)*1,0)</f>
        <v>27</v>
      </c>
      <c r="Z491" s="86">
        <f>IFERROR(SUBSTITUTE(Tabela1[[#This Row],[Hospedagem]],".",",",1)*1,0)</f>
        <v>0</v>
      </c>
      <c r="AA491" s="56" t="str">
        <f>IF(DAY(Tabela1[[#This Row],[Informe a data]])&lt;=15,"1ª Quinzena","2ª Quinzena")</f>
        <v>2ª Quinzena</v>
      </c>
      <c r="AB491" s="56" t="str">
        <f>UPPER(TEXT(Tabela1[[#This Row],[Informe a data]],"mmmm"))</f>
        <v>JULHO</v>
      </c>
      <c r="AC491" s="87" t="e">
        <f ca="1">_xlfn.CONCAT(Tabela1[[#This Row],[Selecione o Usuário]]," - ",TEXT(Tabela1[[#This Row],[Informe a data]],"dd-mm-aa"))</f>
        <v>#NAME?</v>
      </c>
    </row>
    <row r="492" spans="1:29">
      <c r="A492" s="49">
        <v>46233.540601851855</v>
      </c>
      <c r="B492" s="50" t="s">
        <v>1260</v>
      </c>
      <c r="C492" s="50" t="s">
        <v>505</v>
      </c>
      <c r="D492" s="50" t="s">
        <v>506</v>
      </c>
      <c r="E492" s="51">
        <v>46220</v>
      </c>
      <c r="F492" s="52">
        <v>108086</v>
      </c>
      <c r="G492" s="58" t="s">
        <v>1668</v>
      </c>
      <c r="H492" s="52">
        <v>108255</v>
      </c>
      <c r="I492" s="58" t="s">
        <v>1669</v>
      </c>
      <c r="J492" s="50" t="s">
        <v>1670</v>
      </c>
      <c r="K492" s="53"/>
      <c r="L492" s="50" t="s">
        <v>60</v>
      </c>
      <c r="M492" s="53"/>
      <c r="N492" s="53"/>
      <c r="O492" s="53"/>
      <c r="P492" s="53"/>
      <c r="Q492" s="53"/>
      <c r="R492" s="53"/>
      <c r="S492" s="53"/>
      <c r="T492" s="53"/>
      <c r="U492" s="85">
        <f>(Tabela1[[#This Row],[Informe o KM final do dia]]-Tabela1[[#This Row],[Informe o KM inicial do dia]])-Tabela1[[#This Row],[Caso tenha rodado particular alguma parte do trajeto, informe o total de KM a ser deduzido.]]</f>
        <v>169</v>
      </c>
      <c r="V492" s="86">
        <f>IF(Tabela1[[#This Row],[Informe a data]]&lt;DATE(2026,3,16), Tabela1[[#This Row],[KM Rodado]]*1.1, Tabela1[[#This Row],[KM Rodado]]*1.23)</f>
        <v>207.87</v>
      </c>
      <c r="W492" s="86">
        <f>IFERROR(SUBSTITUTE(Tabela1[[#This Row],[Pedágio]],".",",",1)*1,0)</f>
        <v>0</v>
      </c>
      <c r="X492" s="86">
        <f>IFERROR(SUBSTITUTE(Tabela1[[#This Row],[Estacionamento]],".",",",1)*1,0)</f>
        <v>0</v>
      </c>
      <c r="Y492" s="86">
        <f>IFERROR(SUBSTITUTE(Tabela1[[#This Row],[Despesas Diversas 
(Jantar em viagem, Impressões, Etc)]],".",",",1)*1,0)</f>
        <v>0</v>
      </c>
      <c r="Z492" s="86">
        <f>IFERROR(SUBSTITUTE(Tabela1[[#This Row],[Hospedagem]],".",",",1)*1,0)</f>
        <v>0</v>
      </c>
      <c r="AA492" s="56" t="str">
        <f>IF(DAY(Tabela1[[#This Row],[Informe a data]])&lt;=15,"1ª Quinzena","2ª Quinzena")</f>
        <v>2ª Quinzena</v>
      </c>
      <c r="AB492" s="56" t="str">
        <f>UPPER(TEXT(Tabela1[[#This Row],[Informe a data]],"mmmm"))</f>
        <v>JULHO</v>
      </c>
      <c r="AC492" s="87" t="e">
        <f ca="1">_xlfn.CONCAT(Tabela1[[#This Row],[Selecione o Usuário]]," - ",TEXT(Tabela1[[#This Row],[Informe a data]],"dd-mm-aa"))</f>
        <v>#NAME?</v>
      </c>
    </row>
    <row r="493" spans="1:29">
      <c r="A493" s="49">
        <v>46222.537430555552</v>
      </c>
      <c r="B493" s="50" t="s">
        <v>300</v>
      </c>
      <c r="C493" s="50" t="s">
        <v>250</v>
      </c>
      <c r="D493" s="50" t="s">
        <v>228</v>
      </c>
      <c r="E493" s="51">
        <v>46220</v>
      </c>
      <c r="F493" s="52">
        <v>135317</v>
      </c>
      <c r="G493" s="58" t="s">
        <v>1662</v>
      </c>
      <c r="H493" s="52">
        <v>135386</v>
      </c>
      <c r="I493" s="58" t="s">
        <v>1663</v>
      </c>
      <c r="J493" s="50" t="s">
        <v>1664</v>
      </c>
      <c r="K493" s="53"/>
      <c r="L493" s="50" t="s">
        <v>60</v>
      </c>
      <c r="M493" s="53"/>
      <c r="N493" s="53"/>
      <c r="O493" s="53"/>
      <c r="P493" s="53"/>
      <c r="Q493" s="53"/>
      <c r="R493" s="53"/>
      <c r="S493" s="53"/>
      <c r="T493" s="53"/>
      <c r="U493" s="85">
        <f>(Tabela1[[#This Row],[Informe o KM final do dia]]-Tabela1[[#This Row],[Informe o KM inicial do dia]])-Tabela1[[#This Row],[Caso tenha rodado particular alguma parte do trajeto, informe o total de KM a ser deduzido.]]</f>
        <v>69</v>
      </c>
      <c r="V493" s="86">
        <f>IF(Tabela1[[#This Row],[Informe a data]]&lt;DATE(2026,3,16), Tabela1[[#This Row],[KM Rodado]]*1.1, Tabela1[[#This Row],[KM Rodado]]*1.23)</f>
        <v>84.87</v>
      </c>
      <c r="W493" s="86">
        <f>IFERROR(SUBSTITUTE(Tabela1[[#This Row],[Pedágio]],".",",",1)*1,0)</f>
        <v>0</v>
      </c>
      <c r="X493" s="86">
        <f>IFERROR(SUBSTITUTE(Tabela1[[#This Row],[Estacionamento]],".",",",1)*1,0)</f>
        <v>0</v>
      </c>
      <c r="Y493" s="86">
        <f>IFERROR(SUBSTITUTE(Tabela1[[#This Row],[Despesas Diversas 
(Jantar em viagem, Impressões, Etc)]],".",",",1)*1,0)</f>
        <v>0</v>
      </c>
      <c r="Z493" s="86">
        <f>IFERROR(SUBSTITUTE(Tabela1[[#This Row],[Hospedagem]],".",",",1)*1,0)</f>
        <v>0</v>
      </c>
      <c r="AA493" s="56" t="str">
        <f>IF(DAY(Tabela1[[#This Row],[Informe a data]])&lt;=15,"1ª Quinzena","2ª Quinzena")</f>
        <v>2ª Quinzena</v>
      </c>
      <c r="AB493" s="56" t="str">
        <f>UPPER(TEXT(Tabela1[[#This Row],[Informe a data]],"mmmm"))</f>
        <v>JULHO</v>
      </c>
      <c r="AC493" s="87" t="e">
        <f ca="1">_xlfn.CONCAT(Tabela1[[#This Row],[Selecione o Usuário]]," - ",TEXT(Tabela1[[#This Row],[Informe a data]],"dd-mm-aa"))</f>
        <v>#NAME?</v>
      </c>
    </row>
    <row r="494" spans="1:29">
      <c r="A494" s="89">
        <v>46222.542893518519</v>
      </c>
      <c r="B494" s="90" t="s">
        <v>300</v>
      </c>
      <c r="C494" s="90" t="s">
        <v>250</v>
      </c>
      <c r="D494" s="90" t="s">
        <v>228</v>
      </c>
      <c r="E494" s="91">
        <v>46220</v>
      </c>
      <c r="F494" s="92">
        <v>135386</v>
      </c>
      <c r="G494" s="93" t="s">
        <v>1665</v>
      </c>
      <c r="H494" s="92">
        <v>135519</v>
      </c>
      <c r="I494" s="93" t="s">
        <v>1666</v>
      </c>
      <c r="J494" s="90" t="s">
        <v>1667</v>
      </c>
      <c r="K494" s="94"/>
      <c r="L494" s="90" t="s">
        <v>60</v>
      </c>
      <c r="M494" s="94"/>
      <c r="N494" s="94"/>
      <c r="O494" s="94"/>
      <c r="P494" s="94"/>
      <c r="Q494" s="94"/>
      <c r="R494" s="94"/>
      <c r="S494" s="94"/>
      <c r="T494" s="94"/>
      <c r="U494" s="85">
        <f>(Tabela1[[#This Row],[Informe o KM final do dia]]-Tabela1[[#This Row],[Informe o KM inicial do dia]])-Tabela1[[#This Row],[Caso tenha rodado particular alguma parte do trajeto, informe o total de KM a ser deduzido.]]</f>
        <v>133</v>
      </c>
      <c r="V494" s="86">
        <f>IF(Tabela1[[#This Row],[Informe a data]]&lt;DATE(2026,3,16), Tabela1[[#This Row],[KM Rodado]]*1.1, Tabela1[[#This Row],[KM Rodado]]*1.23)</f>
        <v>163.59</v>
      </c>
      <c r="W494" s="86">
        <f>IFERROR(SUBSTITUTE(Tabela1[[#This Row],[Pedágio]],".",",",1)*1,0)</f>
        <v>0</v>
      </c>
      <c r="X494" s="86">
        <f>IFERROR(SUBSTITUTE(Tabela1[[#This Row],[Estacionamento]],".",",",1)*1,0)</f>
        <v>0</v>
      </c>
      <c r="Y494" s="86">
        <f>IFERROR(SUBSTITUTE(Tabela1[[#This Row],[Despesas Diversas 
(Jantar em viagem, Impressões, Etc)]],".",",",1)*1,0)</f>
        <v>0</v>
      </c>
      <c r="Z494" s="86">
        <f>IFERROR(SUBSTITUTE(Tabela1[[#This Row],[Hospedagem]],".",",",1)*1,0)</f>
        <v>0</v>
      </c>
      <c r="AA494" s="56" t="str">
        <f>IF(DAY(Tabela1[[#This Row],[Informe a data]])&lt;=15,"1ª Quinzena","2ª Quinzena")</f>
        <v>2ª Quinzena</v>
      </c>
      <c r="AB494" s="56" t="str">
        <f>UPPER(TEXT(Tabela1[[#This Row],[Informe a data]],"mmmm"))</f>
        <v>JULHO</v>
      </c>
      <c r="AC494" s="87" t="e">
        <f ca="1">_xlfn.CONCAT(Tabela1[[#This Row],[Selecione o Usuário]]," - ",TEXT(Tabela1[[#This Row],[Informe a data]],"dd-mm-aa"))</f>
        <v>#NAME?</v>
      </c>
    </row>
    <row r="495" spans="1:29">
      <c r="A495" s="89">
        <v>46233.542766203704</v>
      </c>
      <c r="B495" s="90" t="s">
        <v>1260</v>
      </c>
      <c r="C495" s="90" t="s">
        <v>505</v>
      </c>
      <c r="D495" s="90" t="s">
        <v>506</v>
      </c>
      <c r="E495" s="91">
        <v>46221</v>
      </c>
      <c r="F495" s="92">
        <v>108258</v>
      </c>
      <c r="G495" s="93" t="s">
        <v>1671</v>
      </c>
      <c r="H495" s="92">
        <v>108351</v>
      </c>
      <c r="I495" s="93" t="s">
        <v>1672</v>
      </c>
      <c r="J495" s="90" t="s">
        <v>1657</v>
      </c>
      <c r="K495" s="94"/>
      <c r="L495" s="90" t="s">
        <v>60</v>
      </c>
      <c r="M495" s="94"/>
      <c r="N495" s="94"/>
      <c r="O495" s="94"/>
      <c r="P495" s="94"/>
      <c r="Q495" s="94"/>
      <c r="R495" s="94"/>
      <c r="S495" s="94"/>
      <c r="T495" s="94"/>
      <c r="U495" s="85">
        <f>(Tabela1[[#This Row],[Informe o KM final do dia]]-Tabela1[[#This Row],[Informe o KM inicial do dia]])-Tabela1[[#This Row],[Caso tenha rodado particular alguma parte do trajeto, informe o total de KM a ser deduzido.]]</f>
        <v>93</v>
      </c>
      <c r="V495" s="86">
        <f>IF(Tabela1[[#This Row],[Informe a data]]&lt;DATE(2026,3,16), Tabela1[[#This Row],[KM Rodado]]*1.1, Tabela1[[#This Row],[KM Rodado]]*1.23)</f>
        <v>114.39</v>
      </c>
      <c r="W495" s="86">
        <f>IFERROR(SUBSTITUTE(Tabela1[[#This Row],[Pedágio]],".",",",1)*1,0)</f>
        <v>0</v>
      </c>
      <c r="X495" s="86">
        <f>IFERROR(SUBSTITUTE(Tabela1[[#This Row],[Estacionamento]],".",",",1)*1,0)</f>
        <v>0</v>
      </c>
      <c r="Y495" s="86">
        <f>IFERROR(SUBSTITUTE(Tabela1[[#This Row],[Despesas Diversas 
(Jantar em viagem, Impressões, Etc)]],".",",",1)*1,0)</f>
        <v>0</v>
      </c>
      <c r="Z495" s="86">
        <f>IFERROR(SUBSTITUTE(Tabela1[[#This Row],[Hospedagem]],".",",",1)*1,0)</f>
        <v>0</v>
      </c>
      <c r="AA495" s="56" t="str">
        <f>IF(DAY(Tabela1[[#This Row],[Informe a data]])&lt;=15,"1ª Quinzena","2ª Quinzena")</f>
        <v>2ª Quinzena</v>
      </c>
      <c r="AB495" s="56" t="str">
        <f>UPPER(TEXT(Tabela1[[#This Row],[Informe a data]],"mmmm"))</f>
        <v>JULHO</v>
      </c>
      <c r="AC495" s="87" t="e">
        <f ca="1">_xlfn.CONCAT(Tabela1[[#This Row],[Selecione o Usuário]]," - ",TEXT(Tabela1[[#This Row],[Informe a data]],"dd-mm-aa"))</f>
        <v>#NAME?</v>
      </c>
    </row>
    <row r="496" spans="1:29">
      <c r="A496" s="49">
        <v>46223.856203703705</v>
      </c>
      <c r="B496" s="50" t="s">
        <v>131</v>
      </c>
      <c r="C496" s="50" t="s">
        <v>132</v>
      </c>
      <c r="D496" s="50" t="s">
        <v>133</v>
      </c>
      <c r="E496" s="51">
        <v>46223</v>
      </c>
      <c r="F496" s="52">
        <v>196296</v>
      </c>
      <c r="G496" s="58" t="s">
        <v>1673</v>
      </c>
      <c r="H496" s="52">
        <v>196354</v>
      </c>
      <c r="I496" s="58" t="s">
        <v>1674</v>
      </c>
      <c r="J496" s="50" t="s">
        <v>1675</v>
      </c>
      <c r="K496" s="53"/>
      <c r="L496" s="50" t="s">
        <v>60</v>
      </c>
      <c r="M496" s="53"/>
      <c r="N496" s="53"/>
      <c r="O496" s="53"/>
      <c r="P496" s="53"/>
      <c r="Q496" s="53"/>
      <c r="R496" s="53"/>
      <c r="S496" s="53"/>
      <c r="T496" s="53"/>
      <c r="U496" s="85">
        <f>(Tabela1[[#This Row],[Informe o KM final do dia]]-Tabela1[[#This Row],[Informe o KM inicial do dia]])-Tabela1[[#This Row],[Caso tenha rodado particular alguma parte do trajeto, informe o total de KM a ser deduzido.]]</f>
        <v>58</v>
      </c>
      <c r="V496" s="86">
        <f>IF(Tabela1[[#This Row],[Informe a data]]&lt;DATE(2026,3,16), Tabela1[[#This Row],[KM Rodado]]*1.1, Tabela1[[#This Row],[KM Rodado]]*1.23)</f>
        <v>71.34</v>
      </c>
      <c r="W496" s="86">
        <f>IFERROR(SUBSTITUTE(Tabela1[[#This Row],[Pedágio]],".",",",1)*1,0)</f>
        <v>0</v>
      </c>
      <c r="X496" s="86">
        <f>IFERROR(SUBSTITUTE(Tabela1[[#This Row],[Estacionamento]],".",",",1)*1,0)</f>
        <v>0</v>
      </c>
      <c r="Y496" s="86">
        <f>IFERROR(SUBSTITUTE(Tabela1[[#This Row],[Despesas Diversas 
(Jantar em viagem, Impressões, Etc)]],".",",",1)*1,0)</f>
        <v>0</v>
      </c>
      <c r="Z496" s="86">
        <f>IFERROR(SUBSTITUTE(Tabela1[[#This Row],[Hospedagem]],".",",",1)*1,0)</f>
        <v>0</v>
      </c>
      <c r="AA496" s="56" t="str">
        <f>IF(DAY(Tabela1[[#This Row],[Informe a data]])&lt;=15,"1ª Quinzena","2ª Quinzena")</f>
        <v>2ª Quinzena</v>
      </c>
      <c r="AB496" s="56" t="str">
        <f>UPPER(TEXT(Tabela1[[#This Row],[Informe a data]],"mmmm"))</f>
        <v>JULHO</v>
      </c>
      <c r="AC496" s="87" t="e">
        <f ca="1">_xlfn.CONCAT(Tabela1[[#This Row],[Selecione o Usuário]]," - ",TEXT(Tabela1[[#This Row],[Informe a data]],"dd-mm-aa"))</f>
        <v>#NAME?</v>
      </c>
    </row>
    <row r="497" spans="1:29">
      <c r="A497" s="89">
        <v>46225.59103009259</v>
      </c>
      <c r="B497" s="90" t="s">
        <v>131</v>
      </c>
      <c r="C497" s="90" t="s">
        <v>132</v>
      </c>
      <c r="D497" s="90" t="s">
        <v>133</v>
      </c>
      <c r="E497" s="91">
        <v>46224</v>
      </c>
      <c r="F497" s="92">
        <v>196357</v>
      </c>
      <c r="G497" s="93" t="s">
        <v>1676</v>
      </c>
      <c r="H497" s="92">
        <v>196373</v>
      </c>
      <c r="I497" s="93" t="s">
        <v>1677</v>
      </c>
      <c r="J497" s="90" t="s">
        <v>1678</v>
      </c>
      <c r="K497" s="94"/>
      <c r="L497" s="90" t="s">
        <v>61</v>
      </c>
      <c r="M497" s="94"/>
      <c r="N497" s="94"/>
      <c r="O497" s="90" t="s">
        <v>317</v>
      </c>
      <c r="P497" s="93" t="s">
        <v>1679</v>
      </c>
      <c r="Q497" s="94"/>
      <c r="R497" s="94"/>
      <c r="S497" s="94"/>
      <c r="T497" s="94"/>
      <c r="U497" s="85">
        <f>(Tabela1[[#This Row],[Informe o KM final do dia]]-Tabela1[[#This Row],[Informe o KM inicial do dia]])-Tabela1[[#This Row],[Caso tenha rodado particular alguma parte do trajeto, informe o total de KM a ser deduzido.]]</f>
        <v>16</v>
      </c>
      <c r="V497" s="86">
        <f>IF(Tabela1[[#This Row],[Informe a data]]&lt;DATE(2026,3,16), Tabela1[[#This Row],[KM Rodado]]*1.1, Tabela1[[#This Row],[KM Rodado]]*1.23)</f>
        <v>19.68</v>
      </c>
      <c r="W497" s="86">
        <f>IFERROR(SUBSTITUTE(Tabela1[[#This Row],[Pedágio]],".",",",1)*1,0)</f>
        <v>0</v>
      </c>
      <c r="X497" s="86">
        <f>IFERROR(SUBSTITUTE(Tabela1[[#This Row],[Estacionamento]],".",",",1)*1,0)</f>
        <v>20</v>
      </c>
      <c r="Y497" s="86">
        <f>IFERROR(SUBSTITUTE(Tabela1[[#This Row],[Despesas Diversas 
(Jantar em viagem, Impressões, Etc)]],".",",",1)*1,0)</f>
        <v>0</v>
      </c>
      <c r="Z497" s="86">
        <f>IFERROR(SUBSTITUTE(Tabela1[[#This Row],[Hospedagem]],".",",",1)*1,0)</f>
        <v>0</v>
      </c>
      <c r="AA497" s="56" t="str">
        <f>IF(DAY(Tabela1[[#This Row],[Informe a data]])&lt;=15,"1ª Quinzena","2ª Quinzena")</f>
        <v>2ª Quinzena</v>
      </c>
      <c r="AB497" s="56" t="str">
        <f>UPPER(TEXT(Tabela1[[#This Row],[Informe a data]],"mmmm"))</f>
        <v>JULHO</v>
      </c>
      <c r="AC497" s="87" t="e">
        <f ca="1">_xlfn.CONCAT(Tabela1[[#This Row],[Selecione o Usuário]]," - ",TEXT(Tabela1[[#This Row],[Informe a data]],"dd-mm-aa"))</f>
        <v>#NAME?</v>
      </c>
    </row>
    <row r="498" spans="1:29">
      <c r="A498" s="49">
        <v>46230.895439814813</v>
      </c>
      <c r="B498" s="50" t="s">
        <v>1634</v>
      </c>
      <c r="C498" s="50" t="s">
        <v>44</v>
      </c>
      <c r="D498" s="50" t="s">
        <v>1636</v>
      </c>
      <c r="E498" s="51">
        <v>46224</v>
      </c>
      <c r="F498" s="52">
        <v>134602</v>
      </c>
      <c r="G498" s="58" t="s">
        <v>1680</v>
      </c>
      <c r="H498" s="52">
        <v>134624</v>
      </c>
      <c r="I498" s="58" t="s">
        <v>1681</v>
      </c>
      <c r="J498" s="50" t="s">
        <v>1682</v>
      </c>
      <c r="K498" s="53"/>
      <c r="L498" s="50" t="s">
        <v>60</v>
      </c>
      <c r="M498" s="53"/>
      <c r="N498" s="53"/>
      <c r="O498" s="53"/>
      <c r="P498" s="53"/>
      <c r="Q498" s="53"/>
      <c r="R498" s="53"/>
      <c r="S498" s="53"/>
      <c r="T498" s="53"/>
      <c r="U498" s="85">
        <f>(Tabela1[[#This Row],[Informe o KM final do dia]]-Tabela1[[#This Row],[Informe o KM inicial do dia]])-Tabela1[[#This Row],[Caso tenha rodado particular alguma parte do trajeto, informe o total de KM a ser deduzido.]]</f>
        <v>22</v>
      </c>
      <c r="V498" s="86">
        <f>IF(Tabela1[[#This Row],[Informe a data]]&lt;DATE(2026,3,16), Tabela1[[#This Row],[KM Rodado]]*1.1, Tabela1[[#This Row],[KM Rodado]]*1.23)</f>
        <v>27.06</v>
      </c>
      <c r="W498" s="86">
        <f>IFERROR(SUBSTITUTE(Tabela1[[#This Row],[Pedágio]],".",",",1)*1,0)</f>
        <v>0</v>
      </c>
      <c r="X498" s="86">
        <f>IFERROR(SUBSTITUTE(Tabela1[[#This Row],[Estacionamento]],".",",",1)*1,0)</f>
        <v>0</v>
      </c>
      <c r="Y498" s="86">
        <f>IFERROR(SUBSTITUTE(Tabela1[[#This Row],[Despesas Diversas 
(Jantar em viagem, Impressões, Etc)]],".",",",1)*1,0)</f>
        <v>0</v>
      </c>
      <c r="Z498" s="86">
        <f>IFERROR(SUBSTITUTE(Tabela1[[#This Row],[Hospedagem]],".",",",1)*1,0)</f>
        <v>0</v>
      </c>
      <c r="AA498" s="56" t="str">
        <f>IF(DAY(Tabela1[[#This Row],[Informe a data]])&lt;=15,"1ª Quinzena","2ª Quinzena")</f>
        <v>2ª Quinzena</v>
      </c>
      <c r="AB498" s="56" t="str">
        <f>UPPER(TEXT(Tabela1[[#This Row],[Informe a data]],"mmmm"))</f>
        <v>JULHO</v>
      </c>
      <c r="AC498" s="87" t="e">
        <f ca="1">_xlfn.CONCAT(Tabela1[[#This Row],[Selecione o Usuário]]," - ",TEXT(Tabela1[[#This Row],[Informe a data]],"dd-mm-aa"))</f>
        <v>#NAME?</v>
      </c>
    </row>
    <row r="499" spans="1:29">
      <c r="A499" s="49">
        <v>46233.544548611113</v>
      </c>
      <c r="B499" s="50" t="s">
        <v>1260</v>
      </c>
      <c r="C499" s="50" t="s">
        <v>505</v>
      </c>
      <c r="D499" s="50" t="s">
        <v>506</v>
      </c>
      <c r="E499" s="51">
        <v>46224</v>
      </c>
      <c r="F499" s="52">
        <v>108533</v>
      </c>
      <c r="G499" s="58" t="s">
        <v>1686</v>
      </c>
      <c r="H499" s="52">
        <v>108598</v>
      </c>
      <c r="I499" s="58" t="s">
        <v>1687</v>
      </c>
      <c r="J499" s="50" t="s">
        <v>1657</v>
      </c>
      <c r="K499" s="53"/>
      <c r="L499" s="50" t="s">
        <v>60</v>
      </c>
      <c r="M499" s="53"/>
      <c r="N499" s="53"/>
      <c r="O499" s="53"/>
      <c r="P499" s="53"/>
      <c r="Q499" s="53"/>
      <c r="R499" s="53"/>
      <c r="S499" s="53"/>
      <c r="T499" s="53"/>
      <c r="U499" s="85">
        <f>(Tabela1[[#This Row],[Informe o KM final do dia]]-Tabela1[[#This Row],[Informe o KM inicial do dia]])-Tabela1[[#This Row],[Caso tenha rodado particular alguma parte do trajeto, informe o total de KM a ser deduzido.]]</f>
        <v>65</v>
      </c>
      <c r="V499" s="86">
        <f>IF(Tabela1[[#This Row],[Informe a data]]&lt;DATE(2026,3,16), Tabela1[[#This Row],[KM Rodado]]*1.1, Tabela1[[#This Row],[KM Rodado]]*1.23)</f>
        <v>79.95</v>
      </c>
      <c r="W499" s="86">
        <f>IFERROR(SUBSTITUTE(Tabela1[[#This Row],[Pedágio]],".",",",1)*1,0)</f>
        <v>0</v>
      </c>
      <c r="X499" s="86">
        <f>IFERROR(SUBSTITUTE(Tabela1[[#This Row],[Estacionamento]],".",",",1)*1,0)</f>
        <v>0</v>
      </c>
      <c r="Y499" s="86">
        <f>IFERROR(SUBSTITUTE(Tabela1[[#This Row],[Despesas Diversas 
(Jantar em viagem, Impressões, Etc)]],".",",",1)*1,0)</f>
        <v>0</v>
      </c>
      <c r="Z499" s="86">
        <f>IFERROR(SUBSTITUTE(Tabela1[[#This Row],[Hospedagem]],".",",",1)*1,0)</f>
        <v>0</v>
      </c>
      <c r="AA499" s="56" t="str">
        <f>IF(DAY(Tabela1[[#This Row],[Informe a data]])&lt;=15,"1ª Quinzena","2ª Quinzena")</f>
        <v>2ª Quinzena</v>
      </c>
      <c r="AB499" s="56" t="str">
        <f>UPPER(TEXT(Tabela1[[#This Row],[Informe a data]],"mmmm"))</f>
        <v>JULHO</v>
      </c>
      <c r="AC499" s="87" t="e">
        <f ca="1">_xlfn.CONCAT(Tabela1[[#This Row],[Selecione o Usuário]]," - ",TEXT(Tabela1[[#This Row],[Informe a data]],"dd-mm-aa"))</f>
        <v>#NAME?</v>
      </c>
    </row>
    <row r="500" spans="1:29">
      <c r="A500" s="89">
        <v>46233.446574074071</v>
      </c>
      <c r="B500" s="90" t="s">
        <v>300</v>
      </c>
      <c r="C500" s="90" t="s">
        <v>250</v>
      </c>
      <c r="D500" s="90" t="s">
        <v>228</v>
      </c>
      <c r="E500" s="91">
        <v>46224</v>
      </c>
      <c r="F500" s="92">
        <v>135519</v>
      </c>
      <c r="G500" s="93" t="s">
        <v>1683</v>
      </c>
      <c r="H500" s="92">
        <v>135710</v>
      </c>
      <c r="I500" s="93" t="s">
        <v>1684</v>
      </c>
      <c r="J500" s="90" t="s">
        <v>1685</v>
      </c>
      <c r="K500" s="92">
        <v>42</v>
      </c>
      <c r="L500" s="90" t="s">
        <v>60</v>
      </c>
      <c r="M500" s="94"/>
      <c r="N500" s="94"/>
      <c r="O500" s="94"/>
      <c r="P500" s="94"/>
      <c r="Q500" s="94"/>
      <c r="R500" s="94"/>
      <c r="S500" s="94"/>
      <c r="T500" s="94"/>
      <c r="U500" s="85">
        <f>(Tabela1[[#This Row],[Informe o KM final do dia]]-Tabela1[[#This Row],[Informe o KM inicial do dia]])-Tabela1[[#This Row],[Caso tenha rodado particular alguma parte do trajeto, informe o total de KM a ser deduzido.]]</f>
        <v>149</v>
      </c>
      <c r="V500" s="86">
        <f>IF(Tabela1[[#This Row],[Informe a data]]&lt;DATE(2026,3,16), Tabela1[[#This Row],[KM Rodado]]*1.1, Tabela1[[#This Row],[KM Rodado]]*1.23)</f>
        <v>183.27</v>
      </c>
      <c r="W500" s="86">
        <f>IFERROR(SUBSTITUTE(Tabela1[[#This Row],[Pedágio]],".",",",1)*1,0)</f>
        <v>0</v>
      </c>
      <c r="X500" s="86">
        <f>IFERROR(SUBSTITUTE(Tabela1[[#This Row],[Estacionamento]],".",",",1)*1,0)</f>
        <v>0</v>
      </c>
      <c r="Y500" s="86">
        <f>IFERROR(SUBSTITUTE(Tabela1[[#This Row],[Despesas Diversas 
(Jantar em viagem, Impressões, Etc)]],".",",",1)*1,0)</f>
        <v>0</v>
      </c>
      <c r="Z500" s="86">
        <f>IFERROR(SUBSTITUTE(Tabela1[[#This Row],[Hospedagem]],".",",",1)*1,0)</f>
        <v>0</v>
      </c>
      <c r="AA500" s="56" t="str">
        <f>IF(DAY(Tabela1[[#This Row],[Informe a data]])&lt;=15,"1ª Quinzena","2ª Quinzena")</f>
        <v>2ª Quinzena</v>
      </c>
      <c r="AB500" s="56" t="str">
        <f>UPPER(TEXT(Tabela1[[#This Row],[Informe a data]],"mmmm"))</f>
        <v>JULHO</v>
      </c>
      <c r="AC500" s="87" t="e">
        <f ca="1">_xlfn.CONCAT(Tabela1[[#This Row],[Selecione o Usuário]]," - ",TEXT(Tabela1[[#This Row],[Informe a data]],"dd-mm-aa"))</f>
        <v>#NAME?</v>
      </c>
    </row>
    <row r="501" spans="1:29">
      <c r="A501" s="89">
        <v>46235.093090277776</v>
      </c>
      <c r="B501" s="90" t="s">
        <v>176</v>
      </c>
      <c r="C501" s="90" t="s">
        <v>136</v>
      </c>
      <c r="D501" s="90" t="s">
        <v>177</v>
      </c>
      <c r="E501" s="91">
        <v>46224</v>
      </c>
      <c r="F501" s="92">
        <v>177302</v>
      </c>
      <c r="G501" s="93" t="s">
        <v>1688</v>
      </c>
      <c r="H501" s="92">
        <v>177414</v>
      </c>
      <c r="I501" s="93" t="s">
        <v>1689</v>
      </c>
      <c r="J501" s="90" t="s">
        <v>1690</v>
      </c>
      <c r="K501" s="94"/>
      <c r="L501" s="90" t="s">
        <v>60</v>
      </c>
      <c r="M501" s="94"/>
      <c r="N501" s="94"/>
      <c r="O501" s="94"/>
      <c r="P501" s="94"/>
      <c r="Q501" s="94"/>
      <c r="R501" s="94"/>
      <c r="S501" s="94"/>
      <c r="T501" s="94"/>
      <c r="U501" s="85">
        <f>(Tabela1[[#This Row],[Informe o KM final do dia]]-Tabela1[[#This Row],[Informe o KM inicial do dia]])-Tabela1[[#This Row],[Caso tenha rodado particular alguma parte do trajeto, informe o total de KM a ser deduzido.]]</f>
        <v>112</v>
      </c>
      <c r="V501" s="86">
        <f>IF(Tabela1[[#This Row],[Informe a data]]&lt;DATE(2026,3,16), Tabela1[[#This Row],[KM Rodado]]*1.1, Tabela1[[#This Row],[KM Rodado]]*1.23)</f>
        <v>137.76</v>
      </c>
      <c r="W501" s="86">
        <f>IFERROR(SUBSTITUTE(Tabela1[[#This Row],[Pedágio]],".",",",1)*1,0)</f>
        <v>0</v>
      </c>
      <c r="X501" s="86">
        <f>IFERROR(SUBSTITUTE(Tabela1[[#This Row],[Estacionamento]],".",",",1)*1,0)</f>
        <v>0</v>
      </c>
      <c r="Y501" s="86">
        <f>IFERROR(SUBSTITUTE(Tabela1[[#This Row],[Despesas Diversas 
(Jantar em viagem, Impressões, Etc)]],".",",",1)*1,0)</f>
        <v>0</v>
      </c>
      <c r="Z501" s="86">
        <f>IFERROR(SUBSTITUTE(Tabela1[[#This Row],[Hospedagem]],".",",",1)*1,0)</f>
        <v>0</v>
      </c>
      <c r="AA501" s="56" t="str">
        <f>IF(DAY(Tabela1[[#This Row],[Informe a data]])&lt;=15,"1ª Quinzena","2ª Quinzena")</f>
        <v>2ª Quinzena</v>
      </c>
      <c r="AB501" s="56" t="str">
        <f>UPPER(TEXT(Tabela1[[#This Row],[Informe a data]],"mmmm"))</f>
        <v>JULHO</v>
      </c>
      <c r="AC501" s="87" t="e">
        <f ca="1">_xlfn.CONCAT(Tabela1[[#This Row],[Selecione o Usuário]]," - ",TEXT(Tabela1[[#This Row],[Informe a data]],"dd-mm-aa"))</f>
        <v>#NAME?</v>
      </c>
    </row>
    <row r="502" spans="1:29">
      <c r="A502" s="49">
        <v>46225.753391203703</v>
      </c>
      <c r="B502" s="50" t="s">
        <v>131</v>
      </c>
      <c r="C502" s="50" t="s">
        <v>132</v>
      </c>
      <c r="D502" s="50" t="s">
        <v>133</v>
      </c>
      <c r="E502" s="51">
        <v>46225</v>
      </c>
      <c r="F502" s="52">
        <v>196373</v>
      </c>
      <c r="G502" s="58" t="s">
        <v>1691</v>
      </c>
      <c r="H502" s="52">
        <v>196419</v>
      </c>
      <c r="I502" s="58" t="s">
        <v>1692</v>
      </c>
      <c r="J502" s="50" t="s">
        <v>1693</v>
      </c>
      <c r="K502" s="53"/>
      <c r="L502" s="50" t="s">
        <v>61</v>
      </c>
      <c r="M502" s="53"/>
      <c r="N502" s="53"/>
      <c r="O502" s="50" t="s">
        <v>1694</v>
      </c>
      <c r="P502" s="53"/>
      <c r="Q502" s="50" t="s">
        <v>1695</v>
      </c>
      <c r="R502" s="53"/>
      <c r="S502" s="53"/>
      <c r="T502" s="53"/>
      <c r="U502" s="85">
        <f>(Tabela1[[#This Row],[Informe o KM final do dia]]-Tabela1[[#This Row],[Informe o KM inicial do dia]])-Tabela1[[#This Row],[Caso tenha rodado particular alguma parte do trajeto, informe o total de KM a ser deduzido.]]</f>
        <v>46</v>
      </c>
      <c r="V502" s="86">
        <f>IF(Tabela1[[#This Row],[Informe a data]]&lt;DATE(2026,3,16), Tabela1[[#This Row],[KM Rodado]]*1.1, Tabela1[[#This Row],[KM Rodado]]*1.23)</f>
        <v>56.58</v>
      </c>
      <c r="W502" s="86">
        <f>IFERROR(SUBSTITUTE(Tabela1[[#This Row],[Pedágio]],".",",",1)*1,0)</f>
        <v>0</v>
      </c>
      <c r="X502" s="86">
        <f>IFERROR(SUBSTITUTE(Tabela1[[#This Row],[Estacionamento]],".",",",1)*1,0)</f>
        <v>24</v>
      </c>
      <c r="Y502" s="86">
        <f>IFERROR(SUBSTITUTE(Tabela1[[#This Row],[Despesas Diversas 
(Jantar em viagem, Impressões, Etc)]],".",",",1)*1,0)</f>
        <v>29</v>
      </c>
      <c r="Z502" s="86">
        <f>IFERROR(SUBSTITUTE(Tabela1[[#This Row],[Hospedagem]],".",",",1)*1,0)</f>
        <v>0</v>
      </c>
      <c r="AA502" s="56" t="str">
        <f>IF(DAY(Tabela1[[#This Row],[Informe a data]])&lt;=15,"1ª Quinzena","2ª Quinzena")</f>
        <v>2ª Quinzena</v>
      </c>
      <c r="AB502" s="56" t="str">
        <f>UPPER(TEXT(Tabela1[[#This Row],[Informe a data]],"mmmm"))</f>
        <v>JULHO</v>
      </c>
      <c r="AC502" s="87" t="e">
        <f ca="1">_xlfn.CONCAT(Tabela1[[#This Row],[Selecione o Usuário]]," - ",TEXT(Tabela1[[#This Row],[Informe a data]],"dd-mm-aa"))</f>
        <v>#NAME?</v>
      </c>
    </row>
    <row r="503" spans="1:29">
      <c r="A503" s="49">
        <v>46230.898645833331</v>
      </c>
      <c r="B503" s="50" t="s">
        <v>1634</v>
      </c>
      <c r="C503" s="50" t="s">
        <v>44</v>
      </c>
      <c r="D503" s="50" t="s">
        <v>1636</v>
      </c>
      <c r="E503" s="51">
        <v>46225</v>
      </c>
      <c r="F503" s="52">
        <v>134652</v>
      </c>
      <c r="G503" s="58" t="s">
        <v>1700</v>
      </c>
      <c r="H503" s="52">
        <v>134766</v>
      </c>
      <c r="I503" s="58" t="s">
        <v>1701</v>
      </c>
      <c r="J503" s="50" t="s">
        <v>1702</v>
      </c>
      <c r="K503" s="53"/>
      <c r="L503" s="50" t="s">
        <v>61</v>
      </c>
      <c r="M503" s="53"/>
      <c r="N503" s="53"/>
      <c r="O503" s="50" t="s">
        <v>1694</v>
      </c>
      <c r="P503" s="58" t="s">
        <v>1703</v>
      </c>
      <c r="Q503" s="53"/>
      <c r="R503" s="53"/>
      <c r="S503" s="53"/>
      <c r="T503" s="53"/>
      <c r="U503" s="85">
        <f>(Tabela1[[#This Row],[Informe o KM final do dia]]-Tabela1[[#This Row],[Informe o KM inicial do dia]])-Tabela1[[#This Row],[Caso tenha rodado particular alguma parte do trajeto, informe o total de KM a ser deduzido.]]</f>
        <v>114</v>
      </c>
      <c r="V503" s="86">
        <f>IF(Tabela1[[#This Row],[Informe a data]]&lt;DATE(2026,3,16), Tabela1[[#This Row],[KM Rodado]]*1.1, Tabela1[[#This Row],[KM Rodado]]*1.23)</f>
        <v>140.22</v>
      </c>
      <c r="W503" s="86">
        <f>IFERROR(SUBSTITUTE(Tabela1[[#This Row],[Pedágio]],".",",",1)*1,0)</f>
        <v>0</v>
      </c>
      <c r="X503" s="86">
        <f>IFERROR(SUBSTITUTE(Tabela1[[#This Row],[Estacionamento]],".",",",1)*1,0)</f>
        <v>24</v>
      </c>
      <c r="Y503" s="86">
        <f>IFERROR(SUBSTITUTE(Tabela1[[#This Row],[Despesas Diversas 
(Jantar em viagem, Impressões, Etc)]],".",",",1)*1,0)</f>
        <v>0</v>
      </c>
      <c r="Z503" s="86">
        <f>IFERROR(SUBSTITUTE(Tabela1[[#This Row],[Hospedagem]],".",",",1)*1,0)</f>
        <v>0</v>
      </c>
      <c r="AA503" s="56" t="str">
        <f>IF(DAY(Tabela1[[#This Row],[Informe a data]])&lt;=15,"1ª Quinzena","2ª Quinzena")</f>
        <v>2ª Quinzena</v>
      </c>
      <c r="AB503" s="56" t="str">
        <f>UPPER(TEXT(Tabela1[[#This Row],[Informe a data]],"mmmm"))</f>
        <v>JULHO</v>
      </c>
      <c r="AC503" s="87" t="e">
        <f ca="1">_xlfn.CONCAT(Tabela1[[#This Row],[Selecione o Usuário]]," - ",TEXT(Tabela1[[#This Row],[Informe a data]],"dd-mm-aa"))</f>
        <v>#NAME?</v>
      </c>
    </row>
    <row r="504" spans="1:29">
      <c r="A504" s="89">
        <v>46225.772662037038</v>
      </c>
      <c r="B504" s="90" t="s">
        <v>1605</v>
      </c>
      <c r="C504" s="90" t="s">
        <v>1696</v>
      </c>
      <c r="D504" s="90" t="s">
        <v>1606</v>
      </c>
      <c r="E504" s="91">
        <v>46225</v>
      </c>
      <c r="F504" s="92">
        <v>119190</v>
      </c>
      <c r="G504" s="93" t="s">
        <v>1697</v>
      </c>
      <c r="H504" s="92">
        <v>119333</v>
      </c>
      <c r="I504" s="93" t="s">
        <v>1698</v>
      </c>
      <c r="J504" s="90" t="s">
        <v>1699</v>
      </c>
      <c r="K504" s="94"/>
      <c r="L504" s="90" t="s">
        <v>60</v>
      </c>
      <c r="M504" s="94"/>
      <c r="N504" s="94"/>
      <c r="O504" s="94"/>
      <c r="P504" s="94"/>
      <c r="Q504" s="94"/>
      <c r="R504" s="94"/>
      <c r="S504" s="94"/>
      <c r="T504" s="94"/>
      <c r="U504" s="85">
        <f>(Tabela1[[#This Row],[Informe o KM final do dia]]-Tabela1[[#This Row],[Informe o KM inicial do dia]])-Tabela1[[#This Row],[Caso tenha rodado particular alguma parte do trajeto, informe o total de KM a ser deduzido.]]</f>
        <v>143</v>
      </c>
      <c r="V504" s="86">
        <f>IF(Tabela1[[#This Row],[Informe a data]]&lt;DATE(2026,3,16), Tabela1[[#This Row],[KM Rodado]]*1.1, Tabela1[[#This Row],[KM Rodado]]*1.23)</f>
        <v>175.89</v>
      </c>
      <c r="W504" s="86">
        <f>IFERROR(SUBSTITUTE(Tabela1[[#This Row],[Pedágio]],".",",",1)*1,0)</f>
        <v>0</v>
      </c>
      <c r="X504" s="86">
        <f>IFERROR(SUBSTITUTE(Tabela1[[#This Row],[Estacionamento]],".",",",1)*1,0)</f>
        <v>0</v>
      </c>
      <c r="Y504" s="86">
        <f>IFERROR(SUBSTITUTE(Tabela1[[#This Row],[Despesas Diversas 
(Jantar em viagem, Impressões, Etc)]],".",",",1)*1,0)</f>
        <v>0</v>
      </c>
      <c r="Z504" s="86">
        <f>IFERROR(SUBSTITUTE(Tabela1[[#This Row],[Hospedagem]],".",",",1)*1,0)</f>
        <v>0</v>
      </c>
      <c r="AA504" s="56" t="str">
        <f>IF(DAY(Tabela1[[#This Row],[Informe a data]])&lt;=15,"1ª Quinzena","2ª Quinzena")</f>
        <v>2ª Quinzena</v>
      </c>
      <c r="AB504" s="56" t="str">
        <f>UPPER(TEXT(Tabela1[[#This Row],[Informe a data]],"mmmm"))</f>
        <v>JULHO</v>
      </c>
      <c r="AC504" s="87" t="e">
        <f ca="1">_xlfn.CONCAT(Tabela1[[#This Row],[Selecione o Usuário]]," - ",TEXT(Tabela1[[#This Row],[Informe a data]],"dd-mm-aa"))</f>
        <v>#NAME?</v>
      </c>
    </row>
    <row r="505" spans="1:29">
      <c r="A505" s="49">
        <v>46226.768912037034</v>
      </c>
      <c r="B505" s="50" t="s">
        <v>131</v>
      </c>
      <c r="C505" s="50" t="s">
        <v>132</v>
      </c>
      <c r="D505" s="50" t="s">
        <v>133</v>
      </c>
      <c r="E505" s="51">
        <v>46226</v>
      </c>
      <c r="F505" s="52">
        <v>196419</v>
      </c>
      <c r="G505" s="58" t="s">
        <v>1709</v>
      </c>
      <c r="H505" s="52">
        <v>196450</v>
      </c>
      <c r="I505" s="58" t="s">
        <v>1710</v>
      </c>
      <c r="J505" s="50" t="s">
        <v>1711</v>
      </c>
      <c r="K505" s="53"/>
      <c r="L505" s="50" t="s">
        <v>61</v>
      </c>
      <c r="M505" s="53"/>
      <c r="N505" s="53"/>
      <c r="O505" s="50" t="s">
        <v>1712</v>
      </c>
      <c r="P505" s="58" t="s">
        <v>1713</v>
      </c>
      <c r="Q505" s="50" t="s">
        <v>1714</v>
      </c>
      <c r="R505" s="58" t="s">
        <v>1715</v>
      </c>
      <c r="S505" s="53"/>
      <c r="T505" s="53"/>
      <c r="U505" s="85">
        <f>(Tabela1[[#This Row],[Informe o KM final do dia]]-Tabela1[[#This Row],[Informe o KM inicial do dia]])-Tabela1[[#This Row],[Caso tenha rodado particular alguma parte do trajeto, informe o total de KM a ser deduzido.]]</f>
        <v>31</v>
      </c>
      <c r="V505" s="86">
        <f>IF(Tabela1[[#This Row],[Informe a data]]&lt;DATE(2026,3,16), Tabela1[[#This Row],[KM Rodado]]*1.1, Tabela1[[#This Row],[KM Rodado]]*1.23)</f>
        <v>38.130000000000003</v>
      </c>
      <c r="W505" s="86">
        <f>IFERROR(SUBSTITUTE(Tabela1[[#This Row],[Pedágio]],".",",",1)*1,0)</f>
        <v>0</v>
      </c>
      <c r="X505" s="86">
        <f>IFERROR(SUBSTITUTE(Tabela1[[#This Row],[Estacionamento]],".",",",1)*1,0)</f>
        <v>15</v>
      </c>
      <c r="Y505" s="86">
        <f>IFERROR(SUBSTITUTE(Tabela1[[#This Row],[Despesas Diversas 
(Jantar em viagem, Impressões, Etc)]],".",",",1)*1,0)</f>
        <v>40.700000000000003</v>
      </c>
      <c r="Z505" s="86">
        <f>IFERROR(SUBSTITUTE(Tabela1[[#This Row],[Hospedagem]],".",",",1)*1,0)</f>
        <v>0</v>
      </c>
      <c r="AA505" s="56" t="str">
        <f>IF(DAY(Tabela1[[#This Row],[Informe a data]])&lt;=15,"1ª Quinzena","2ª Quinzena")</f>
        <v>2ª Quinzena</v>
      </c>
      <c r="AB505" s="56" t="str">
        <f>UPPER(TEXT(Tabela1[[#This Row],[Informe a data]],"mmmm"))</f>
        <v>JULHO</v>
      </c>
      <c r="AC505" s="87" t="e">
        <f ca="1">_xlfn.CONCAT(Tabela1[[#This Row],[Selecione o Usuário]]," - ",TEXT(Tabela1[[#This Row],[Informe a data]],"dd-mm-aa"))</f>
        <v>#NAME?</v>
      </c>
    </row>
    <row r="506" spans="1:29">
      <c r="A506" s="89">
        <v>46226.660196759258</v>
      </c>
      <c r="B506" s="90" t="s">
        <v>497</v>
      </c>
      <c r="C506" s="90" t="s">
        <v>498</v>
      </c>
      <c r="D506" s="90" t="s">
        <v>1704</v>
      </c>
      <c r="E506" s="91">
        <v>46226</v>
      </c>
      <c r="F506" s="92">
        <v>17844</v>
      </c>
      <c r="G506" s="93" t="s">
        <v>1705</v>
      </c>
      <c r="H506" s="92">
        <v>17914</v>
      </c>
      <c r="I506" s="93" t="s">
        <v>1706</v>
      </c>
      <c r="J506" s="90" t="s">
        <v>1707</v>
      </c>
      <c r="K506" s="94"/>
      <c r="L506" s="90" t="s">
        <v>61</v>
      </c>
      <c r="M506" s="94"/>
      <c r="N506" s="94"/>
      <c r="O506" s="94"/>
      <c r="P506" s="94"/>
      <c r="Q506" s="94"/>
      <c r="R506" s="94"/>
      <c r="S506" s="94"/>
      <c r="T506" s="94" t="s">
        <v>1708</v>
      </c>
      <c r="U506" s="85">
        <f>(Tabela1[[#This Row],[Informe o KM final do dia]]-Tabela1[[#This Row],[Informe o KM inicial do dia]])-Tabela1[[#This Row],[Caso tenha rodado particular alguma parte do trajeto, informe o total de KM a ser deduzido.]]</f>
        <v>70</v>
      </c>
      <c r="V506" s="86">
        <f>IF(Tabela1[[#This Row],[Informe a data]]&lt;DATE(2026,3,16), Tabela1[[#This Row],[KM Rodado]]*1.1, Tabela1[[#This Row],[KM Rodado]]*1.23)</f>
        <v>86.1</v>
      </c>
      <c r="W506" s="86">
        <f>IFERROR(SUBSTITUTE(Tabela1[[#This Row],[Pedágio]],".",",",1)*1,0)</f>
        <v>0</v>
      </c>
      <c r="X506" s="86">
        <f>IFERROR(SUBSTITUTE(Tabela1[[#This Row],[Estacionamento]],".",",",1)*1,0)</f>
        <v>0</v>
      </c>
      <c r="Y506" s="86">
        <f>IFERROR(SUBSTITUTE(Tabela1[[#This Row],[Despesas Diversas 
(Jantar em viagem, Impressões, Etc)]],".",",",1)*1,0)</f>
        <v>0</v>
      </c>
      <c r="Z506" s="86">
        <f>IFERROR(SUBSTITUTE(Tabela1[[#This Row],[Hospedagem]],".",",",1)*1,0)</f>
        <v>0</v>
      </c>
      <c r="AA506" s="56" t="str">
        <f>IF(DAY(Tabela1[[#This Row],[Informe a data]])&lt;=15,"1ª Quinzena","2ª Quinzena")</f>
        <v>2ª Quinzena</v>
      </c>
      <c r="AB506" s="56" t="str">
        <f>UPPER(TEXT(Tabela1[[#This Row],[Informe a data]],"mmmm"))</f>
        <v>JULHO</v>
      </c>
      <c r="AC506" s="87" t="e">
        <f ca="1">_xlfn.CONCAT(Tabela1[[#This Row],[Selecione o Usuário]]," - ",TEXT(Tabela1[[#This Row],[Informe a data]],"dd-mm-aa"))</f>
        <v>#NAME?</v>
      </c>
    </row>
    <row r="507" spans="1:29">
      <c r="A507" s="49">
        <v>46230.901226851849</v>
      </c>
      <c r="B507" s="50" t="s">
        <v>1634</v>
      </c>
      <c r="C507" s="50" t="s">
        <v>44</v>
      </c>
      <c r="D507" s="50" t="s">
        <v>1636</v>
      </c>
      <c r="E507" s="51">
        <v>46226</v>
      </c>
      <c r="F507" s="52">
        <v>134766</v>
      </c>
      <c r="G507" s="58" t="s">
        <v>1719</v>
      </c>
      <c r="H507" s="52">
        <v>134836</v>
      </c>
      <c r="I507" s="58" t="s">
        <v>1720</v>
      </c>
      <c r="J507" s="50" t="s">
        <v>1702</v>
      </c>
      <c r="K507" s="53"/>
      <c r="L507" s="50" t="s">
        <v>61</v>
      </c>
      <c r="M507" s="53"/>
      <c r="N507" s="53"/>
      <c r="O507" s="50" t="s">
        <v>1721</v>
      </c>
      <c r="P507" s="58" t="s">
        <v>1722</v>
      </c>
      <c r="Q507" s="53"/>
      <c r="R507" s="53"/>
      <c r="S507" s="53"/>
      <c r="T507" s="53"/>
      <c r="U507" s="85">
        <f>(Tabela1[[#This Row],[Informe o KM final do dia]]-Tabela1[[#This Row],[Informe o KM inicial do dia]])-Tabela1[[#This Row],[Caso tenha rodado particular alguma parte do trajeto, informe o total de KM a ser deduzido.]]</f>
        <v>70</v>
      </c>
      <c r="V507" s="86">
        <f>IF(Tabela1[[#This Row],[Informe a data]]&lt;DATE(2026,3,16), Tabela1[[#This Row],[KM Rodado]]*1.1, Tabela1[[#This Row],[KM Rodado]]*1.23)</f>
        <v>86.1</v>
      </c>
      <c r="W507" s="86">
        <f>IFERROR(SUBSTITUTE(Tabela1[[#This Row],[Pedágio]],".",",",1)*1,0)</f>
        <v>0</v>
      </c>
      <c r="X507" s="86">
        <f>IFERROR(SUBSTITUTE(Tabela1[[#This Row],[Estacionamento]],".",",",1)*1,0)</f>
        <v>55</v>
      </c>
      <c r="Y507" s="86">
        <f>IFERROR(SUBSTITUTE(Tabela1[[#This Row],[Despesas Diversas 
(Jantar em viagem, Impressões, Etc)]],".",",",1)*1,0)</f>
        <v>0</v>
      </c>
      <c r="Z507" s="86">
        <f>IFERROR(SUBSTITUTE(Tabela1[[#This Row],[Hospedagem]],".",",",1)*1,0)</f>
        <v>0</v>
      </c>
      <c r="AA507" s="56" t="str">
        <f>IF(DAY(Tabela1[[#This Row],[Informe a data]])&lt;=15,"1ª Quinzena","2ª Quinzena")</f>
        <v>2ª Quinzena</v>
      </c>
      <c r="AB507" s="56" t="str">
        <f>UPPER(TEXT(Tabela1[[#This Row],[Informe a data]],"mmmm"))</f>
        <v>JULHO</v>
      </c>
      <c r="AC507" s="87" t="e">
        <f ca="1">_xlfn.CONCAT(Tabela1[[#This Row],[Selecione o Usuário]]," - ",TEXT(Tabela1[[#This Row],[Informe a data]],"dd-mm-aa"))</f>
        <v>#NAME?</v>
      </c>
    </row>
    <row r="508" spans="1:29">
      <c r="A508" s="89">
        <v>46233.45076388889</v>
      </c>
      <c r="B508" s="90" t="s">
        <v>300</v>
      </c>
      <c r="C508" s="90" t="s">
        <v>250</v>
      </c>
      <c r="D508" s="90" t="s">
        <v>228</v>
      </c>
      <c r="E508" s="91">
        <v>46226</v>
      </c>
      <c r="F508" s="92">
        <v>135952</v>
      </c>
      <c r="G508" s="93" t="s">
        <v>1723</v>
      </c>
      <c r="H508" s="92">
        <v>136010</v>
      </c>
      <c r="I508" s="93" t="s">
        <v>1724</v>
      </c>
      <c r="J508" s="90" t="s">
        <v>1725</v>
      </c>
      <c r="K508" s="94"/>
      <c r="L508" s="90" t="s">
        <v>60</v>
      </c>
      <c r="M508" s="94"/>
      <c r="N508" s="94"/>
      <c r="O508" s="94"/>
      <c r="P508" s="94"/>
      <c r="Q508" s="94"/>
      <c r="R508" s="94"/>
      <c r="S508" s="94"/>
      <c r="T508" s="94"/>
      <c r="U508" s="85">
        <f>(Tabela1[[#This Row],[Informe o KM final do dia]]-Tabela1[[#This Row],[Informe o KM inicial do dia]])-Tabela1[[#This Row],[Caso tenha rodado particular alguma parte do trajeto, informe o total de KM a ser deduzido.]]</f>
        <v>58</v>
      </c>
      <c r="V508" s="86">
        <f>IF(Tabela1[[#This Row],[Informe a data]]&lt;DATE(2026,3,16), Tabela1[[#This Row],[KM Rodado]]*1.1, Tabela1[[#This Row],[KM Rodado]]*1.23)</f>
        <v>71.34</v>
      </c>
      <c r="W508" s="86">
        <f>IFERROR(SUBSTITUTE(Tabela1[[#This Row],[Pedágio]],".",",",1)*1,0)</f>
        <v>0</v>
      </c>
      <c r="X508" s="86">
        <f>IFERROR(SUBSTITUTE(Tabela1[[#This Row],[Estacionamento]],".",",",1)*1,0)</f>
        <v>0</v>
      </c>
      <c r="Y508" s="86">
        <f>IFERROR(SUBSTITUTE(Tabela1[[#This Row],[Despesas Diversas 
(Jantar em viagem, Impressões, Etc)]],".",",",1)*1,0)</f>
        <v>0</v>
      </c>
      <c r="Z508" s="86">
        <f>IFERROR(SUBSTITUTE(Tabela1[[#This Row],[Hospedagem]],".",",",1)*1,0)</f>
        <v>0</v>
      </c>
      <c r="AA508" s="56" t="str">
        <f>IF(DAY(Tabela1[[#This Row],[Informe a data]])&lt;=15,"1ª Quinzena","2ª Quinzena")</f>
        <v>2ª Quinzena</v>
      </c>
      <c r="AB508" s="56" t="str">
        <f>UPPER(TEXT(Tabela1[[#This Row],[Informe a data]],"mmmm"))</f>
        <v>JULHO</v>
      </c>
      <c r="AC508" s="87" t="e">
        <f ca="1">_xlfn.CONCAT(Tabela1[[#This Row],[Selecione o Usuário]]," - ",TEXT(Tabela1[[#This Row],[Informe a data]],"dd-mm-aa"))</f>
        <v>#NAME?</v>
      </c>
    </row>
    <row r="509" spans="1:29">
      <c r="A509" s="89">
        <v>46226.808344907404</v>
      </c>
      <c r="B509" s="90" t="s">
        <v>1605</v>
      </c>
      <c r="C509" s="90" t="s">
        <v>1696</v>
      </c>
      <c r="D509" s="90" t="s">
        <v>1606</v>
      </c>
      <c r="E509" s="91">
        <v>46226</v>
      </c>
      <c r="F509" s="92">
        <v>119369</v>
      </c>
      <c r="G509" s="93" t="s">
        <v>1716</v>
      </c>
      <c r="H509" s="92">
        <v>119376</v>
      </c>
      <c r="I509" s="93" t="s">
        <v>1717</v>
      </c>
      <c r="J509" s="90" t="s">
        <v>1718</v>
      </c>
      <c r="K509" s="94"/>
      <c r="L509" s="90" t="s">
        <v>60</v>
      </c>
      <c r="M509" s="94"/>
      <c r="N509" s="94"/>
      <c r="O509" s="94"/>
      <c r="P509" s="94"/>
      <c r="Q509" s="94"/>
      <c r="R509" s="94"/>
      <c r="S509" s="94"/>
      <c r="T509" s="94"/>
      <c r="U509" s="85">
        <f>(Tabela1[[#This Row],[Informe o KM final do dia]]-Tabela1[[#This Row],[Informe o KM inicial do dia]])-Tabela1[[#This Row],[Caso tenha rodado particular alguma parte do trajeto, informe o total de KM a ser deduzido.]]</f>
        <v>7</v>
      </c>
      <c r="V509" s="86">
        <f>IF(Tabela1[[#This Row],[Informe a data]]&lt;DATE(2026,3,16), Tabela1[[#This Row],[KM Rodado]]*1.1, Tabela1[[#This Row],[KM Rodado]]*1.23)</f>
        <v>8.61</v>
      </c>
      <c r="W509" s="86">
        <f>IFERROR(SUBSTITUTE(Tabela1[[#This Row],[Pedágio]],".",",",1)*1,0)</f>
        <v>0</v>
      </c>
      <c r="X509" s="86">
        <f>IFERROR(SUBSTITUTE(Tabela1[[#This Row],[Estacionamento]],".",",",1)*1,0)</f>
        <v>0</v>
      </c>
      <c r="Y509" s="86">
        <f>IFERROR(SUBSTITUTE(Tabela1[[#This Row],[Despesas Diversas 
(Jantar em viagem, Impressões, Etc)]],".",",",1)*1,0)</f>
        <v>0</v>
      </c>
      <c r="Z509" s="86">
        <f>IFERROR(SUBSTITUTE(Tabela1[[#This Row],[Hospedagem]],".",",",1)*1,0)</f>
        <v>0</v>
      </c>
      <c r="AA509" s="56" t="str">
        <f>IF(DAY(Tabela1[[#This Row],[Informe a data]])&lt;=15,"1ª Quinzena","2ª Quinzena")</f>
        <v>2ª Quinzena</v>
      </c>
      <c r="AB509" s="56" t="str">
        <f>UPPER(TEXT(Tabela1[[#This Row],[Informe a data]],"mmmm"))</f>
        <v>JULHO</v>
      </c>
      <c r="AC509" s="87" t="e">
        <f ca="1">_xlfn.CONCAT(Tabela1[[#This Row],[Selecione o Usuário]]," - ",TEXT(Tabela1[[#This Row],[Informe a data]],"dd-mm-aa"))</f>
        <v>#NAME?</v>
      </c>
    </row>
    <row r="510" spans="1:29">
      <c r="A510" s="49">
        <v>46229.698900462965</v>
      </c>
      <c r="B510" s="50" t="s">
        <v>131</v>
      </c>
      <c r="C510" s="50" t="s">
        <v>132</v>
      </c>
      <c r="D510" s="50" t="s">
        <v>133</v>
      </c>
      <c r="E510" s="51">
        <v>46227</v>
      </c>
      <c r="F510" s="52">
        <v>196450</v>
      </c>
      <c r="G510" s="58" t="s">
        <v>1726</v>
      </c>
      <c r="H510" s="52">
        <v>196483</v>
      </c>
      <c r="I510" s="58" t="s">
        <v>1727</v>
      </c>
      <c r="J510" s="50" t="s">
        <v>1728</v>
      </c>
      <c r="K510" s="53"/>
      <c r="L510" s="50" t="s">
        <v>60</v>
      </c>
      <c r="M510" s="53"/>
      <c r="N510" s="53"/>
      <c r="O510" s="53"/>
      <c r="P510" s="53"/>
      <c r="Q510" s="53"/>
      <c r="R510" s="53"/>
      <c r="S510" s="53"/>
      <c r="T510" s="53"/>
      <c r="U510" s="85">
        <f>(Tabela1[[#This Row],[Informe o KM final do dia]]-Tabela1[[#This Row],[Informe o KM inicial do dia]])-Tabela1[[#This Row],[Caso tenha rodado particular alguma parte do trajeto, informe o total de KM a ser deduzido.]]</f>
        <v>33</v>
      </c>
      <c r="V510" s="86">
        <f>IF(Tabela1[[#This Row],[Informe a data]]&lt;DATE(2026,3,16), Tabela1[[#This Row],[KM Rodado]]*1.1, Tabela1[[#This Row],[KM Rodado]]*1.23)</f>
        <v>40.589999999999996</v>
      </c>
      <c r="W510" s="86">
        <f>IFERROR(SUBSTITUTE(Tabela1[[#This Row],[Pedágio]],".",",",1)*1,0)</f>
        <v>0</v>
      </c>
      <c r="X510" s="86">
        <f>IFERROR(SUBSTITUTE(Tabela1[[#This Row],[Estacionamento]],".",",",1)*1,0)</f>
        <v>0</v>
      </c>
      <c r="Y510" s="86">
        <f>IFERROR(SUBSTITUTE(Tabela1[[#This Row],[Despesas Diversas 
(Jantar em viagem, Impressões, Etc)]],".",",",1)*1,0)</f>
        <v>0</v>
      </c>
      <c r="Z510" s="86">
        <f>IFERROR(SUBSTITUTE(Tabela1[[#This Row],[Hospedagem]],".",",",1)*1,0)</f>
        <v>0</v>
      </c>
      <c r="AA510" s="56" t="str">
        <f>IF(DAY(Tabela1[[#This Row],[Informe a data]])&lt;=15,"1ª Quinzena","2ª Quinzena")</f>
        <v>2ª Quinzena</v>
      </c>
      <c r="AB510" s="56" t="str">
        <f>UPPER(TEXT(Tabela1[[#This Row],[Informe a data]],"mmmm"))</f>
        <v>JULHO</v>
      </c>
      <c r="AC510" s="87" t="e">
        <f ca="1">_xlfn.CONCAT(Tabela1[[#This Row],[Selecione o Usuário]]," - ",TEXT(Tabela1[[#This Row],[Informe a data]],"dd-mm-aa"))</f>
        <v>#NAME?</v>
      </c>
    </row>
    <row r="511" spans="1:29">
      <c r="A511" s="89">
        <v>46230.905023148145</v>
      </c>
      <c r="B511" s="90" t="s">
        <v>1634</v>
      </c>
      <c r="C511" s="90" t="s">
        <v>44</v>
      </c>
      <c r="D511" s="90" t="s">
        <v>1636</v>
      </c>
      <c r="E511" s="91">
        <v>46227</v>
      </c>
      <c r="F511" s="92">
        <v>134838</v>
      </c>
      <c r="G511" s="93" t="s">
        <v>1729</v>
      </c>
      <c r="H511" s="92">
        <v>134894</v>
      </c>
      <c r="I511" s="93" t="s">
        <v>1730</v>
      </c>
      <c r="J511" s="90" t="s">
        <v>1702</v>
      </c>
      <c r="K511" s="94"/>
      <c r="L511" s="90" t="s">
        <v>61</v>
      </c>
      <c r="M511" s="94"/>
      <c r="N511" s="94"/>
      <c r="O511" s="94"/>
      <c r="P511" s="94"/>
      <c r="Q511" s="90" t="s">
        <v>1731</v>
      </c>
      <c r="R511" s="93" t="s">
        <v>1732</v>
      </c>
      <c r="S511" s="94"/>
      <c r="T511" s="94"/>
      <c r="U511" s="85">
        <f>(Tabela1[[#This Row],[Informe o KM final do dia]]-Tabela1[[#This Row],[Informe o KM inicial do dia]])-Tabela1[[#This Row],[Caso tenha rodado particular alguma parte do trajeto, informe o total de KM a ser deduzido.]]</f>
        <v>56</v>
      </c>
      <c r="V511" s="86">
        <f>IF(Tabela1[[#This Row],[Informe a data]]&lt;DATE(2026,3,16), Tabela1[[#This Row],[KM Rodado]]*1.1, Tabela1[[#This Row],[KM Rodado]]*1.23)</f>
        <v>68.88</v>
      </c>
      <c r="W511" s="86">
        <f>IFERROR(SUBSTITUTE(Tabela1[[#This Row],[Pedágio]],".",",",1)*1,0)</f>
        <v>0</v>
      </c>
      <c r="X511" s="86">
        <f>IFERROR(SUBSTITUTE(Tabela1[[#This Row],[Estacionamento]],".",",",1)*1,0)</f>
        <v>0</v>
      </c>
      <c r="Y511" s="86">
        <f>IFERROR(SUBSTITUTE(Tabela1[[#This Row],[Despesas Diversas 
(Jantar em viagem, Impressões, Etc)]],".",",",1)*1,0)</f>
        <v>26.85</v>
      </c>
      <c r="Z511" s="86">
        <f>IFERROR(SUBSTITUTE(Tabela1[[#This Row],[Hospedagem]],".",",",1)*1,0)</f>
        <v>0</v>
      </c>
      <c r="AA511" s="56" t="str">
        <f>IF(DAY(Tabela1[[#This Row],[Informe a data]])&lt;=15,"1ª Quinzena","2ª Quinzena")</f>
        <v>2ª Quinzena</v>
      </c>
      <c r="AB511" s="56" t="str">
        <f>UPPER(TEXT(Tabela1[[#This Row],[Informe a data]],"mmmm"))</f>
        <v>JULHO</v>
      </c>
      <c r="AC511" s="87" t="e">
        <f ca="1">_xlfn.CONCAT(Tabela1[[#This Row],[Selecione o Usuário]]," - ",TEXT(Tabela1[[#This Row],[Informe a data]],"dd-mm-aa"))</f>
        <v>#NAME?</v>
      </c>
    </row>
    <row r="512" spans="1:29">
      <c r="A512" s="49">
        <v>46233.545671296299</v>
      </c>
      <c r="B512" s="50" t="s">
        <v>1260</v>
      </c>
      <c r="C512" s="50" t="s">
        <v>505</v>
      </c>
      <c r="D512" s="50" t="s">
        <v>506</v>
      </c>
      <c r="E512" s="51">
        <v>46227</v>
      </c>
      <c r="F512" s="52">
        <v>108667</v>
      </c>
      <c r="G512" s="58" t="s">
        <v>1733</v>
      </c>
      <c r="H512" s="52">
        <v>108723</v>
      </c>
      <c r="I512" s="58" t="s">
        <v>1734</v>
      </c>
      <c r="J512" s="50" t="s">
        <v>1657</v>
      </c>
      <c r="K512" s="53"/>
      <c r="L512" s="50" t="s">
        <v>60</v>
      </c>
      <c r="M512" s="53"/>
      <c r="N512" s="53"/>
      <c r="O512" s="53"/>
      <c r="P512" s="53"/>
      <c r="Q512" s="53"/>
      <c r="R512" s="53"/>
      <c r="S512" s="53"/>
      <c r="T512" s="53"/>
      <c r="U512" s="85">
        <f>(Tabela1[[#This Row],[Informe o KM final do dia]]-Tabela1[[#This Row],[Informe o KM inicial do dia]])-Tabela1[[#This Row],[Caso tenha rodado particular alguma parte do trajeto, informe o total de KM a ser deduzido.]]</f>
        <v>56</v>
      </c>
      <c r="V512" s="86">
        <f>IF(Tabela1[[#This Row],[Informe a data]]&lt;DATE(2026,3,16), Tabela1[[#This Row],[KM Rodado]]*1.1, Tabela1[[#This Row],[KM Rodado]]*1.23)</f>
        <v>68.88</v>
      </c>
      <c r="W512" s="86">
        <f>IFERROR(SUBSTITUTE(Tabela1[[#This Row],[Pedágio]],".",",",1)*1,0)</f>
        <v>0</v>
      </c>
      <c r="X512" s="86">
        <f>IFERROR(SUBSTITUTE(Tabela1[[#This Row],[Estacionamento]],".",",",1)*1,0)</f>
        <v>0</v>
      </c>
      <c r="Y512" s="86">
        <f>IFERROR(SUBSTITUTE(Tabela1[[#This Row],[Despesas Diversas 
(Jantar em viagem, Impressões, Etc)]],".",",",1)*1,0)</f>
        <v>0</v>
      </c>
      <c r="Z512" s="86">
        <f>IFERROR(SUBSTITUTE(Tabela1[[#This Row],[Hospedagem]],".",",",1)*1,0)</f>
        <v>0</v>
      </c>
      <c r="AA512" s="56" t="str">
        <f>IF(DAY(Tabela1[[#This Row],[Informe a data]])&lt;=15,"1ª Quinzena","2ª Quinzena")</f>
        <v>2ª Quinzena</v>
      </c>
      <c r="AB512" s="56" t="str">
        <f>UPPER(TEXT(Tabela1[[#This Row],[Informe a data]],"mmmm"))</f>
        <v>JULHO</v>
      </c>
      <c r="AC512" s="87" t="e">
        <f ca="1">_xlfn.CONCAT(Tabela1[[#This Row],[Selecione o Usuário]]," - ",TEXT(Tabela1[[#This Row],[Informe a data]],"dd-mm-aa"))</f>
        <v>#NAME?</v>
      </c>
    </row>
    <row r="513" spans="1:29">
      <c r="A513" s="89">
        <v>46235.094583333332</v>
      </c>
      <c r="B513" s="90" t="s">
        <v>176</v>
      </c>
      <c r="C513" s="90" t="s">
        <v>136</v>
      </c>
      <c r="D513" s="90" t="s">
        <v>177</v>
      </c>
      <c r="E513" s="91">
        <v>46227</v>
      </c>
      <c r="F513" s="92">
        <v>177533</v>
      </c>
      <c r="G513" s="93" t="s">
        <v>1735</v>
      </c>
      <c r="H513" s="92">
        <v>177630</v>
      </c>
      <c r="I513" s="93" t="s">
        <v>1736</v>
      </c>
      <c r="J513" s="90" t="s">
        <v>1737</v>
      </c>
      <c r="K513" s="94"/>
      <c r="L513" s="90" t="s">
        <v>60</v>
      </c>
      <c r="M513" s="94"/>
      <c r="N513" s="94"/>
      <c r="O513" s="94"/>
      <c r="P513" s="94"/>
      <c r="Q513" s="94"/>
      <c r="R513" s="94"/>
      <c r="S513" s="94"/>
      <c r="T513" s="94"/>
      <c r="U513" s="85">
        <f>(Tabela1[[#This Row],[Informe o KM final do dia]]-Tabela1[[#This Row],[Informe o KM inicial do dia]])-Tabela1[[#This Row],[Caso tenha rodado particular alguma parte do trajeto, informe o total de KM a ser deduzido.]]</f>
        <v>97</v>
      </c>
      <c r="V513" s="86">
        <f>IF(Tabela1[[#This Row],[Informe a data]]&lt;DATE(2026,3,16), Tabela1[[#This Row],[KM Rodado]]*1.1, Tabela1[[#This Row],[KM Rodado]]*1.23)</f>
        <v>119.31</v>
      </c>
      <c r="W513" s="86">
        <f>IFERROR(SUBSTITUTE(Tabela1[[#This Row],[Pedágio]],".",",",1)*1,0)</f>
        <v>0</v>
      </c>
      <c r="X513" s="86">
        <f>IFERROR(SUBSTITUTE(Tabela1[[#This Row],[Estacionamento]],".",",",1)*1,0)</f>
        <v>0</v>
      </c>
      <c r="Y513" s="86">
        <f>IFERROR(SUBSTITUTE(Tabela1[[#This Row],[Despesas Diversas 
(Jantar em viagem, Impressões, Etc)]],".",",",1)*1,0)</f>
        <v>0</v>
      </c>
      <c r="Z513" s="86">
        <f>IFERROR(SUBSTITUTE(Tabela1[[#This Row],[Hospedagem]],".",",",1)*1,0)</f>
        <v>0</v>
      </c>
      <c r="AA513" s="56" t="str">
        <f>IF(DAY(Tabela1[[#This Row],[Informe a data]])&lt;=15,"1ª Quinzena","2ª Quinzena")</f>
        <v>2ª Quinzena</v>
      </c>
      <c r="AB513" s="56" t="str">
        <f>UPPER(TEXT(Tabela1[[#This Row],[Informe a data]],"mmmm"))</f>
        <v>JULHO</v>
      </c>
      <c r="AC513" s="87" t="e">
        <f ca="1">_xlfn.CONCAT(Tabela1[[#This Row],[Selecione o Usuário]]," - ",TEXT(Tabela1[[#This Row],[Informe a data]],"dd-mm-aa"))</f>
        <v>#NAME?</v>
      </c>
    </row>
    <row r="514" spans="1:29">
      <c r="A514" s="49">
        <v>46228.821944444448</v>
      </c>
      <c r="B514" s="50" t="s">
        <v>1605</v>
      </c>
      <c r="C514" s="50" t="s">
        <v>1696</v>
      </c>
      <c r="D514" s="50" t="s">
        <v>1606</v>
      </c>
      <c r="E514" s="51">
        <v>46228</v>
      </c>
      <c r="F514" s="52">
        <v>119433</v>
      </c>
      <c r="G514" s="58" t="s">
        <v>1738</v>
      </c>
      <c r="H514" s="52">
        <v>119452</v>
      </c>
      <c r="I514" s="58" t="s">
        <v>1739</v>
      </c>
      <c r="J514" s="50" t="s">
        <v>1740</v>
      </c>
      <c r="K514" s="53"/>
      <c r="L514" s="50" t="s">
        <v>60</v>
      </c>
      <c r="M514" s="53"/>
      <c r="N514" s="53"/>
      <c r="O514" s="53"/>
      <c r="P514" s="53"/>
      <c r="Q514" s="53"/>
      <c r="R514" s="53"/>
      <c r="S514" s="53"/>
      <c r="T514" s="53"/>
      <c r="U514" s="85">
        <f>(Tabela1[[#This Row],[Informe o KM final do dia]]-Tabela1[[#This Row],[Informe o KM inicial do dia]])-Tabela1[[#This Row],[Caso tenha rodado particular alguma parte do trajeto, informe o total de KM a ser deduzido.]]</f>
        <v>19</v>
      </c>
      <c r="V514" s="86">
        <f>IF(Tabela1[[#This Row],[Informe a data]]&lt;DATE(2026,3,16), Tabela1[[#This Row],[KM Rodado]]*1.1, Tabela1[[#This Row],[KM Rodado]]*1.23)</f>
        <v>23.37</v>
      </c>
      <c r="W514" s="86">
        <f>IFERROR(SUBSTITUTE(Tabela1[[#This Row],[Pedágio]],".",",",1)*1,0)</f>
        <v>0</v>
      </c>
      <c r="X514" s="86">
        <f>IFERROR(SUBSTITUTE(Tabela1[[#This Row],[Estacionamento]],".",",",1)*1,0)</f>
        <v>0</v>
      </c>
      <c r="Y514" s="86">
        <f>IFERROR(SUBSTITUTE(Tabela1[[#This Row],[Despesas Diversas 
(Jantar em viagem, Impressões, Etc)]],".",",",1)*1,0)</f>
        <v>0</v>
      </c>
      <c r="Z514" s="86">
        <f>IFERROR(SUBSTITUTE(Tabela1[[#This Row],[Hospedagem]],".",",",1)*1,0)</f>
        <v>0</v>
      </c>
      <c r="AA514" s="56" t="str">
        <f>IF(DAY(Tabela1[[#This Row],[Informe a data]])&lt;=15,"1ª Quinzena","2ª Quinzena")</f>
        <v>2ª Quinzena</v>
      </c>
      <c r="AB514" s="56" t="str">
        <f>UPPER(TEXT(Tabela1[[#This Row],[Informe a data]],"mmmm"))</f>
        <v>JULHO</v>
      </c>
      <c r="AC514" s="87" t="e">
        <f ca="1">_xlfn.CONCAT(Tabela1[[#This Row],[Selecione o Usuário]]," - ",TEXT(Tabela1[[#This Row],[Informe a data]],"dd-mm-aa"))</f>
        <v>#NAME?</v>
      </c>
    </row>
    <row r="515" spans="1:29">
      <c r="A515" s="49">
        <v>46231.623391203706</v>
      </c>
      <c r="B515" s="50" t="s">
        <v>497</v>
      </c>
      <c r="C515" s="50" t="s">
        <v>498</v>
      </c>
      <c r="D515" s="50" t="s">
        <v>1704</v>
      </c>
      <c r="E515" s="51">
        <v>46231</v>
      </c>
      <c r="F515" s="52">
        <v>19080</v>
      </c>
      <c r="G515" s="58" t="s">
        <v>1744</v>
      </c>
      <c r="H515" s="52">
        <v>19147</v>
      </c>
      <c r="I515" s="58" t="s">
        <v>1745</v>
      </c>
      <c r="J515" s="50" t="s">
        <v>1746</v>
      </c>
      <c r="K515" s="53"/>
      <c r="L515" s="50" t="s">
        <v>60</v>
      </c>
      <c r="M515" s="53"/>
      <c r="N515" s="53"/>
      <c r="O515" s="53"/>
      <c r="P515" s="53"/>
      <c r="Q515" s="53"/>
      <c r="R515" s="53"/>
      <c r="S515" s="53"/>
      <c r="T515" s="53"/>
      <c r="U515" s="85">
        <f>(Tabela1[[#This Row],[Informe o KM final do dia]]-Tabela1[[#This Row],[Informe o KM inicial do dia]])-Tabela1[[#This Row],[Caso tenha rodado particular alguma parte do trajeto, informe o total de KM a ser deduzido.]]</f>
        <v>67</v>
      </c>
      <c r="V515" s="86">
        <f>IF(Tabela1[[#This Row],[Informe a data]]&lt;DATE(2026,3,16), Tabela1[[#This Row],[KM Rodado]]*1.1, Tabela1[[#This Row],[KM Rodado]]*1.23)</f>
        <v>82.41</v>
      </c>
      <c r="W515" s="86">
        <f>IFERROR(SUBSTITUTE(Tabela1[[#This Row],[Pedágio]],".",",",1)*1,0)</f>
        <v>0</v>
      </c>
      <c r="X515" s="86">
        <f>IFERROR(SUBSTITUTE(Tabela1[[#This Row],[Estacionamento]],".",",",1)*1,0)</f>
        <v>0</v>
      </c>
      <c r="Y515" s="86">
        <f>IFERROR(SUBSTITUTE(Tabela1[[#This Row],[Despesas Diversas 
(Jantar em viagem, Impressões, Etc)]],".",",",1)*1,0)</f>
        <v>0</v>
      </c>
      <c r="Z515" s="86">
        <f>IFERROR(SUBSTITUTE(Tabela1[[#This Row],[Hospedagem]],".",",",1)*1,0)</f>
        <v>0</v>
      </c>
      <c r="AA515" s="56" t="str">
        <f>IF(DAY(Tabela1[[#This Row],[Informe a data]])&lt;=15,"1ª Quinzena","2ª Quinzena")</f>
        <v>2ª Quinzena</v>
      </c>
      <c r="AB515" s="56" t="str">
        <f>UPPER(TEXT(Tabela1[[#This Row],[Informe a data]],"mmmm"))</f>
        <v>JULHO</v>
      </c>
      <c r="AC515" s="87" t="e">
        <f ca="1">_xlfn.CONCAT(Tabela1[[#This Row],[Selecione o Usuário]]," - ",TEXT(Tabela1[[#This Row],[Informe a data]],"dd-mm-aa"))</f>
        <v>#NAME?</v>
      </c>
    </row>
    <row r="516" spans="1:29">
      <c r="A516" s="89">
        <v>46234.553229166668</v>
      </c>
      <c r="B516" s="90" t="s">
        <v>1634</v>
      </c>
      <c r="C516" s="90" t="s">
        <v>44</v>
      </c>
      <c r="D516" s="90" t="s">
        <v>1636</v>
      </c>
      <c r="E516" s="91">
        <v>46231</v>
      </c>
      <c r="F516" s="92">
        <v>134972</v>
      </c>
      <c r="G516" s="93" t="s">
        <v>1753</v>
      </c>
      <c r="H516" s="92">
        <v>135015</v>
      </c>
      <c r="I516" s="93" t="s">
        <v>1754</v>
      </c>
      <c r="J516" s="90" t="s">
        <v>1755</v>
      </c>
      <c r="K516" s="94"/>
      <c r="L516" s="90" t="s">
        <v>60</v>
      </c>
      <c r="M516" s="94"/>
      <c r="N516" s="94"/>
      <c r="O516" s="94"/>
      <c r="P516" s="94"/>
      <c r="Q516" s="94"/>
      <c r="R516" s="94"/>
      <c r="S516" s="94"/>
      <c r="T516" s="94"/>
      <c r="U516" s="85">
        <f>(Tabela1[[#This Row],[Informe o KM final do dia]]-Tabela1[[#This Row],[Informe o KM inicial do dia]])-Tabela1[[#This Row],[Caso tenha rodado particular alguma parte do trajeto, informe o total de KM a ser deduzido.]]</f>
        <v>43</v>
      </c>
      <c r="V516" s="86">
        <f>IF(Tabela1[[#This Row],[Informe a data]]&lt;DATE(2026,3,16), Tabela1[[#This Row],[KM Rodado]]*1.1, Tabela1[[#This Row],[KM Rodado]]*1.23)</f>
        <v>52.89</v>
      </c>
      <c r="W516" s="86">
        <f>IFERROR(SUBSTITUTE(Tabela1[[#This Row],[Pedágio]],".",",",1)*1,0)</f>
        <v>0</v>
      </c>
      <c r="X516" s="86">
        <f>IFERROR(SUBSTITUTE(Tabela1[[#This Row],[Estacionamento]],".",",",1)*1,0)</f>
        <v>0</v>
      </c>
      <c r="Y516" s="86">
        <f>IFERROR(SUBSTITUTE(Tabela1[[#This Row],[Despesas Diversas 
(Jantar em viagem, Impressões, Etc)]],".",",",1)*1,0)</f>
        <v>0</v>
      </c>
      <c r="Z516" s="86">
        <f>IFERROR(SUBSTITUTE(Tabela1[[#This Row],[Hospedagem]],".",",",1)*1,0)</f>
        <v>0</v>
      </c>
      <c r="AA516" s="56" t="str">
        <f>IF(DAY(Tabela1[[#This Row],[Informe a data]])&lt;=15,"1ª Quinzena","2ª Quinzena")</f>
        <v>2ª Quinzena</v>
      </c>
      <c r="AB516" s="56" t="str">
        <f>UPPER(TEXT(Tabela1[[#This Row],[Informe a data]],"mmmm"))</f>
        <v>JULHO</v>
      </c>
      <c r="AC516" s="87" t="e">
        <f ca="1">_xlfn.CONCAT(Tabela1[[#This Row],[Selecione o Usuário]]," - ",TEXT(Tabela1[[#This Row],[Informe a data]],"dd-mm-aa"))</f>
        <v>#NAME?</v>
      </c>
    </row>
    <row r="517" spans="1:29">
      <c r="A517" s="89">
        <v>46231.525219907409</v>
      </c>
      <c r="B517" s="90" t="s">
        <v>1174</v>
      </c>
      <c r="C517" s="90" t="s">
        <v>134</v>
      </c>
      <c r="D517" s="90" t="s">
        <v>209</v>
      </c>
      <c r="E517" s="91">
        <v>46231</v>
      </c>
      <c r="F517" s="92">
        <v>173343</v>
      </c>
      <c r="G517" s="93" t="s">
        <v>1741</v>
      </c>
      <c r="H517" s="92">
        <v>173554</v>
      </c>
      <c r="I517" s="93" t="s">
        <v>1742</v>
      </c>
      <c r="J517" s="90" t="s">
        <v>1743</v>
      </c>
      <c r="K517" s="94"/>
      <c r="L517" s="90" t="s">
        <v>60</v>
      </c>
      <c r="M517" s="94"/>
      <c r="N517" s="94"/>
      <c r="O517" s="94"/>
      <c r="P517" s="94"/>
      <c r="Q517" s="94"/>
      <c r="R517" s="94"/>
      <c r="S517" s="94"/>
      <c r="T517" s="94"/>
      <c r="U517" s="85">
        <f>(Tabela1[[#This Row],[Informe o KM final do dia]]-Tabela1[[#This Row],[Informe o KM inicial do dia]])-Tabela1[[#This Row],[Caso tenha rodado particular alguma parte do trajeto, informe o total de KM a ser deduzido.]]</f>
        <v>211</v>
      </c>
      <c r="V517" s="86">
        <f>IF(Tabela1[[#This Row],[Informe a data]]&lt;DATE(2026,3,16), Tabela1[[#This Row],[KM Rodado]]*1.1, Tabela1[[#This Row],[KM Rodado]]*1.23)</f>
        <v>259.52999999999997</v>
      </c>
      <c r="W517" s="86">
        <f>IFERROR(SUBSTITUTE(Tabela1[[#This Row],[Pedágio]],".",",",1)*1,0)</f>
        <v>0</v>
      </c>
      <c r="X517" s="86">
        <f>IFERROR(SUBSTITUTE(Tabela1[[#This Row],[Estacionamento]],".",",",1)*1,0)</f>
        <v>0</v>
      </c>
      <c r="Y517" s="86">
        <f>IFERROR(SUBSTITUTE(Tabela1[[#This Row],[Despesas Diversas 
(Jantar em viagem, Impressões, Etc)]],".",",",1)*1,0)</f>
        <v>0</v>
      </c>
      <c r="Z517" s="86">
        <f>IFERROR(SUBSTITUTE(Tabela1[[#This Row],[Hospedagem]],".",",",1)*1,0)</f>
        <v>0</v>
      </c>
      <c r="AA517" s="56" t="str">
        <f>IF(DAY(Tabela1[[#This Row],[Informe a data]])&lt;=15,"1ª Quinzena","2ª Quinzena")</f>
        <v>2ª Quinzena</v>
      </c>
      <c r="AB517" s="56" t="str">
        <f>UPPER(TEXT(Tabela1[[#This Row],[Informe a data]],"mmmm"))</f>
        <v>JULHO</v>
      </c>
      <c r="AC517" s="87" t="e">
        <f ca="1">_xlfn.CONCAT(Tabela1[[#This Row],[Selecione o Usuário]]," - ",TEXT(Tabela1[[#This Row],[Informe a data]],"dd-mm-aa"))</f>
        <v>#NAME?</v>
      </c>
    </row>
    <row r="518" spans="1:29">
      <c r="A518" s="49">
        <v>46233.547523148147</v>
      </c>
      <c r="B518" s="50" t="s">
        <v>1260</v>
      </c>
      <c r="C518" s="50" t="s">
        <v>505</v>
      </c>
      <c r="D518" s="50" t="s">
        <v>506</v>
      </c>
      <c r="E518" s="51">
        <v>46231</v>
      </c>
      <c r="F518" s="52">
        <v>108749</v>
      </c>
      <c r="G518" s="58" t="s">
        <v>1750</v>
      </c>
      <c r="H518" s="52">
        <v>108846</v>
      </c>
      <c r="I518" s="58" t="s">
        <v>1751</v>
      </c>
      <c r="J518" s="50" t="s">
        <v>1752</v>
      </c>
      <c r="K518" s="53"/>
      <c r="L518" s="50" t="s">
        <v>60</v>
      </c>
      <c r="M518" s="53"/>
      <c r="N518" s="53"/>
      <c r="O518" s="53"/>
      <c r="P518" s="53"/>
      <c r="Q518" s="53"/>
      <c r="R518" s="53"/>
      <c r="S518" s="53"/>
      <c r="T518" s="53"/>
      <c r="U518" s="85">
        <f>(Tabela1[[#This Row],[Informe o KM final do dia]]-Tabela1[[#This Row],[Informe o KM inicial do dia]])-Tabela1[[#This Row],[Caso tenha rodado particular alguma parte do trajeto, informe o total de KM a ser deduzido.]]</f>
        <v>97</v>
      </c>
      <c r="V518" s="86">
        <f>IF(Tabela1[[#This Row],[Informe a data]]&lt;DATE(2026,3,16), Tabela1[[#This Row],[KM Rodado]]*1.1, Tabela1[[#This Row],[KM Rodado]]*1.23)</f>
        <v>119.31</v>
      </c>
      <c r="W518" s="86">
        <f>IFERROR(SUBSTITUTE(Tabela1[[#This Row],[Pedágio]],".",",",1)*1,0)</f>
        <v>0</v>
      </c>
      <c r="X518" s="86">
        <f>IFERROR(SUBSTITUTE(Tabela1[[#This Row],[Estacionamento]],".",",",1)*1,0)</f>
        <v>0</v>
      </c>
      <c r="Y518" s="86">
        <f>IFERROR(SUBSTITUTE(Tabela1[[#This Row],[Despesas Diversas 
(Jantar em viagem, Impressões, Etc)]],".",",",1)*1,0)</f>
        <v>0</v>
      </c>
      <c r="Z518" s="86">
        <f>IFERROR(SUBSTITUTE(Tabela1[[#This Row],[Hospedagem]],".",",",1)*1,0)</f>
        <v>0</v>
      </c>
      <c r="AA518" s="56" t="str">
        <f>IF(DAY(Tabela1[[#This Row],[Informe a data]])&lt;=15,"1ª Quinzena","2ª Quinzena")</f>
        <v>2ª Quinzena</v>
      </c>
      <c r="AB518" s="56" t="str">
        <f>UPPER(TEXT(Tabela1[[#This Row],[Informe a data]],"mmmm"))</f>
        <v>JULHO</v>
      </c>
      <c r="AC518" s="87" t="e">
        <f ca="1">_xlfn.CONCAT(Tabela1[[#This Row],[Selecione o Usuário]]," - ",TEXT(Tabela1[[#This Row],[Informe a data]],"dd-mm-aa"))</f>
        <v>#NAME?</v>
      </c>
    </row>
    <row r="519" spans="1:29">
      <c r="A519" s="49">
        <v>46235.096388888887</v>
      </c>
      <c r="B519" s="50" t="s">
        <v>176</v>
      </c>
      <c r="C519" s="50" t="s">
        <v>136</v>
      </c>
      <c r="D519" s="50" t="s">
        <v>177</v>
      </c>
      <c r="E519" s="51">
        <v>46231</v>
      </c>
      <c r="F519" s="52">
        <v>177650</v>
      </c>
      <c r="G519" s="58" t="s">
        <v>1756</v>
      </c>
      <c r="H519" s="52">
        <v>177894</v>
      </c>
      <c r="I519" s="58" t="s">
        <v>1757</v>
      </c>
      <c r="J519" s="50" t="s">
        <v>1758</v>
      </c>
      <c r="K519" s="53"/>
      <c r="L519" s="50" t="s">
        <v>60</v>
      </c>
      <c r="M519" s="53"/>
      <c r="N519" s="53"/>
      <c r="O519" s="53"/>
      <c r="P519" s="53"/>
      <c r="Q519" s="53"/>
      <c r="R519" s="53"/>
      <c r="S519" s="53"/>
      <c r="T519" s="53"/>
      <c r="U519" s="85">
        <f>(Tabela1[[#This Row],[Informe o KM final do dia]]-Tabela1[[#This Row],[Informe o KM inicial do dia]])-Tabela1[[#This Row],[Caso tenha rodado particular alguma parte do trajeto, informe o total de KM a ser deduzido.]]</f>
        <v>244</v>
      </c>
      <c r="V519" s="86">
        <f>IF(Tabela1[[#This Row],[Informe a data]]&lt;DATE(2026,3,16), Tabela1[[#This Row],[KM Rodado]]*1.1, Tabela1[[#This Row],[KM Rodado]]*1.23)</f>
        <v>300.12</v>
      </c>
      <c r="W519" s="86">
        <f>IFERROR(SUBSTITUTE(Tabela1[[#This Row],[Pedágio]],".",",",1)*1,0)</f>
        <v>0</v>
      </c>
      <c r="X519" s="86">
        <f>IFERROR(SUBSTITUTE(Tabela1[[#This Row],[Estacionamento]],".",",",1)*1,0)</f>
        <v>0</v>
      </c>
      <c r="Y519" s="86">
        <f>IFERROR(SUBSTITUTE(Tabela1[[#This Row],[Despesas Diversas 
(Jantar em viagem, Impressões, Etc)]],".",",",1)*1,0)</f>
        <v>0</v>
      </c>
      <c r="Z519" s="86">
        <f>IFERROR(SUBSTITUTE(Tabela1[[#This Row],[Hospedagem]],".",",",1)*1,0)</f>
        <v>0</v>
      </c>
      <c r="AA519" s="56" t="str">
        <f>IF(DAY(Tabela1[[#This Row],[Informe a data]])&lt;=15,"1ª Quinzena","2ª Quinzena")</f>
        <v>2ª Quinzena</v>
      </c>
      <c r="AB519" s="56" t="str">
        <f>UPPER(TEXT(Tabela1[[#This Row],[Informe a data]],"mmmm"))</f>
        <v>JULHO</v>
      </c>
      <c r="AC519" s="87" t="e">
        <f ca="1">_xlfn.CONCAT(Tabela1[[#This Row],[Selecione o Usuário]]," - ",TEXT(Tabela1[[#This Row],[Informe a data]],"dd-mm-aa"))</f>
        <v>#NAME?</v>
      </c>
    </row>
    <row r="520" spans="1:29">
      <c r="A520" s="89">
        <v>46231.827928240738</v>
      </c>
      <c r="B520" s="90" t="s">
        <v>1605</v>
      </c>
      <c r="C520" s="90" t="s">
        <v>1696</v>
      </c>
      <c r="D520" s="90" t="s">
        <v>1606</v>
      </c>
      <c r="E520" s="91">
        <v>46231</v>
      </c>
      <c r="F520" s="92">
        <v>119540</v>
      </c>
      <c r="G520" s="93" t="s">
        <v>1747</v>
      </c>
      <c r="H520" s="92">
        <v>119596</v>
      </c>
      <c r="I520" s="93" t="s">
        <v>1748</v>
      </c>
      <c r="J520" s="90" t="s">
        <v>1749</v>
      </c>
      <c r="K520" s="94"/>
      <c r="L520" s="90" t="s">
        <v>60</v>
      </c>
      <c r="M520" s="94"/>
      <c r="N520" s="94"/>
      <c r="O520" s="94"/>
      <c r="P520" s="94"/>
      <c r="Q520" s="94"/>
      <c r="R520" s="94"/>
      <c r="S520" s="94"/>
      <c r="T520" s="94"/>
      <c r="U520" s="85">
        <f>(Tabela1[[#This Row],[Informe o KM final do dia]]-Tabela1[[#This Row],[Informe o KM inicial do dia]])-Tabela1[[#This Row],[Caso tenha rodado particular alguma parte do trajeto, informe o total de KM a ser deduzido.]]</f>
        <v>56</v>
      </c>
      <c r="V520" s="86">
        <f>IF(Tabela1[[#This Row],[Informe a data]]&lt;DATE(2026,3,16), Tabela1[[#This Row],[KM Rodado]]*1.1, Tabela1[[#This Row],[KM Rodado]]*1.23)</f>
        <v>68.88</v>
      </c>
      <c r="W520" s="86">
        <f>IFERROR(SUBSTITUTE(Tabela1[[#This Row],[Pedágio]],".",",",1)*1,0)</f>
        <v>0</v>
      </c>
      <c r="X520" s="86">
        <f>IFERROR(SUBSTITUTE(Tabela1[[#This Row],[Estacionamento]],".",",",1)*1,0)</f>
        <v>0</v>
      </c>
      <c r="Y520" s="86">
        <f>IFERROR(SUBSTITUTE(Tabela1[[#This Row],[Despesas Diversas 
(Jantar em viagem, Impressões, Etc)]],".",",",1)*1,0)</f>
        <v>0</v>
      </c>
      <c r="Z520" s="86">
        <f>IFERROR(SUBSTITUTE(Tabela1[[#This Row],[Hospedagem]],".",",",1)*1,0)</f>
        <v>0</v>
      </c>
      <c r="AA520" s="56" t="str">
        <f>IF(DAY(Tabela1[[#This Row],[Informe a data]])&lt;=15,"1ª Quinzena","2ª Quinzena")</f>
        <v>2ª Quinzena</v>
      </c>
      <c r="AB520" s="56" t="str">
        <f>UPPER(TEXT(Tabela1[[#This Row],[Informe a data]],"mmmm"))</f>
        <v>JULHO</v>
      </c>
      <c r="AC520" s="87" t="e">
        <f ca="1">_xlfn.CONCAT(Tabela1[[#This Row],[Selecione o Usuário]]," - ",TEXT(Tabela1[[#This Row],[Informe a data]],"dd-mm-aa"))</f>
        <v>#NAME?</v>
      </c>
    </row>
    <row r="521" spans="1:29">
      <c r="A521" s="49">
        <v>46234.555277777778</v>
      </c>
      <c r="B521" s="50" t="s">
        <v>1634</v>
      </c>
      <c r="C521" s="50" t="s">
        <v>44</v>
      </c>
      <c r="D521" s="50" t="s">
        <v>1636</v>
      </c>
      <c r="E521" s="51">
        <v>46232</v>
      </c>
      <c r="F521" s="52">
        <v>135015</v>
      </c>
      <c r="G521" s="58" t="s">
        <v>1762</v>
      </c>
      <c r="H521" s="52">
        <v>135092</v>
      </c>
      <c r="I521" s="58" t="s">
        <v>1763</v>
      </c>
      <c r="J521" s="50" t="s">
        <v>1764</v>
      </c>
      <c r="K521" s="53"/>
      <c r="L521" s="50" t="s">
        <v>60</v>
      </c>
      <c r="M521" s="53"/>
      <c r="N521" s="53"/>
      <c r="O521" s="53"/>
      <c r="P521" s="53"/>
      <c r="Q521" s="53"/>
      <c r="R521" s="53"/>
      <c r="S521" s="53"/>
      <c r="T521" s="53"/>
      <c r="U521" s="85">
        <f>(Tabela1[[#This Row],[Informe o KM final do dia]]-Tabela1[[#This Row],[Informe o KM inicial do dia]])-Tabela1[[#This Row],[Caso tenha rodado particular alguma parte do trajeto, informe o total de KM a ser deduzido.]]</f>
        <v>77</v>
      </c>
      <c r="V521" s="86">
        <f>IF(Tabela1[[#This Row],[Informe a data]]&lt;DATE(2026,3,16), Tabela1[[#This Row],[KM Rodado]]*1.1, Tabela1[[#This Row],[KM Rodado]]*1.23)</f>
        <v>94.71</v>
      </c>
      <c r="W521" s="86">
        <f>IFERROR(SUBSTITUTE(Tabela1[[#This Row],[Pedágio]],".",",",1)*1,0)</f>
        <v>0</v>
      </c>
      <c r="X521" s="86">
        <f>IFERROR(SUBSTITUTE(Tabela1[[#This Row],[Estacionamento]],".",",",1)*1,0)</f>
        <v>0</v>
      </c>
      <c r="Y521" s="86">
        <f>IFERROR(SUBSTITUTE(Tabela1[[#This Row],[Despesas Diversas 
(Jantar em viagem, Impressões, Etc)]],".",",",1)*1,0)</f>
        <v>0</v>
      </c>
      <c r="Z521" s="86">
        <f>IFERROR(SUBSTITUTE(Tabela1[[#This Row],[Hospedagem]],".",",",1)*1,0)</f>
        <v>0</v>
      </c>
      <c r="AA521" s="56" t="str">
        <f>IF(DAY(Tabela1[[#This Row],[Informe a data]])&lt;=15,"1ª Quinzena","2ª Quinzena")</f>
        <v>2ª Quinzena</v>
      </c>
      <c r="AB521" s="56" t="str">
        <f>UPPER(TEXT(Tabela1[[#This Row],[Informe a data]],"mmmm"))</f>
        <v>JULHO</v>
      </c>
      <c r="AC521" s="87" t="e">
        <f ca="1">_xlfn.CONCAT(Tabela1[[#This Row],[Selecione o Usuário]]," - ",TEXT(Tabela1[[#This Row],[Informe a data]],"dd-mm-aa"))</f>
        <v>#NAME?</v>
      </c>
    </row>
    <row r="522" spans="1:29">
      <c r="A522" s="89">
        <v>46232.752106481479</v>
      </c>
      <c r="B522" s="90" t="s">
        <v>1605</v>
      </c>
      <c r="C522" s="90" t="s">
        <v>1696</v>
      </c>
      <c r="D522" s="90" t="s">
        <v>1606</v>
      </c>
      <c r="E522" s="91">
        <v>46232</v>
      </c>
      <c r="F522" s="92">
        <v>119596</v>
      </c>
      <c r="G522" s="93" t="s">
        <v>1759</v>
      </c>
      <c r="H522" s="92">
        <v>119756</v>
      </c>
      <c r="I522" s="93" t="s">
        <v>1760</v>
      </c>
      <c r="J522" s="90" t="s">
        <v>1761</v>
      </c>
      <c r="K522" s="94"/>
      <c r="L522" s="90" t="s">
        <v>60</v>
      </c>
      <c r="M522" s="94"/>
      <c r="N522" s="94"/>
      <c r="O522" s="94"/>
      <c r="P522" s="94"/>
      <c r="Q522" s="94"/>
      <c r="R522" s="94"/>
      <c r="S522" s="94"/>
      <c r="T522" s="94"/>
      <c r="U522" s="85">
        <f>(Tabela1[[#This Row],[Informe o KM final do dia]]-Tabela1[[#This Row],[Informe o KM inicial do dia]])-Tabela1[[#This Row],[Caso tenha rodado particular alguma parte do trajeto, informe o total de KM a ser deduzido.]]</f>
        <v>160</v>
      </c>
      <c r="V522" s="86">
        <f>IF(Tabela1[[#This Row],[Informe a data]]&lt;DATE(2026,3,16), Tabela1[[#This Row],[KM Rodado]]*1.1, Tabela1[[#This Row],[KM Rodado]]*1.23)</f>
        <v>196.8</v>
      </c>
      <c r="W522" s="86">
        <f>IFERROR(SUBSTITUTE(Tabela1[[#This Row],[Pedágio]],".",",",1)*1,0)</f>
        <v>0</v>
      </c>
      <c r="X522" s="86">
        <f>IFERROR(SUBSTITUTE(Tabela1[[#This Row],[Estacionamento]],".",",",1)*1,0)</f>
        <v>0</v>
      </c>
      <c r="Y522" s="86">
        <f>IFERROR(SUBSTITUTE(Tabela1[[#This Row],[Despesas Diversas 
(Jantar em viagem, Impressões, Etc)]],".",",",1)*1,0)</f>
        <v>0</v>
      </c>
      <c r="Z522" s="86">
        <f>IFERROR(SUBSTITUTE(Tabela1[[#This Row],[Hospedagem]],".",",",1)*1,0)</f>
        <v>0</v>
      </c>
      <c r="AA522" s="56" t="str">
        <f>IF(DAY(Tabela1[[#This Row],[Informe a data]])&lt;=15,"1ª Quinzena","2ª Quinzena")</f>
        <v>2ª Quinzena</v>
      </c>
      <c r="AB522" s="56" t="str">
        <f>UPPER(TEXT(Tabela1[[#This Row],[Informe a data]],"mmmm"))</f>
        <v>JULHO</v>
      </c>
      <c r="AC522" s="87" t="e">
        <f ca="1">_xlfn.CONCAT(Tabela1[[#This Row],[Selecione o Usuário]]," - ",TEXT(Tabela1[[#This Row],[Informe a data]],"dd-mm-aa"))</f>
        <v>#NAME?</v>
      </c>
    </row>
    <row r="523" spans="1:29">
      <c r="A523" s="89">
        <v>46234.559745370374</v>
      </c>
      <c r="B523" s="90" t="s">
        <v>1634</v>
      </c>
      <c r="C523" s="90" t="s">
        <v>44</v>
      </c>
      <c r="D523" s="90" t="s">
        <v>1636</v>
      </c>
      <c r="E523" s="91">
        <v>46233</v>
      </c>
      <c r="F523" s="92">
        <v>135092</v>
      </c>
      <c r="G523" s="93" t="s">
        <v>1765</v>
      </c>
      <c r="H523" s="92">
        <v>135145</v>
      </c>
      <c r="I523" s="93" t="s">
        <v>1766</v>
      </c>
      <c r="J523" s="90" t="s">
        <v>1767</v>
      </c>
      <c r="K523" s="94"/>
      <c r="L523" s="90" t="s">
        <v>60</v>
      </c>
      <c r="M523" s="94"/>
      <c r="N523" s="94"/>
      <c r="O523" s="94"/>
      <c r="P523" s="94"/>
      <c r="Q523" s="94"/>
      <c r="R523" s="94"/>
      <c r="S523" s="94"/>
      <c r="T523" s="94"/>
      <c r="U523" s="85">
        <f>(Tabela1[[#This Row],[Informe o KM final do dia]]-Tabela1[[#This Row],[Informe o KM inicial do dia]])-Tabela1[[#This Row],[Caso tenha rodado particular alguma parte do trajeto, informe o total de KM a ser deduzido.]]</f>
        <v>53</v>
      </c>
      <c r="V523" s="86">
        <f>IF(Tabela1[[#This Row],[Informe a data]]&lt;DATE(2026,3,16), Tabela1[[#This Row],[KM Rodado]]*1.1, Tabela1[[#This Row],[KM Rodado]]*1.23)</f>
        <v>65.19</v>
      </c>
      <c r="W523" s="86">
        <f>IFERROR(SUBSTITUTE(Tabela1[[#This Row],[Pedágio]],".",",",1)*1,0)</f>
        <v>0</v>
      </c>
      <c r="X523" s="86">
        <f>IFERROR(SUBSTITUTE(Tabela1[[#This Row],[Estacionamento]],".",",",1)*1,0)</f>
        <v>0</v>
      </c>
      <c r="Y523" s="86">
        <f>IFERROR(SUBSTITUTE(Tabela1[[#This Row],[Despesas Diversas 
(Jantar em viagem, Impressões, Etc)]],".",",",1)*1,0)</f>
        <v>0</v>
      </c>
      <c r="Z523" s="86">
        <f>IFERROR(SUBSTITUTE(Tabela1[[#This Row],[Hospedagem]],".",",",1)*1,0)</f>
        <v>0</v>
      </c>
      <c r="AA523" s="56" t="str">
        <f>IF(DAY(Tabela1[[#This Row],[Informe a data]])&lt;=15,"1ª Quinzena","2ª Quinzena")</f>
        <v>2ª Quinzena</v>
      </c>
      <c r="AB523" s="56" t="str">
        <f>UPPER(TEXT(Tabela1[[#This Row],[Informe a data]],"mmmm"))</f>
        <v>JULHO</v>
      </c>
      <c r="AC523" s="87" t="e">
        <f ca="1">_xlfn.CONCAT(Tabela1[[#This Row],[Selecione o Usuário]]," - ",TEXT(Tabela1[[#This Row],[Informe a data]],"dd-mm-aa"))</f>
        <v>#NAME?</v>
      </c>
    </row>
    <row r="524" spans="1:29">
      <c r="A524" s="110">
        <v>46235.099143518521</v>
      </c>
      <c r="B524" s="106" t="s">
        <v>176</v>
      </c>
      <c r="C524" s="106" t="s">
        <v>136</v>
      </c>
      <c r="D524" s="106" t="s">
        <v>177</v>
      </c>
      <c r="E524" s="107">
        <v>46234</v>
      </c>
      <c r="F524" s="108">
        <v>177902</v>
      </c>
      <c r="G524" s="111" t="s">
        <v>1768</v>
      </c>
      <c r="H524" s="108">
        <v>178000</v>
      </c>
      <c r="I524" s="111" t="s">
        <v>1769</v>
      </c>
      <c r="J524" s="106" t="s">
        <v>1770</v>
      </c>
      <c r="K524" s="109"/>
      <c r="L524" s="106" t="s">
        <v>60</v>
      </c>
      <c r="M524" s="109"/>
      <c r="N524" s="109"/>
      <c r="O524" s="109"/>
      <c r="P524" s="109"/>
      <c r="Q524" s="109"/>
      <c r="R524" s="109"/>
      <c r="S524" s="109"/>
      <c r="T524" s="109"/>
      <c r="U524" s="95">
        <f>(Tabela1[[#This Row],[Informe o KM final do dia]]-Tabela1[[#This Row],[Informe o KM inicial do dia]])-Tabela1[[#This Row],[Caso tenha rodado particular alguma parte do trajeto, informe o total de KM a ser deduzido.]]</f>
        <v>98</v>
      </c>
      <c r="V524" s="97">
        <f>IF(Tabela1[[#This Row],[Informe a data]]&lt;DATE(2026,3,16), Tabela1[[#This Row],[KM Rodado]]*1.1, Tabela1[[#This Row],[KM Rodado]]*1.23)</f>
        <v>120.53999999999999</v>
      </c>
      <c r="W524" s="97">
        <f>IFERROR(SUBSTITUTE(Tabela1[[#This Row],[Pedágio]],".",",",1)*1,0)</f>
        <v>0</v>
      </c>
      <c r="X524" s="97">
        <f>IFERROR(SUBSTITUTE(Tabela1[[#This Row],[Estacionamento]],".",",",1)*1,0)</f>
        <v>0</v>
      </c>
      <c r="Y524" s="97">
        <f>IFERROR(SUBSTITUTE(Tabela1[[#This Row],[Despesas Diversas 
(Jantar em viagem, Impressões, Etc)]],".",",",1)*1,0)</f>
        <v>0</v>
      </c>
      <c r="Z524" s="97">
        <f>IFERROR(SUBSTITUTE(Tabela1[[#This Row],[Hospedagem]],".",",",1)*1,0)</f>
        <v>0</v>
      </c>
      <c r="AA524" s="98" t="str">
        <f>IF(DAY(Tabela1[[#This Row],[Informe a data]])&lt;=15,"1ª Quinzena","2ª Quinzena")</f>
        <v>2ª Quinzena</v>
      </c>
      <c r="AB524" s="98" t="str">
        <f>UPPER(TEXT(Tabela1[[#This Row],[Informe a data]],"mmmm"))</f>
        <v>JULHO</v>
      </c>
      <c r="AC524" s="99" t="e">
        <f ca="1">_xlfn.CONCAT(Tabela1[[#This Row],[Selecione o Usuário]]," - ",TEXT(Tabela1[[#This Row],[Informe a data]],"dd-mm-aa"))</f>
        <v>#NAME?</v>
      </c>
    </row>
    <row r="525" spans="1:29">
      <c r="A525" s="89">
        <v>46237.476701388892</v>
      </c>
      <c r="B525" s="90" t="s">
        <v>1174</v>
      </c>
      <c r="C525" s="90" t="s">
        <v>134</v>
      </c>
      <c r="D525" s="90" t="s">
        <v>209</v>
      </c>
      <c r="E525" s="91">
        <v>46237</v>
      </c>
      <c r="F525" s="92">
        <v>173630</v>
      </c>
      <c r="G525" s="93" t="s">
        <v>1772</v>
      </c>
      <c r="H525" s="92">
        <v>173883</v>
      </c>
      <c r="I525" s="93" t="s">
        <v>1773</v>
      </c>
      <c r="J525" s="90" t="s">
        <v>1774</v>
      </c>
      <c r="K525" s="94"/>
      <c r="L525" s="90" t="s">
        <v>60</v>
      </c>
      <c r="M525" s="94"/>
      <c r="N525" s="94"/>
      <c r="O525" s="94"/>
      <c r="P525" s="94"/>
      <c r="Q525" s="94"/>
      <c r="R525" s="94"/>
      <c r="S525" s="94"/>
      <c r="T525" s="94"/>
      <c r="U525" s="85">
        <f>(Tabela1[[#This Row],[Informe o KM final do dia]]-Tabela1[[#This Row],[Informe o KM inicial do dia]])-Tabela1[[#This Row],[Caso tenha rodado particular alguma parte do trajeto, informe o total de KM a ser deduzido.]]</f>
        <v>253</v>
      </c>
      <c r="V525" s="86">
        <f>IF(Tabela1[[#This Row],[Informe a data]]&lt;DATE(2026,3,16), Tabela1[[#This Row],[KM Rodado]]*1.1, Tabela1[[#This Row],[KM Rodado]]*1.23)</f>
        <v>311.19</v>
      </c>
      <c r="W525" s="86">
        <f>IFERROR(SUBSTITUTE(Tabela1[[#This Row],[Pedágio]],".",",",1)*1,0)</f>
        <v>0</v>
      </c>
      <c r="X525" s="86">
        <f>IFERROR(SUBSTITUTE(Tabela1[[#This Row],[Estacionamento]],".",",",1)*1,0)</f>
        <v>0</v>
      </c>
      <c r="Y525" s="86">
        <f>IFERROR(SUBSTITUTE(Tabela1[[#This Row],[Despesas Diversas 
(Jantar em viagem, Impressões, Etc)]],".",",",1)*1,0)</f>
        <v>0</v>
      </c>
      <c r="Z525" s="86">
        <f>IFERROR(SUBSTITUTE(Tabela1[[#This Row],[Hospedagem]],".",",",1)*1,0)</f>
        <v>0</v>
      </c>
      <c r="AA525" s="56" t="str">
        <f>IF(DAY(Tabela1[[#This Row],[Informe a data]])&lt;=15,"1ª Quinzena","2ª Quinzena")</f>
        <v>1ª Quinzena</v>
      </c>
      <c r="AB525" s="56" t="str">
        <f>UPPER(TEXT(Tabela1[[#This Row],[Informe a data]],"mmmm"))</f>
        <v>AGOSTO</v>
      </c>
      <c r="AC525" s="87" t="e">
        <f ca="1">_xlfn.CONCAT(Tabela1[[#This Row],[Selecione o Usuário]]," - ",TEXT(Tabela1[[#This Row],[Informe a data]],"dd-mm-aa"))</f>
        <v>#NAME?</v>
      </c>
    </row>
    <row r="526" spans="1:29">
      <c r="A526" s="49">
        <v>46237.765868055554</v>
      </c>
      <c r="B526" s="50" t="s">
        <v>131</v>
      </c>
      <c r="C526" s="50" t="s">
        <v>132</v>
      </c>
      <c r="D526" s="50" t="s">
        <v>133</v>
      </c>
      <c r="E526" s="51">
        <v>46237</v>
      </c>
      <c r="F526" s="52">
        <v>196646</v>
      </c>
      <c r="G526" s="58" t="s">
        <v>1775</v>
      </c>
      <c r="H526" s="52">
        <v>196701</v>
      </c>
      <c r="I526" s="58" t="s">
        <v>1776</v>
      </c>
      <c r="J526" s="50" t="s">
        <v>1777</v>
      </c>
      <c r="K526" s="53"/>
      <c r="L526" s="50" t="s">
        <v>60</v>
      </c>
      <c r="M526" s="53"/>
      <c r="N526" s="53"/>
      <c r="O526" s="53"/>
      <c r="P526" s="53"/>
      <c r="Q526" s="53"/>
      <c r="R526" s="53"/>
      <c r="S526" s="53"/>
      <c r="T526" s="53"/>
      <c r="U526" s="85">
        <f>(Tabela1[[#This Row],[Informe o KM final do dia]]-Tabela1[[#This Row],[Informe o KM inicial do dia]])-Tabela1[[#This Row],[Caso tenha rodado particular alguma parte do trajeto, informe o total de KM a ser deduzido.]]</f>
        <v>55</v>
      </c>
      <c r="V526" s="86">
        <f>IF(Tabela1[[#This Row],[Informe a data]]&lt;DATE(2026,3,16), Tabela1[[#This Row],[KM Rodado]]*1.1, Tabela1[[#This Row],[KM Rodado]]*1.23)</f>
        <v>67.650000000000006</v>
      </c>
      <c r="W526" s="86">
        <f>IFERROR(SUBSTITUTE(Tabela1[[#This Row],[Pedágio]],".",",",1)*1,0)</f>
        <v>0</v>
      </c>
      <c r="X526" s="86">
        <f>IFERROR(SUBSTITUTE(Tabela1[[#This Row],[Estacionamento]],".",",",1)*1,0)</f>
        <v>0</v>
      </c>
      <c r="Y526" s="86">
        <f>IFERROR(SUBSTITUTE(Tabela1[[#This Row],[Despesas Diversas 
(Jantar em viagem, Impressões, Etc)]],".",",",1)*1,0)</f>
        <v>0</v>
      </c>
      <c r="Z526" s="86">
        <f>IFERROR(SUBSTITUTE(Tabela1[[#This Row],[Hospedagem]],".",",",1)*1,0)</f>
        <v>0</v>
      </c>
      <c r="AA526" s="56" t="str">
        <f>IF(DAY(Tabela1[[#This Row],[Informe a data]])&lt;=15,"1ª Quinzena","2ª Quinzena")</f>
        <v>1ª Quinzena</v>
      </c>
      <c r="AB526" s="56" t="str">
        <f>UPPER(TEXT(Tabela1[[#This Row],[Informe a data]],"mmmm"))</f>
        <v>AGOSTO</v>
      </c>
      <c r="AC526" s="87" t="e">
        <f ca="1">_xlfn.CONCAT(Tabela1[[#This Row],[Selecione o Usuário]]," - ",TEXT(Tabela1[[#This Row],[Informe a data]],"dd-mm-aa"))</f>
        <v>#NAME?</v>
      </c>
    </row>
    <row r="527" spans="1:29">
      <c r="A527" s="89">
        <v>46249.882337962961</v>
      </c>
      <c r="B527" s="90" t="s">
        <v>1260</v>
      </c>
      <c r="C527" s="90" t="s">
        <v>505</v>
      </c>
      <c r="D527" s="90" t="s">
        <v>506</v>
      </c>
      <c r="E527" s="91">
        <v>46237</v>
      </c>
      <c r="F527" s="92">
        <v>109034</v>
      </c>
      <c r="G527" s="93" t="s">
        <v>1853</v>
      </c>
      <c r="H527" s="92">
        <v>109149</v>
      </c>
      <c r="I527" s="93" t="s">
        <v>1854</v>
      </c>
      <c r="J527" s="90" t="s">
        <v>1855</v>
      </c>
      <c r="K527" s="94"/>
      <c r="L527" s="90" t="s">
        <v>60</v>
      </c>
      <c r="M527" s="94"/>
      <c r="N527" s="94"/>
      <c r="O527" s="94"/>
      <c r="P527" s="94"/>
      <c r="Q527" s="94"/>
      <c r="R527" s="94"/>
      <c r="S527" s="94"/>
      <c r="T527" s="94"/>
      <c r="U527" s="85">
        <f>(Tabela1[[#This Row],[Informe o KM final do dia]]-Tabela1[[#This Row],[Informe o KM inicial do dia]])-Tabela1[[#This Row],[Caso tenha rodado particular alguma parte do trajeto, informe o total de KM a ser deduzido.]]</f>
        <v>115</v>
      </c>
      <c r="V527" s="86">
        <f>IF(Tabela1[[#This Row],[Informe a data]]&lt;DATE(2026,3,16), Tabela1[[#This Row],[KM Rodado]]*1.1, Tabela1[[#This Row],[KM Rodado]]*1.23)</f>
        <v>141.44999999999999</v>
      </c>
      <c r="W527" s="86">
        <f>IFERROR(SUBSTITUTE(Tabela1[[#This Row],[Pedágio]],".",",",1)*1,0)</f>
        <v>0</v>
      </c>
      <c r="X527" s="86">
        <f>IFERROR(SUBSTITUTE(Tabela1[[#This Row],[Estacionamento]],".",",",1)*1,0)</f>
        <v>0</v>
      </c>
      <c r="Y527" s="86">
        <f>IFERROR(SUBSTITUTE(Tabela1[[#This Row],[Despesas Diversas 
(Jantar em viagem, Impressões, Etc)]],".",",",1)*1,0)</f>
        <v>0</v>
      </c>
      <c r="Z527" s="86">
        <f>IFERROR(SUBSTITUTE(Tabela1[[#This Row],[Hospedagem]],".",",",1)*1,0)</f>
        <v>0</v>
      </c>
      <c r="AA527" s="56" t="str">
        <f>IF(DAY(Tabela1[[#This Row],[Informe a data]])&lt;=15,"1ª Quinzena","2ª Quinzena")</f>
        <v>1ª Quinzena</v>
      </c>
      <c r="AB527" s="56" t="str">
        <f>UPPER(TEXT(Tabela1[[#This Row],[Informe a data]],"mmmm"))</f>
        <v>AGOSTO</v>
      </c>
      <c r="AC527" s="87" t="e">
        <f ca="1">_xlfn.CONCAT(Tabela1[[#This Row],[Selecione o Usuário]]," - ",TEXT(Tabela1[[#This Row],[Informe a data]],"dd-mm-aa"))</f>
        <v>#NAME?</v>
      </c>
    </row>
    <row r="528" spans="1:29">
      <c r="A528" s="89">
        <v>46238.561111111114</v>
      </c>
      <c r="B528" s="90" t="s">
        <v>1605</v>
      </c>
      <c r="C528" s="90" t="s">
        <v>1696</v>
      </c>
      <c r="D528" s="90" t="s">
        <v>1606</v>
      </c>
      <c r="E528" s="91">
        <v>46238</v>
      </c>
      <c r="F528" s="92">
        <v>119987</v>
      </c>
      <c r="G528" s="93" t="s">
        <v>1778</v>
      </c>
      <c r="H528" s="92">
        <v>120024</v>
      </c>
      <c r="I528" s="93" t="s">
        <v>1779</v>
      </c>
      <c r="J528" s="90" t="s">
        <v>1780</v>
      </c>
      <c r="K528" s="94"/>
      <c r="L528" s="90" t="s">
        <v>61</v>
      </c>
      <c r="M528" s="94"/>
      <c r="N528" s="94"/>
      <c r="O528" s="94"/>
      <c r="P528" s="94"/>
      <c r="Q528" s="94"/>
      <c r="R528" s="93" t="s">
        <v>1781</v>
      </c>
      <c r="S528" s="94"/>
      <c r="T528" s="94" t="s">
        <v>1782</v>
      </c>
      <c r="U528" s="85">
        <f>(Tabela1[[#This Row],[Informe o KM final do dia]]-Tabela1[[#This Row],[Informe o KM inicial do dia]])-Tabela1[[#This Row],[Caso tenha rodado particular alguma parte do trajeto, informe o total de KM a ser deduzido.]]</f>
        <v>37</v>
      </c>
      <c r="V528" s="86">
        <f>IF(Tabela1[[#This Row],[Informe a data]]&lt;DATE(2026,3,16), Tabela1[[#This Row],[KM Rodado]]*1.1, Tabela1[[#This Row],[KM Rodado]]*1.23)</f>
        <v>45.51</v>
      </c>
      <c r="W528" s="86">
        <f>IFERROR(SUBSTITUTE(Tabela1[[#This Row],[Pedágio]],".",",",1)*1,0)</f>
        <v>0</v>
      </c>
      <c r="X528" s="86">
        <f>IFERROR(SUBSTITUTE(Tabela1[[#This Row],[Estacionamento]],".",",",1)*1,0)</f>
        <v>0</v>
      </c>
      <c r="Y528" s="86">
        <f>IFERROR(SUBSTITUTE(Tabela1[[#This Row],[Despesas Diversas 
(Jantar em viagem, Impressões, Etc)]],".",",",1)*1,0)</f>
        <v>0</v>
      </c>
      <c r="Z528" s="86">
        <f>IFERROR(SUBSTITUTE(Tabela1[[#This Row],[Hospedagem]],".",",",1)*1,0)</f>
        <v>0</v>
      </c>
      <c r="AA528" s="56" t="str">
        <f>IF(DAY(Tabela1[[#This Row],[Informe a data]])&lt;=15,"1ª Quinzena","2ª Quinzena")</f>
        <v>1ª Quinzena</v>
      </c>
      <c r="AB528" s="56" t="str">
        <f>UPPER(TEXT(Tabela1[[#This Row],[Informe a data]],"mmmm"))</f>
        <v>AGOSTO</v>
      </c>
      <c r="AC528" s="87" t="e">
        <f ca="1">_xlfn.CONCAT(Tabela1[[#This Row],[Selecione o Usuário]]," - ",TEXT(Tabela1[[#This Row],[Informe a data]],"dd-mm-aa"))</f>
        <v>#NAME?</v>
      </c>
    </row>
    <row r="529" spans="1:29">
      <c r="A529" s="49">
        <v>46238.753831018519</v>
      </c>
      <c r="B529" s="50" t="s">
        <v>1174</v>
      </c>
      <c r="C529" s="50" t="s">
        <v>134</v>
      </c>
      <c r="D529" s="50" t="s">
        <v>209</v>
      </c>
      <c r="E529" s="51">
        <v>46238</v>
      </c>
      <c r="F529" s="52">
        <v>173883</v>
      </c>
      <c r="G529" s="58" t="s">
        <v>1783</v>
      </c>
      <c r="H529" s="52">
        <v>174129</v>
      </c>
      <c r="I529" s="58" t="s">
        <v>1784</v>
      </c>
      <c r="J529" s="50" t="s">
        <v>1785</v>
      </c>
      <c r="K529" s="53"/>
      <c r="L529" s="50" t="s">
        <v>60</v>
      </c>
      <c r="M529" s="53"/>
      <c r="N529" s="53"/>
      <c r="O529" s="53"/>
      <c r="P529" s="53"/>
      <c r="Q529" s="53"/>
      <c r="R529" s="53"/>
      <c r="S529" s="53"/>
      <c r="T529" s="53"/>
      <c r="U529" s="85">
        <f>(Tabela1[[#This Row],[Informe o KM final do dia]]-Tabela1[[#This Row],[Informe o KM inicial do dia]])-Tabela1[[#This Row],[Caso tenha rodado particular alguma parte do trajeto, informe o total de KM a ser deduzido.]]</f>
        <v>246</v>
      </c>
      <c r="V529" s="86">
        <f>IF(Tabela1[[#This Row],[Informe a data]]&lt;DATE(2026,3,16), Tabela1[[#This Row],[KM Rodado]]*1.1, Tabela1[[#This Row],[KM Rodado]]*1.23)</f>
        <v>302.58</v>
      </c>
      <c r="W529" s="86">
        <f>IFERROR(SUBSTITUTE(Tabela1[[#This Row],[Pedágio]],".",",",1)*1,0)</f>
        <v>0</v>
      </c>
      <c r="X529" s="86">
        <f>IFERROR(SUBSTITUTE(Tabela1[[#This Row],[Estacionamento]],".",",",1)*1,0)</f>
        <v>0</v>
      </c>
      <c r="Y529" s="86">
        <f>IFERROR(SUBSTITUTE(Tabela1[[#This Row],[Despesas Diversas 
(Jantar em viagem, Impressões, Etc)]],".",",",1)*1,0)</f>
        <v>0</v>
      </c>
      <c r="Z529" s="86">
        <f>IFERROR(SUBSTITUTE(Tabela1[[#This Row],[Hospedagem]],".",",",1)*1,0)</f>
        <v>0</v>
      </c>
      <c r="AA529" s="56" t="str">
        <f>IF(DAY(Tabela1[[#This Row],[Informe a data]])&lt;=15,"1ª Quinzena","2ª Quinzena")</f>
        <v>1ª Quinzena</v>
      </c>
      <c r="AB529" s="56" t="str">
        <f>UPPER(TEXT(Tabela1[[#This Row],[Informe a data]],"mmmm"))</f>
        <v>AGOSTO</v>
      </c>
      <c r="AC529" s="87" t="e">
        <f ca="1">_xlfn.CONCAT(Tabela1[[#This Row],[Selecione o Usuário]]," - ",TEXT(Tabela1[[#This Row],[Informe a data]],"dd-mm-aa"))</f>
        <v>#NAME?</v>
      </c>
    </row>
    <row r="530" spans="1:29">
      <c r="A530" s="89">
        <v>46238.758657407408</v>
      </c>
      <c r="B530" s="90" t="s">
        <v>131</v>
      </c>
      <c r="C530" s="90" t="s">
        <v>132</v>
      </c>
      <c r="D530" s="90" t="s">
        <v>133</v>
      </c>
      <c r="E530" s="91">
        <v>46238</v>
      </c>
      <c r="F530" s="92">
        <v>196701</v>
      </c>
      <c r="G530" s="93" t="s">
        <v>1786</v>
      </c>
      <c r="H530" s="92">
        <v>197162</v>
      </c>
      <c r="I530" s="93" t="s">
        <v>1787</v>
      </c>
      <c r="J530" s="90" t="s">
        <v>1788</v>
      </c>
      <c r="K530" s="94"/>
      <c r="L530" s="90" t="s">
        <v>61</v>
      </c>
      <c r="M530" s="90" t="s">
        <v>1789</v>
      </c>
      <c r="N530" s="93" t="s">
        <v>1790</v>
      </c>
      <c r="O530" s="94"/>
      <c r="P530" s="94"/>
      <c r="Q530" s="94"/>
      <c r="R530" s="94"/>
      <c r="S530" s="94"/>
      <c r="T530" s="94"/>
      <c r="U530" s="85">
        <f>(Tabela1[[#This Row],[Informe o KM final do dia]]-Tabela1[[#This Row],[Informe o KM inicial do dia]])-Tabela1[[#This Row],[Caso tenha rodado particular alguma parte do trajeto, informe o total de KM a ser deduzido.]]</f>
        <v>461</v>
      </c>
      <c r="V530" s="86">
        <f>IF(Tabela1[[#This Row],[Informe a data]]&lt;DATE(2026,3,16), Tabela1[[#This Row],[KM Rodado]]*1.1, Tabela1[[#This Row],[KM Rodado]]*1.23)</f>
        <v>567.03</v>
      </c>
      <c r="W530" s="86">
        <f>IFERROR(SUBSTITUTE(Tabela1[[#This Row],[Pedágio]],".",",",1)*1,0)</f>
        <v>32</v>
      </c>
      <c r="X530" s="86">
        <f>IFERROR(SUBSTITUTE(Tabela1[[#This Row],[Estacionamento]],".",",",1)*1,0)</f>
        <v>0</v>
      </c>
      <c r="Y530" s="86">
        <f>IFERROR(SUBSTITUTE(Tabela1[[#This Row],[Despesas Diversas 
(Jantar em viagem, Impressões, Etc)]],".",",",1)*1,0)</f>
        <v>0</v>
      </c>
      <c r="Z530" s="86">
        <f>IFERROR(SUBSTITUTE(Tabela1[[#This Row],[Hospedagem]],".",",",1)*1,0)</f>
        <v>0</v>
      </c>
      <c r="AA530" s="56" t="str">
        <f>IF(DAY(Tabela1[[#This Row],[Informe a data]])&lt;=15,"1ª Quinzena","2ª Quinzena")</f>
        <v>1ª Quinzena</v>
      </c>
      <c r="AB530" s="56" t="str">
        <f>UPPER(TEXT(Tabela1[[#This Row],[Informe a data]],"mmmm"))</f>
        <v>AGOSTO</v>
      </c>
      <c r="AC530" s="87" t="e">
        <f ca="1">_xlfn.CONCAT(Tabela1[[#This Row],[Selecione o Usuário]]," - ",TEXT(Tabela1[[#This Row],[Informe a data]],"dd-mm-aa"))</f>
        <v>#NAME?</v>
      </c>
    </row>
    <row r="531" spans="1:29">
      <c r="A531" s="89">
        <v>46249.396203703705</v>
      </c>
      <c r="B531" s="90" t="s">
        <v>300</v>
      </c>
      <c r="C531" s="90" t="s">
        <v>250</v>
      </c>
      <c r="D531" s="90" t="s">
        <v>228</v>
      </c>
      <c r="E531" s="91">
        <v>46238</v>
      </c>
      <c r="F531" s="92">
        <v>136488</v>
      </c>
      <c r="G531" s="93" t="s">
        <v>1847</v>
      </c>
      <c r="H531" s="92">
        <v>136622</v>
      </c>
      <c r="I531" s="93" t="s">
        <v>1848</v>
      </c>
      <c r="J531" s="90" t="s">
        <v>1849</v>
      </c>
      <c r="K531" s="94"/>
      <c r="L531" s="90" t="s">
        <v>60</v>
      </c>
      <c r="M531" s="94"/>
      <c r="N531" s="94"/>
      <c r="O531" s="94"/>
      <c r="P531" s="94"/>
      <c r="Q531" s="94"/>
      <c r="R531" s="94"/>
      <c r="S531" s="94"/>
      <c r="T531" s="94"/>
      <c r="U531" s="85">
        <f>(Tabela1[[#This Row],[Informe o KM final do dia]]-Tabela1[[#This Row],[Informe o KM inicial do dia]])-Tabela1[[#This Row],[Caso tenha rodado particular alguma parte do trajeto, informe o total de KM a ser deduzido.]]</f>
        <v>134</v>
      </c>
      <c r="V531" s="86">
        <f>IF(Tabela1[[#This Row],[Informe a data]]&lt;DATE(2026,3,16), Tabela1[[#This Row],[KM Rodado]]*1.1, Tabela1[[#This Row],[KM Rodado]]*1.23)</f>
        <v>164.82</v>
      </c>
      <c r="W531" s="86">
        <f>IFERROR(SUBSTITUTE(Tabela1[[#This Row],[Pedágio]],".",",",1)*1,0)</f>
        <v>0</v>
      </c>
      <c r="X531" s="86">
        <f>IFERROR(SUBSTITUTE(Tabela1[[#This Row],[Estacionamento]],".",",",1)*1,0)</f>
        <v>0</v>
      </c>
      <c r="Y531" s="86">
        <f>IFERROR(SUBSTITUTE(Tabela1[[#This Row],[Despesas Diversas 
(Jantar em viagem, Impressões, Etc)]],".",",",1)*1,0)</f>
        <v>0</v>
      </c>
      <c r="Z531" s="86">
        <f>IFERROR(SUBSTITUTE(Tabela1[[#This Row],[Hospedagem]],".",",",1)*1,0)</f>
        <v>0</v>
      </c>
      <c r="AA531" s="56" t="str">
        <f>IF(DAY(Tabela1[[#This Row],[Informe a data]])&lt;=15,"1ª Quinzena","2ª Quinzena")</f>
        <v>1ª Quinzena</v>
      </c>
      <c r="AB531" s="56" t="str">
        <f>UPPER(TEXT(Tabela1[[#This Row],[Informe a data]],"mmmm"))</f>
        <v>AGOSTO</v>
      </c>
      <c r="AC531" s="87" t="e">
        <f ca="1">_xlfn.CONCAT(Tabela1[[#This Row],[Selecione o Usuário]]," - ",TEXT(Tabela1[[#This Row],[Informe a data]],"dd-mm-aa"))</f>
        <v>#NAME?</v>
      </c>
    </row>
    <row r="532" spans="1:29">
      <c r="A532" s="49">
        <v>46251.137314814812</v>
      </c>
      <c r="B532" s="50" t="s">
        <v>176</v>
      </c>
      <c r="C532" s="50" t="s">
        <v>136</v>
      </c>
      <c r="D532" s="50" t="s">
        <v>177</v>
      </c>
      <c r="E532" s="51">
        <v>46238</v>
      </c>
      <c r="F532" s="52">
        <v>178073</v>
      </c>
      <c r="G532" s="58" t="s">
        <v>1874</v>
      </c>
      <c r="H532" s="52">
        <v>178195</v>
      </c>
      <c r="I532" s="58" t="s">
        <v>1875</v>
      </c>
      <c r="J532" s="50" t="s">
        <v>1876</v>
      </c>
      <c r="K532" s="53"/>
      <c r="L532" s="50" t="s">
        <v>60</v>
      </c>
      <c r="M532" s="53"/>
      <c r="N532" s="53"/>
      <c r="O532" s="53"/>
      <c r="P532" s="53"/>
      <c r="Q532" s="53"/>
      <c r="R532" s="53"/>
      <c r="S532" s="53"/>
      <c r="T532" s="53"/>
      <c r="U532" s="85">
        <f>(Tabela1[[#This Row],[Informe o KM final do dia]]-Tabela1[[#This Row],[Informe o KM inicial do dia]])-Tabela1[[#This Row],[Caso tenha rodado particular alguma parte do trajeto, informe o total de KM a ser deduzido.]]</f>
        <v>122</v>
      </c>
      <c r="V532" s="86">
        <f>IF(Tabela1[[#This Row],[Informe a data]]&lt;DATE(2026,3,16), Tabela1[[#This Row],[KM Rodado]]*1.1, Tabela1[[#This Row],[KM Rodado]]*1.23)</f>
        <v>150.06</v>
      </c>
      <c r="W532" s="86">
        <f>IFERROR(SUBSTITUTE(Tabela1[[#This Row],[Pedágio]],".",",",1)*1,0)</f>
        <v>0</v>
      </c>
      <c r="X532" s="86">
        <f>IFERROR(SUBSTITUTE(Tabela1[[#This Row],[Estacionamento]],".",",",1)*1,0)</f>
        <v>0</v>
      </c>
      <c r="Y532" s="86">
        <f>IFERROR(SUBSTITUTE(Tabela1[[#This Row],[Despesas Diversas 
(Jantar em viagem, Impressões, Etc)]],".",",",1)*1,0)</f>
        <v>0</v>
      </c>
      <c r="Z532" s="86">
        <f>IFERROR(SUBSTITUTE(Tabela1[[#This Row],[Hospedagem]],".",",",1)*1,0)</f>
        <v>0</v>
      </c>
      <c r="AA532" s="56" t="str">
        <f>IF(DAY(Tabela1[[#This Row],[Informe a data]])&lt;=15,"1ª Quinzena","2ª Quinzena")</f>
        <v>1ª Quinzena</v>
      </c>
      <c r="AB532" s="56" t="str">
        <f>UPPER(TEXT(Tabela1[[#This Row],[Informe a data]],"mmmm"))</f>
        <v>AGOSTO</v>
      </c>
      <c r="AC532" s="87" t="e">
        <f ca="1">_xlfn.CONCAT(Tabela1[[#This Row],[Selecione o Usuário]]," - ",TEXT(Tabela1[[#This Row],[Informe a data]],"dd-mm-aa"))</f>
        <v>#NAME?</v>
      </c>
    </row>
    <row r="533" spans="1:29">
      <c r="A533" s="49">
        <v>46239.741377314815</v>
      </c>
      <c r="B533" s="50" t="s">
        <v>1174</v>
      </c>
      <c r="C533" s="50" t="s">
        <v>134</v>
      </c>
      <c r="D533" s="50" t="s">
        <v>209</v>
      </c>
      <c r="E533" s="51">
        <v>46239</v>
      </c>
      <c r="F533" s="52">
        <v>175853</v>
      </c>
      <c r="G533" s="58" t="s">
        <v>1791</v>
      </c>
      <c r="H533" s="52">
        <v>176255</v>
      </c>
      <c r="I533" s="58" t="s">
        <v>1792</v>
      </c>
      <c r="J533" s="50" t="s">
        <v>1793</v>
      </c>
      <c r="K533" s="53"/>
      <c r="L533" s="50" t="s">
        <v>60</v>
      </c>
      <c r="M533" s="53"/>
      <c r="N533" s="53"/>
      <c r="O533" s="53"/>
      <c r="P533" s="53"/>
      <c r="Q533" s="53"/>
      <c r="R533" s="53"/>
      <c r="S533" s="53"/>
      <c r="T533" s="53"/>
      <c r="U533" s="85">
        <f>(Tabela1[[#This Row],[Informe o KM final do dia]]-Tabela1[[#This Row],[Informe o KM inicial do dia]])-Tabela1[[#This Row],[Caso tenha rodado particular alguma parte do trajeto, informe o total de KM a ser deduzido.]]</f>
        <v>402</v>
      </c>
      <c r="V533" s="86">
        <f>IF(Tabela1[[#This Row],[Informe a data]]&lt;DATE(2026,3,16), Tabela1[[#This Row],[KM Rodado]]*1.1, Tabela1[[#This Row],[KM Rodado]]*1.23)</f>
        <v>494.46</v>
      </c>
      <c r="W533" s="86">
        <f>IFERROR(SUBSTITUTE(Tabela1[[#This Row],[Pedágio]],".",",",1)*1,0)</f>
        <v>0</v>
      </c>
      <c r="X533" s="86">
        <f>IFERROR(SUBSTITUTE(Tabela1[[#This Row],[Estacionamento]],".",",",1)*1,0)</f>
        <v>0</v>
      </c>
      <c r="Y533" s="86">
        <f>IFERROR(SUBSTITUTE(Tabela1[[#This Row],[Despesas Diversas 
(Jantar em viagem, Impressões, Etc)]],".",",",1)*1,0)</f>
        <v>0</v>
      </c>
      <c r="Z533" s="86">
        <f>IFERROR(SUBSTITUTE(Tabela1[[#This Row],[Hospedagem]],".",",",1)*1,0)</f>
        <v>0</v>
      </c>
      <c r="AA533" s="56" t="str">
        <f>IF(DAY(Tabela1[[#This Row],[Informe a data]])&lt;=15,"1ª Quinzena","2ª Quinzena")</f>
        <v>1ª Quinzena</v>
      </c>
      <c r="AB533" s="56" t="str">
        <f>UPPER(TEXT(Tabela1[[#This Row],[Informe a data]],"mmmm"))</f>
        <v>AGOSTO</v>
      </c>
      <c r="AC533" s="87" t="e">
        <f ca="1">_xlfn.CONCAT(Tabela1[[#This Row],[Selecione o Usuário]]," - ",TEXT(Tabela1[[#This Row],[Informe a data]],"dd-mm-aa"))</f>
        <v>#NAME?</v>
      </c>
    </row>
    <row r="534" spans="1:29">
      <c r="A534" s="89">
        <v>46239.749976851854</v>
      </c>
      <c r="B534" s="90" t="s">
        <v>1605</v>
      </c>
      <c r="C534" s="90" t="s">
        <v>1696</v>
      </c>
      <c r="D534" s="90" t="s">
        <v>1606</v>
      </c>
      <c r="E534" s="91">
        <v>46239</v>
      </c>
      <c r="F534" s="92">
        <v>120038</v>
      </c>
      <c r="G534" s="93" t="s">
        <v>1794</v>
      </c>
      <c r="H534" s="92">
        <v>120173</v>
      </c>
      <c r="I534" s="93" t="s">
        <v>1795</v>
      </c>
      <c r="J534" s="90" t="s">
        <v>1796</v>
      </c>
      <c r="K534" s="94"/>
      <c r="L534" s="90" t="s">
        <v>60</v>
      </c>
      <c r="M534" s="94"/>
      <c r="N534" s="94"/>
      <c r="O534" s="94"/>
      <c r="P534" s="94"/>
      <c r="Q534" s="94"/>
      <c r="R534" s="94"/>
      <c r="S534" s="94"/>
      <c r="T534" s="94"/>
      <c r="U534" s="85">
        <f>(Tabela1[[#This Row],[Informe o KM final do dia]]-Tabela1[[#This Row],[Informe o KM inicial do dia]])-Tabela1[[#This Row],[Caso tenha rodado particular alguma parte do trajeto, informe o total de KM a ser deduzido.]]</f>
        <v>135</v>
      </c>
      <c r="V534" s="86">
        <f>IF(Tabela1[[#This Row],[Informe a data]]&lt;DATE(2026,3,16), Tabela1[[#This Row],[KM Rodado]]*1.1, Tabela1[[#This Row],[KM Rodado]]*1.23)</f>
        <v>166.05</v>
      </c>
      <c r="W534" s="86">
        <f>IFERROR(SUBSTITUTE(Tabela1[[#This Row],[Pedágio]],".",",",1)*1,0)</f>
        <v>0</v>
      </c>
      <c r="X534" s="86">
        <f>IFERROR(SUBSTITUTE(Tabela1[[#This Row],[Estacionamento]],".",",",1)*1,0)</f>
        <v>0</v>
      </c>
      <c r="Y534" s="86">
        <f>IFERROR(SUBSTITUTE(Tabela1[[#This Row],[Despesas Diversas 
(Jantar em viagem, Impressões, Etc)]],".",",",1)*1,0)</f>
        <v>0</v>
      </c>
      <c r="Z534" s="86">
        <f>IFERROR(SUBSTITUTE(Tabela1[[#This Row],[Hospedagem]],".",",",1)*1,0)</f>
        <v>0</v>
      </c>
      <c r="AA534" s="56" t="str">
        <f>IF(DAY(Tabela1[[#This Row],[Informe a data]])&lt;=15,"1ª Quinzena","2ª Quinzena")</f>
        <v>1ª Quinzena</v>
      </c>
      <c r="AB534" s="56" t="str">
        <f>UPPER(TEXT(Tabela1[[#This Row],[Informe a data]],"mmmm"))</f>
        <v>AGOSTO</v>
      </c>
      <c r="AC534" s="87" t="e">
        <f ca="1">_xlfn.CONCAT(Tabela1[[#This Row],[Selecione o Usuário]]," - ",TEXT(Tabela1[[#This Row],[Informe a data]],"dd-mm-aa"))</f>
        <v>#NAME?</v>
      </c>
    </row>
    <row r="535" spans="1:29">
      <c r="A535" s="49">
        <v>46239.771678240744</v>
      </c>
      <c r="B535" s="50" t="s">
        <v>131</v>
      </c>
      <c r="C535" s="50" t="s">
        <v>132</v>
      </c>
      <c r="D535" s="50" t="s">
        <v>133</v>
      </c>
      <c r="E535" s="51">
        <v>46239</v>
      </c>
      <c r="F535" s="52">
        <v>197169</v>
      </c>
      <c r="G535" s="58" t="s">
        <v>1797</v>
      </c>
      <c r="H535" s="52">
        <v>197230</v>
      </c>
      <c r="I535" s="58" t="s">
        <v>1798</v>
      </c>
      <c r="J535" s="50" t="s">
        <v>1799</v>
      </c>
      <c r="K535" s="53"/>
      <c r="L535" s="50" t="s">
        <v>60</v>
      </c>
      <c r="M535" s="53"/>
      <c r="N535" s="53"/>
      <c r="O535" s="53"/>
      <c r="P535" s="53"/>
      <c r="Q535" s="53"/>
      <c r="R535" s="53"/>
      <c r="S535" s="53"/>
      <c r="T535" s="53"/>
      <c r="U535" s="85">
        <f>(Tabela1[[#This Row],[Informe o KM final do dia]]-Tabela1[[#This Row],[Informe o KM inicial do dia]])-Tabela1[[#This Row],[Caso tenha rodado particular alguma parte do trajeto, informe o total de KM a ser deduzido.]]</f>
        <v>61</v>
      </c>
      <c r="V535" s="86">
        <f>IF(Tabela1[[#This Row],[Informe a data]]&lt;DATE(2026,3,16), Tabela1[[#This Row],[KM Rodado]]*1.1, Tabela1[[#This Row],[KM Rodado]]*1.23)</f>
        <v>75.03</v>
      </c>
      <c r="W535" s="86">
        <f>IFERROR(SUBSTITUTE(Tabela1[[#This Row],[Pedágio]],".",",",1)*1,0)</f>
        <v>0</v>
      </c>
      <c r="X535" s="86">
        <f>IFERROR(SUBSTITUTE(Tabela1[[#This Row],[Estacionamento]],".",",",1)*1,0)</f>
        <v>0</v>
      </c>
      <c r="Y535" s="86">
        <f>IFERROR(SUBSTITUTE(Tabela1[[#This Row],[Despesas Diversas 
(Jantar em viagem, Impressões, Etc)]],".",",",1)*1,0)</f>
        <v>0</v>
      </c>
      <c r="Z535" s="86">
        <f>IFERROR(SUBSTITUTE(Tabela1[[#This Row],[Hospedagem]],".",",",1)*1,0)</f>
        <v>0</v>
      </c>
      <c r="AA535" s="56" t="str">
        <f>IF(DAY(Tabela1[[#This Row],[Informe a data]])&lt;=15,"1ª Quinzena","2ª Quinzena")</f>
        <v>1ª Quinzena</v>
      </c>
      <c r="AB535" s="56" t="str">
        <f>UPPER(TEXT(Tabela1[[#This Row],[Informe a data]],"mmmm"))</f>
        <v>AGOSTO</v>
      </c>
      <c r="AC535" s="87" t="e">
        <f ca="1">_xlfn.CONCAT(Tabela1[[#This Row],[Selecione o Usuário]]," - ",TEXT(Tabela1[[#This Row],[Informe a data]],"dd-mm-aa"))</f>
        <v>#NAME?</v>
      </c>
    </row>
    <row r="536" spans="1:29">
      <c r="A536" s="89">
        <v>46240.614421296297</v>
      </c>
      <c r="B536" s="90" t="s">
        <v>497</v>
      </c>
      <c r="C536" s="90" t="s">
        <v>498</v>
      </c>
      <c r="D536" s="90" t="s">
        <v>1800</v>
      </c>
      <c r="E536" s="91">
        <v>46239</v>
      </c>
      <c r="F536" s="92">
        <v>3182</v>
      </c>
      <c r="G536" s="93" t="s">
        <v>1801</v>
      </c>
      <c r="H536" s="92">
        <v>3603</v>
      </c>
      <c r="I536" s="93" t="s">
        <v>1802</v>
      </c>
      <c r="J536" s="90" t="s">
        <v>1803</v>
      </c>
      <c r="K536" s="94"/>
      <c r="L536" s="90" t="s">
        <v>61</v>
      </c>
      <c r="M536" s="90" t="s">
        <v>669</v>
      </c>
      <c r="N536" s="90" t="s">
        <v>1804</v>
      </c>
      <c r="O536" s="94"/>
      <c r="P536" s="94"/>
      <c r="Q536" s="94"/>
      <c r="R536" s="94"/>
      <c r="S536" s="94"/>
      <c r="T536" s="94" t="s">
        <v>1805</v>
      </c>
      <c r="U536" s="85">
        <f>(Tabela1[[#This Row],[Informe o KM final do dia]]-Tabela1[[#This Row],[Informe o KM inicial do dia]])-Tabela1[[#This Row],[Caso tenha rodado particular alguma parte do trajeto, informe o total de KM a ser deduzido.]]</f>
        <v>421</v>
      </c>
      <c r="V536" s="86">
        <f>IF(Tabela1[[#This Row],[Informe a data]]&lt;DATE(2026,3,16), Tabela1[[#This Row],[KM Rodado]]*1.1, Tabela1[[#This Row],[KM Rodado]]*1.23)</f>
        <v>517.83000000000004</v>
      </c>
      <c r="W536" s="86">
        <f>IFERROR(SUBSTITUTE(Tabela1[[#This Row],[Pedágio]],".",",",1)*1,0)</f>
        <v>20.8</v>
      </c>
      <c r="X536" s="86">
        <f>IFERROR(SUBSTITUTE(Tabela1[[#This Row],[Estacionamento]],".",",",1)*1,0)</f>
        <v>0</v>
      </c>
      <c r="Y536" s="86">
        <f>IFERROR(SUBSTITUTE(Tabela1[[#This Row],[Despesas Diversas 
(Jantar em viagem, Impressões, Etc)]],".",",",1)*1,0)</f>
        <v>0</v>
      </c>
      <c r="Z536" s="86">
        <f>IFERROR(SUBSTITUTE(Tabela1[[#This Row],[Hospedagem]],".",",",1)*1,0)</f>
        <v>0</v>
      </c>
      <c r="AA536" s="56" t="str">
        <f>IF(DAY(Tabela1[[#This Row],[Informe a data]])&lt;=15,"1ª Quinzena","2ª Quinzena")</f>
        <v>1ª Quinzena</v>
      </c>
      <c r="AB536" s="56" t="str">
        <f>UPPER(TEXT(Tabela1[[#This Row],[Informe a data]],"mmmm"))</f>
        <v>AGOSTO</v>
      </c>
      <c r="AC536" s="87" t="e">
        <f ca="1">_xlfn.CONCAT(Tabela1[[#This Row],[Selecione o Usuário]]," - ",TEXT(Tabela1[[#This Row],[Informe a data]],"dd-mm-aa"))</f>
        <v>#NAME?</v>
      </c>
    </row>
    <row r="537" spans="1:29">
      <c r="A537" s="49">
        <v>46249.420092592591</v>
      </c>
      <c r="B537" s="50" t="s">
        <v>300</v>
      </c>
      <c r="C537" s="50" t="s">
        <v>250</v>
      </c>
      <c r="D537" s="50" t="s">
        <v>228</v>
      </c>
      <c r="E537" s="51">
        <v>46239</v>
      </c>
      <c r="F537" s="52">
        <v>136641</v>
      </c>
      <c r="G537" s="58" t="s">
        <v>1850</v>
      </c>
      <c r="H537" s="52">
        <v>136755</v>
      </c>
      <c r="I537" s="58" t="s">
        <v>1851</v>
      </c>
      <c r="J537" s="50" t="s">
        <v>1852</v>
      </c>
      <c r="K537" s="53"/>
      <c r="L537" s="50" t="s">
        <v>60</v>
      </c>
      <c r="M537" s="53"/>
      <c r="N537" s="53"/>
      <c r="O537" s="53"/>
      <c r="P537" s="53"/>
      <c r="Q537" s="53"/>
      <c r="R537" s="53"/>
      <c r="S537" s="53"/>
      <c r="T537" s="53"/>
      <c r="U537" s="85">
        <f>(Tabela1[[#This Row],[Informe o KM final do dia]]-Tabela1[[#This Row],[Informe o KM inicial do dia]])-Tabela1[[#This Row],[Caso tenha rodado particular alguma parte do trajeto, informe o total de KM a ser deduzido.]]</f>
        <v>114</v>
      </c>
      <c r="V537" s="86">
        <f>IF(Tabela1[[#This Row],[Informe a data]]&lt;DATE(2026,3,16), Tabela1[[#This Row],[KM Rodado]]*1.1, Tabela1[[#This Row],[KM Rodado]]*1.23)</f>
        <v>140.22</v>
      </c>
      <c r="W537" s="86">
        <f>IFERROR(SUBSTITUTE(Tabela1[[#This Row],[Pedágio]],".",",",1)*1,0)</f>
        <v>0</v>
      </c>
      <c r="X537" s="86">
        <f>IFERROR(SUBSTITUTE(Tabela1[[#This Row],[Estacionamento]],".",",",1)*1,0)</f>
        <v>0</v>
      </c>
      <c r="Y537" s="86">
        <f>IFERROR(SUBSTITUTE(Tabela1[[#This Row],[Despesas Diversas 
(Jantar em viagem, Impressões, Etc)]],".",",",1)*1,0)</f>
        <v>0</v>
      </c>
      <c r="Z537" s="86">
        <f>IFERROR(SUBSTITUTE(Tabela1[[#This Row],[Hospedagem]],".",",",1)*1,0)</f>
        <v>0</v>
      </c>
      <c r="AA537" s="56" t="str">
        <f>IF(DAY(Tabela1[[#This Row],[Informe a data]])&lt;=15,"1ª Quinzena","2ª Quinzena")</f>
        <v>1ª Quinzena</v>
      </c>
      <c r="AB537" s="56" t="str">
        <f>UPPER(TEXT(Tabela1[[#This Row],[Informe a data]],"mmmm"))</f>
        <v>AGOSTO</v>
      </c>
      <c r="AC537" s="87" t="e">
        <f ca="1">_xlfn.CONCAT(Tabela1[[#This Row],[Selecione o Usuário]]," - ",TEXT(Tabela1[[#This Row],[Informe a data]],"dd-mm-aa"))</f>
        <v>#NAME?</v>
      </c>
    </row>
    <row r="538" spans="1:29">
      <c r="A538" s="89">
        <v>46250.502789351849</v>
      </c>
      <c r="B538" s="90" t="s">
        <v>1634</v>
      </c>
      <c r="C538" s="90" t="s">
        <v>44</v>
      </c>
      <c r="D538" s="90" t="s">
        <v>1636</v>
      </c>
      <c r="E538" s="91">
        <v>46239</v>
      </c>
      <c r="F538" s="92">
        <v>135460</v>
      </c>
      <c r="G538" s="93" t="s">
        <v>1865</v>
      </c>
      <c r="H538" s="92">
        <v>135536</v>
      </c>
      <c r="I538" s="93" t="s">
        <v>1866</v>
      </c>
      <c r="J538" s="90" t="s">
        <v>1867</v>
      </c>
      <c r="K538" s="94"/>
      <c r="L538" s="90" t="s">
        <v>60</v>
      </c>
      <c r="M538" s="94"/>
      <c r="N538" s="94"/>
      <c r="O538" s="94"/>
      <c r="P538" s="94"/>
      <c r="Q538" s="94"/>
      <c r="R538" s="94"/>
      <c r="S538" s="94"/>
      <c r="T538" s="94"/>
      <c r="U538" s="85">
        <f>(Tabela1[[#This Row],[Informe o KM final do dia]]-Tabela1[[#This Row],[Informe o KM inicial do dia]])-Tabela1[[#This Row],[Caso tenha rodado particular alguma parte do trajeto, informe o total de KM a ser deduzido.]]</f>
        <v>76</v>
      </c>
      <c r="V538" s="86">
        <f>IF(Tabela1[[#This Row],[Informe a data]]&lt;DATE(2026,3,16), Tabela1[[#This Row],[KM Rodado]]*1.1, Tabela1[[#This Row],[KM Rodado]]*1.23)</f>
        <v>93.48</v>
      </c>
      <c r="W538" s="86">
        <f>IFERROR(SUBSTITUTE(Tabela1[[#This Row],[Pedágio]],".",",",1)*1,0)</f>
        <v>0</v>
      </c>
      <c r="X538" s="86">
        <f>IFERROR(SUBSTITUTE(Tabela1[[#This Row],[Estacionamento]],".",",",1)*1,0)</f>
        <v>0</v>
      </c>
      <c r="Y538" s="86">
        <f>IFERROR(SUBSTITUTE(Tabela1[[#This Row],[Despesas Diversas 
(Jantar em viagem, Impressões, Etc)]],".",",",1)*1,0)</f>
        <v>0</v>
      </c>
      <c r="Z538" s="86">
        <f>IFERROR(SUBSTITUTE(Tabela1[[#This Row],[Hospedagem]],".",",",1)*1,0)</f>
        <v>0</v>
      </c>
      <c r="AA538" s="56" t="str">
        <f>IF(DAY(Tabela1[[#This Row],[Informe a data]])&lt;=15,"1ª Quinzena","2ª Quinzena")</f>
        <v>1ª Quinzena</v>
      </c>
      <c r="AB538" s="56" t="str">
        <f>UPPER(TEXT(Tabela1[[#This Row],[Informe a data]],"mmmm"))</f>
        <v>AGOSTO</v>
      </c>
      <c r="AC538" s="87" t="e">
        <f ca="1">_xlfn.CONCAT(Tabela1[[#This Row],[Selecione o Usuário]]," - ",TEXT(Tabela1[[#This Row],[Informe a data]],"dd-mm-aa"))</f>
        <v>#NAME?</v>
      </c>
    </row>
    <row r="539" spans="1:29">
      <c r="A539" s="49">
        <v>46240.628437500003</v>
      </c>
      <c r="B539" s="50" t="s">
        <v>497</v>
      </c>
      <c r="C539" s="50" t="s">
        <v>498</v>
      </c>
      <c r="D539" s="50" t="s">
        <v>1800</v>
      </c>
      <c r="E539" s="51">
        <v>46240</v>
      </c>
      <c r="F539" s="52">
        <v>3753</v>
      </c>
      <c r="G539" s="58" t="s">
        <v>1806</v>
      </c>
      <c r="H539" s="52">
        <v>3971</v>
      </c>
      <c r="I539" s="58" t="s">
        <v>1807</v>
      </c>
      <c r="J539" s="50" t="s">
        <v>1808</v>
      </c>
      <c r="K539" s="53"/>
      <c r="L539" s="50" t="s">
        <v>61</v>
      </c>
      <c r="M539" s="50" t="s">
        <v>744</v>
      </c>
      <c r="N539" s="50" t="s">
        <v>1809</v>
      </c>
      <c r="O539" s="53"/>
      <c r="P539" s="53"/>
      <c r="Q539" s="53"/>
      <c r="R539" s="53"/>
      <c r="S539" s="53"/>
      <c r="T539" s="53" t="s">
        <v>1810</v>
      </c>
      <c r="U539" s="85">
        <f>(Tabela1[[#This Row],[Informe o KM final do dia]]-Tabela1[[#This Row],[Informe o KM inicial do dia]])-Tabela1[[#This Row],[Caso tenha rodado particular alguma parte do trajeto, informe o total de KM a ser deduzido.]]</f>
        <v>218</v>
      </c>
      <c r="V539" s="86">
        <f>IF(Tabela1[[#This Row],[Informe a data]]&lt;DATE(2026,3,16), Tabela1[[#This Row],[KM Rodado]]*1.1, Tabela1[[#This Row],[KM Rodado]]*1.23)</f>
        <v>268.14</v>
      </c>
      <c r="W539" s="86">
        <f>IFERROR(SUBSTITUTE(Tabela1[[#This Row],[Pedágio]],".",",",1)*1,0)</f>
        <v>10.4</v>
      </c>
      <c r="X539" s="86">
        <f>IFERROR(SUBSTITUTE(Tabela1[[#This Row],[Estacionamento]],".",",",1)*1,0)</f>
        <v>0</v>
      </c>
      <c r="Y539" s="86">
        <f>IFERROR(SUBSTITUTE(Tabela1[[#This Row],[Despesas Diversas 
(Jantar em viagem, Impressões, Etc)]],".",",",1)*1,0)</f>
        <v>0</v>
      </c>
      <c r="Z539" s="86">
        <f>IFERROR(SUBSTITUTE(Tabela1[[#This Row],[Hospedagem]],".",",",1)*1,0)</f>
        <v>0</v>
      </c>
      <c r="AA539" s="56" t="str">
        <f>IF(DAY(Tabela1[[#This Row],[Informe a data]])&lt;=15,"1ª Quinzena","2ª Quinzena")</f>
        <v>1ª Quinzena</v>
      </c>
      <c r="AB539" s="56" t="str">
        <f>UPPER(TEXT(Tabela1[[#This Row],[Informe a data]],"mmmm"))</f>
        <v>AGOSTO</v>
      </c>
      <c r="AC539" s="87" t="e">
        <f ca="1">_xlfn.CONCAT(Tabela1[[#This Row],[Selecione o Usuário]]," - ",TEXT(Tabela1[[#This Row],[Informe a data]],"dd-mm-aa"))</f>
        <v>#NAME?</v>
      </c>
    </row>
    <row r="540" spans="1:29">
      <c r="A540" s="89">
        <v>46241.393067129633</v>
      </c>
      <c r="B540" s="90" t="s">
        <v>131</v>
      </c>
      <c r="C540" s="90" t="s">
        <v>132</v>
      </c>
      <c r="D540" s="90" t="s">
        <v>133</v>
      </c>
      <c r="E540" s="91">
        <v>46240</v>
      </c>
      <c r="F540" s="92">
        <v>197230</v>
      </c>
      <c r="G540" s="93" t="s">
        <v>1811</v>
      </c>
      <c r="H540" s="92">
        <v>197268</v>
      </c>
      <c r="I540" s="93" t="s">
        <v>1812</v>
      </c>
      <c r="J540" s="90" t="s">
        <v>1813</v>
      </c>
      <c r="K540" s="94"/>
      <c r="L540" s="90" t="s">
        <v>60</v>
      </c>
      <c r="M540" s="94"/>
      <c r="N540" s="94"/>
      <c r="O540" s="94"/>
      <c r="P540" s="94"/>
      <c r="Q540" s="94"/>
      <c r="R540" s="94"/>
      <c r="S540" s="94"/>
      <c r="T540" s="94"/>
      <c r="U540" s="85">
        <f>(Tabela1[[#This Row],[Informe o KM final do dia]]-Tabela1[[#This Row],[Informe o KM inicial do dia]])-Tabela1[[#This Row],[Caso tenha rodado particular alguma parte do trajeto, informe o total de KM a ser deduzido.]]</f>
        <v>38</v>
      </c>
      <c r="V540" s="86">
        <f>IF(Tabela1[[#This Row],[Informe a data]]&lt;DATE(2026,3,16), Tabela1[[#This Row],[KM Rodado]]*1.1, Tabela1[[#This Row],[KM Rodado]]*1.23)</f>
        <v>46.74</v>
      </c>
      <c r="W540" s="86">
        <f>IFERROR(SUBSTITUTE(Tabela1[[#This Row],[Pedágio]],".",",",1)*1,0)</f>
        <v>0</v>
      </c>
      <c r="X540" s="86">
        <f>IFERROR(SUBSTITUTE(Tabela1[[#This Row],[Estacionamento]],".",",",1)*1,0)</f>
        <v>0</v>
      </c>
      <c r="Y540" s="86">
        <f>IFERROR(SUBSTITUTE(Tabela1[[#This Row],[Despesas Diversas 
(Jantar em viagem, Impressões, Etc)]],".",",",1)*1,0)</f>
        <v>0</v>
      </c>
      <c r="Z540" s="86">
        <f>IFERROR(SUBSTITUTE(Tabela1[[#This Row],[Hospedagem]],".",",",1)*1,0)</f>
        <v>0</v>
      </c>
      <c r="AA540" s="56" t="str">
        <f>IF(DAY(Tabela1[[#This Row],[Informe a data]])&lt;=15,"1ª Quinzena","2ª Quinzena")</f>
        <v>1ª Quinzena</v>
      </c>
      <c r="AB540" s="56" t="str">
        <f>UPPER(TEXT(Tabela1[[#This Row],[Informe a data]],"mmmm"))</f>
        <v>AGOSTO</v>
      </c>
      <c r="AC540" s="87" t="e">
        <f ca="1">_xlfn.CONCAT(Tabela1[[#This Row],[Selecione o Usuário]]," - ",TEXT(Tabela1[[#This Row],[Informe a data]],"dd-mm-aa"))</f>
        <v>#NAME?</v>
      </c>
    </row>
    <row r="541" spans="1:29">
      <c r="A541" s="49">
        <v>46249.884108796294</v>
      </c>
      <c r="B541" s="50" t="s">
        <v>1260</v>
      </c>
      <c r="C541" s="50" t="s">
        <v>505</v>
      </c>
      <c r="D541" s="50" t="s">
        <v>506</v>
      </c>
      <c r="E541" s="51">
        <v>46240</v>
      </c>
      <c r="F541" s="52">
        <v>109156</v>
      </c>
      <c r="G541" s="58" t="s">
        <v>1856</v>
      </c>
      <c r="H541" s="52">
        <v>109247</v>
      </c>
      <c r="I541" s="58" t="s">
        <v>1857</v>
      </c>
      <c r="J541" s="50" t="s">
        <v>1858</v>
      </c>
      <c r="K541" s="53"/>
      <c r="L541" s="50" t="s">
        <v>60</v>
      </c>
      <c r="M541" s="53"/>
      <c r="N541" s="53"/>
      <c r="O541" s="53"/>
      <c r="P541" s="53"/>
      <c r="Q541" s="53"/>
      <c r="R541" s="53"/>
      <c r="S541" s="53"/>
      <c r="T541" s="53"/>
      <c r="U541" s="85">
        <f>(Tabela1[[#This Row],[Informe o KM final do dia]]-Tabela1[[#This Row],[Informe o KM inicial do dia]])-Tabela1[[#This Row],[Caso tenha rodado particular alguma parte do trajeto, informe o total de KM a ser deduzido.]]</f>
        <v>91</v>
      </c>
      <c r="V541" s="86">
        <f>IF(Tabela1[[#This Row],[Informe a data]]&lt;DATE(2026,3,16), Tabela1[[#This Row],[KM Rodado]]*1.1, Tabela1[[#This Row],[KM Rodado]]*1.23)</f>
        <v>111.92999999999999</v>
      </c>
      <c r="W541" s="86">
        <f>IFERROR(SUBSTITUTE(Tabela1[[#This Row],[Pedágio]],".",",",1)*1,0)</f>
        <v>0</v>
      </c>
      <c r="X541" s="86">
        <f>IFERROR(SUBSTITUTE(Tabela1[[#This Row],[Estacionamento]],".",",",1)*1,0)</f>
        <v>0</v>
      </c>
      <c r="Y541" s="86">
        <f>IFERROR(SUBSTITUTE(Tabela1[[#This Row],[Despesas Diversas 
(Jantar em viagem, Impressões, Etc)]],".",",",1)*1,0)</f>
        <v>0</v>
      </c>
      <c r="Z541" s="86">
        <f>IFERROR(SUBSTITUTE(Tabela1[[#This Row],[Hospedagem]],".",",",1)*1,0)</f>
        <v>0</v>
      </c>
      <c r="AA541" s="56" t="str">
        <f>IF(DAY(Tabela1[[#This Row],[Informe a data]])&lt;=15,"1ª Quinzena","2ª Quinzena")</f>
        <v>1ª Quinzena</v>
      </c>
      <c r="AB541" s="56" t="str">
        <f>UPPER(TEXT(Tabela1[[#This Row],[Informe a data]],"mmmm"))</f>
        <v>AGOSTO</v>
      </c>
      <c r="AC541" s="87" t="e">
        <f ca="1">_xlfn.CONCAT(Tabela1[[#This Row],[Selecione o Usuário]]," - ",TEXT(Tabela1[[#This Row],[Informe a data]],"dd-mm-aa"))</f>
        <v>#NAME?</v>
      </c>
    </row>
    <row r="542" spans="1:29">
      <c r="A542" s="49">
        <v>46250.504988425928</v>
      </c>
      <c r="B542" s="50" t="s">
        <v>1634</v>
      </c>
      <c r="C542" s="50" t="s">
        <v>44</v>
      </c>
      <c r="D542" s="50" t="s">
        <v>1636</v>
      </c>
      <c r="E542" s="51">
        <v>46240</v>
      </c>
      <c r="F542" s="52">
        <v>135567</v>
      </c>
      <c r="G542" s="58" t="s">
        <v>1868</v>
      </c>
      <c r="H542" s="52">
        <v>135664</v>
      </c>
      <c r="I542" s="58" t="s">
        <v>1869</v>
      </c>
      <c r="J542" s="50" t="s">
        <v>1870</v>
      </c>
      <c r="K542" s="53"/>
      <c r="L542" s="50" t="s">
        <v>60</v>
      </c>
      <c r="M542" s="53"/>
      <c r="N542" s="53"/>
      <c r="O542" s="53"/>
      <c r="P542" s="53"/>
      <c r="Q542" s="53"/>
      <c r="R542" s="53"/>
      <c r="S542" s="53"/>
      <c r="T542" s="53"/>
      <c r="U542" s="85">
        <f>(Tabela1[[#This Row],[Informe o KM final do dia]]-Tabela1[[#This Row],[Informe o KM inicial do dia]])-Tabela1[[#This Row],[Caso tenha rodado particular alguma parte do trajeto, informe o total de KM a ser deduzido.]]</f>
        <v>97</v>
      </c>
      <c r="V542" s="86">
        <f>IF(Tabela1[[#This Row],[Informe a data]]&lt;DATE(2026,3,16), Tabela1[[#This Row],[KM Rodado]]*1.1, Tabela1[[#This Row],[KM Rodado]]*1.23)</f>
        <v>119.31</v>
      </c>
      <c r="W542" s="86">
        <f>IFERROR(SUBSTITUTE(Tabela1[[#This Row],[Pedágio]],".",",",1)*1,0)</f>
        <v>0</v>
      </c>
      <c r="X542" s="86">
        <f>IFERROR(SUBSTITUTE(Tabela1[[#This Row],[Estacionamento]],".",",",1)*1,0)</f>
        <v>0</v>
      </c>
      <c r="Y542" s="86">
        <f>IFERROR(SUBSTITUTE(Tabela1[[#This Row],[Despesas Diversas 
(Jantar em viagem, Impressões, Etc)]],".",",",1)*1,0)</f>
        <v>0</v>
      </c>
      <c r="Z542" s="86">
        <f>IFERROR(SUBSTITUTE(Tabela1[[#This Row],[Hospedagem]],".",",",1)*1,0)</f>
        <v>0</v>
      </c>
      <c r="AA542" s="56" t="str">
        <f>IF(DAY(Tabela1[[#This Row],[Informe a data]])&lt;=15,"1ª Quinzena","2ª Quinzena")</f>
        <v>1ª Quinzena</v>
      </c>
      <c r="AB542" s="56" t="str">
        <f>UPPER(TEXT(Tabela1[[#This Row],[Informe a data]],"mmmm"))</f>
        <v>AGOSTO</v>
      </c>
      <c r="AC542" s="87" t="e">
        <f ca="1">_xlfn.CONCAT(Tabela1[[#This Row],[Selecione o Usuário]]," - ",TEXT(Tabela1[[#This Row],[Informe a data]],"dd-mm-aa"))</f>
        <v>#NAME?</v>
      </c>
    </row>
    <row r="543" spans="1:29">
      <c r="A543" s="49">
        <v>46241.707731481481</v>
      </c>
      <c r="B543" s="50" t="s">
        <v>131</v>
      </c>
      <c r="C543" s="50" t="s">
        <v>132</v>
      </c>
      <c r="D543" s="50" t="s">
        <v>133</v>
      </c>
      <c r="E543" s="51">
        <v>46241</v>
      </c>
      <c r="F543" s="52">
        <v>197268</v>
      </c>
      <c r="G543" s="58" t="s">
        <v>1814</v>
      </c>
      <c r="H543" s="52">
        <v>197325</v>
      </c>
      <c r="I543" s="58" t="s">
        <v>1815</v>
      </c>
      <c r="J543" s="50" t="s">
        <v>1490</v>
      </c>
      <c r="K543" s="53"/>
      <c r="L543" s="50" t="s">
        <v>60</v>
      </c>
      <c r="M543" s="53"/>
      <c r="N543" s="53"/>
      <c r="O543" s="53"/>
      <c r="P543" s="53"/>
      <c r="Q543" s="53"/>
      <c r="R543" s="53"/>
      <c r="S543" s="53"/>
      <c r="T543" s="53"/>
      <c r="U543" s="85">
        <f>(Tabela1[[#This Row],[Informe o KM final do dia]]-Tabela1[[#This Row],[Informe o KM inicial do dia]])-Tabela1[[#This Row],[Caso tenha rodado particular alguma parte do trajeto, informe o total de KM a ser deduzido.]]</f>
        <v>57</v>
      </c>
      <c r="V543" s="86">
        <f>IF(Tabela1[[#This Row],[Informe a data]]&lt;DATE(2026,3,16), Tabela1[[#This Row],[KM Rodado]]*1.1, Tabela1[[#This Row],[KM Rodado]]*1.23)</f>
        <v>70.11</v>
      </c>
      <c r="W543" s="86">
        <f>IFERROR(SUBSTITUTE(Tabela1[[#This Row],[Pedágio]],".",",",1)*1,0)</f>
        <v>0</v>
      </c>
      <c r="X543" s="86">
        <f>IFERROR(SUBSTITUTE(Tabela1[[#This Row],[Estacionamento]],".",",",1)*1,0)</f>
        <v>0</v>
      </c>
      <c r="Y543" s="86">
        <f>IFERROR(SUBSTITUTE(Tabela1[[#This Row],[Despesas Diversas 
(Jantar em viagem, Impressões, Etc)]],".",",",1)*1,0)</f>
        <v>0</v>
      </c>
      <c r="Z543" s="86">
        <f>IFERROR(SUBSTITUTE(Tabela1[[#This Row],[Hospedagem]],".",",",1)*1,0)</f>
        <v>0</v>
      </c>
      <c r="AA543" s="56" t="str">
        <f>IF(DAY(Tabela1[[#This Row],[Informe a data]])&lt;=15,"1ª Quinzena","2ª Quinzena")</f>
        <v>1ª Quinzena</v>
      </c>
      <c r="AB543" s="56" t="str">
        <f>UPPER(TEXT(Tabela1[[#This Row],[Informe a data]],"mmmm"))</f>
        <v>AGOSTO</v>
      </c>
      <c r="AC543" s="87" t="e">
        <f ca="1">_xlfn.CONCAT(Tabela1[[#This Row],[Selecione o Usuário]]," - ",TEXT(Tabela1[[#This Row],[Informe a data]],"dd-mm-aa"))</f>
        <v>#NAME?</v>
      </c>
    </row>
    <row r="544" spans="1:29">
      <c r="A544" s="89">
        <v>46245.003298611111</v>
      </c>
      <c r="B544" s="90" t="s">
        <v>131</v>
      </c>
      <c r="C544" s="90" t="s">
        <v>132</v>
      </c>
      <c r="D544" s="90" t="s">
        <v>133</v>
      </c>
      <c r="E544" s="91">
        <v>46241</v>
      </c>
      <c r="F544" s="92">
        <v>197334</v>
      </c>
      <c r="G544" s="93" t="s">
        <v>1816</v>
      </c>
      <c r="H544" s="92">
        <v>197393</v>
      </c>
      <c r="I544" s="93" t="s">
        <v>1817</v>
      </c>
      <c r="J544" s="90" t="s">
        <v>1818</v>
      </c>
      <c r="K544" s="94"/>
      <c r="L544" s="90" t="s">
        <v>61</v>
      </c>
      <c r="M544" s="94"/>
      <c r="N544" s="94"/>
      <c r="O544" s="94"/>
      <c r="P544" s="94"/>
      <c r="Q544" s="90" t="s">
        <v>1819</v>
      </c>
      <c r="R544" s="93" t="s">
        <v>1820</v>
      </c>
      <c r="S544" s="94"/>
      <c r="T544" s="94"/>
      <c r="U544" s="85">
        <f>(Tabela1[[#This Row],[Informe o KM final do dia]]-Tabela1[[#This Row],[Informe o KM inicial do dia]])-Tabela1[[#This Row],[Caso tenha rodado particular alguma parte do trajeto, informe o total de KM a ser deduzido.]]</f>
        <v>59</v>
      </c>
      <c r="V544" s="86">
        <f>IF(Tabela1[[#This Row],[Informe a data]]&lt;DATE(2026,3,16), Tabela1[[#This Row],[KM Rodado]]*1.1, Tabela1[[#This Row],[KM Rodado]]*1.23)</f>
        <v>72.569999999999993</v>
      </c>
      <c r="W544" s="86">
        <f>IFERROR(SUBSTITUTE(Tabela1[[#This Row],[Pedágio]],".",",",1)*1,0)</f>
        <v>0</v>
      </c>
      <c r="X544" s="86">
        <f>IFERROR(SUBSTITUTE(Tabela1[[#This Row],[Estacionamento]],".",",",1)*1,0)</f>
        <v>0</v>
      </c>
      <c r="Y544" s="86">
        <f>IFERROR(SUBSTITUTE(Tabela1[[#This Row],[Despesas Diversas 
(Jantar em viagem, Impressões, Etc)]],".",",",1)*1,0)</f>
        <v>7.5</v>
      </c>
      <c r="Z544" s="86">
        <f>IFERROR(SUBSTITUTE(Tabela1[[#This Row],[Hospedagem]],".",",",1)*1,0)</f>
        <v>0</v>
      </c>
      <c r="AA544" s="56" t="str">
        <f>IF(DAY(Tabela1[[#This Row],[Informe a data]])&lt;=15,"1ª Quinzena","2ª Quinzena")</f>
        <v>1ª Quinzena</v>
      </c>
      <c r="AB544" s="56" t="str">
        <f>UPPER(TEXT(Tabela1[[#This Row],[Informe a data]],"mmmm"))</f>
        <v>AGOSTO</v>
      </c>
      <c r="AC544" s="87" t="e">
        <f ca="1">_xlfn.CONCAT(Tabela1[[#This Row],[Selecione o Usuário]]," - ",TEXT(Tabela1[[#This Row],[Informe a data]],"dd-mm-aa"))</f>
        <v>#NAME?</v>
      </c>
    </row>
    <row r="545" spans="1:29">
      <c r="A545" s="89">
        <v>46250.508981481478</v>
      </c>
      <c r="B545" s="90" t="s">
        <v>1634</v>
      </c>
      <c r="C545" s="90" t="s">
        <v>44</v>
      </c>
      <c r="D545" s="90" t="s">
        <v>1636</v>
      </c>
      <c r="E545" s="91">
        <v>46241</v>
      </c>
      <c r="F545" s="92">
        <v>135699</v>
      </c>
      <c r="G545" s="93" t="s">
        <v>1871</v>
      </c>
      <c r="H545" s="92">
        <v>135754</v>
      </c>
      <c r="I545" s="93" t="s">
        <v>1872</v>
      </c>
      <c r="J545" s="90" t="s">
        <v>1873</v>
      </c>
      <c r="K545" s="94"/>
      <c r="L545" s="90" t="s">
        <v>60</v>
      </c>
      <c r="M545" s="94"/>
      <c r="N545" s="94"/>
      <c r="O545" s="94"/>
      <c r="P545" s="94"/>
      <c r="Q545" s="94"/>
      <c r="R545" s="94"/>
      <c r="S545" s="94"/>
      <c r="T545" s="94"/>
      <c r="U545" s="85">
        <f>(Tabela1[[#This Row],[Informe o KM final do dia]]-Tabela1[[#This Row],[Informe o KM inicial do dia]])-Tabela1[[#This Row],[Caso tenha rodado particular alguma parte do trajeto, informe o total de KM a ser deduzido.]]</f>
        <v>55</v>
      </c>
      <c r="V545" s="86">
        <f>IF(Tabela1[[#This Row],[Informe a data]]&lt;DATE(2026,3,16), Tabela1[[#This Row],[KM Rodado]]*1.1, Tabela1[[#This Row],[KM Rodado]]*1.23)</f>
        <v>67.650000000000006</v>
      </c>
      <c r="W545" s="86">
        <f>IFERROR(SUBSTITUTE(Tabela1[[#This Row],[Pedágio]],".",",",1)*1,0)</f>
        <v>0</v>
      </c>
      <c r="X545" s="86">
        <f>IFERROR(SUBSTITUTE(Tabela1[[#This Row],[Estacionamento]],".",",",1)*1,0)</f>
        <v>0</v>
      </c>
      <c r="Y545" s="86">
        <f>IFERROR(SUBSTITUTE(Tabela1[[#This Row],[Despesas Diversas 
(Jantar em viagem, Impressões, Etc)]],".",",",1)*1,0)</f>
        <v>0</v>
      </c>
      <c r="Z545" s="86">
        <f>IFERROR(SUBSTITUTE(Tabela1[[#This Row],[Hospedagem]],".",",",1)*1,0)</f>
        <v>0</v>
      </c>
      <c r="AA545" s="56" t="str">
        <f>IF(DAY(Tabela1[[#This Row],[Informe a data]])&lt;=15,"1ª Quinzena","2ª Quinzena")</f>
        <v>1ª Quinzena</v>
      </c>
      <c r="AB545" s="56" t="str">
        <f>UPPER(TEXT(Tabela1[[#This Row],[Informe a data]],"mmmm"))</f>
        <v>AGOSTO</v>
      </c>
      <c r="AC545" s="87" t="e">
        <f ca="1">_xlfn.CONCAT(Tabela1[[#This Row],[Selecione o Usuário]]," - ",TEXT(Tabela1[[#This Row],[Informe a data]],"dd-mm-aa"))</f>
        <v>#NAME?</v>
      </c>
    </row>
    <row r="546" spans="1:29">
      <c r="A546" s="89">
        <v>46251.141377314816</v>
      </c>
      <c r="B546" s="90" t="s">
        <v>176</v>
      </c>
      <c r="C546" s="90" t="s">
        <v>136</v>
      </c>
      <c r="D546" s="90" t="s">
        <v>177</v>
      </c>
      <c r="E546" s="91">
        <v>46241</v>
      </c>
      <c r="F546" s="92">
        <v>178236</v>
      </c>
      <c r="G546" s="93" t="s">
        <v>1877</v>
      </c>
      <c r="H546" s="92">
        <v>178480</v>
      </c>
      <c r="I546" s="93" t="s">
        <v>1878</v>
      </c>
      <c r="J546" s="90" t="s">
        <v>1879</v>
      </c>
      <c r="K546" s="94"/>
      <c r="L546" s="90" t="s">
        <v>60</v>
      </c>
      <c r="M546" s="94"/>
      <c r="N546" s="94"/>
      <c r="O546" s="94"/>
      <c r="P546" s="94"/>
      <c r="Q546" s="94"/>
      <c r="R546" s="94"/>
      <c r="S546" s="94"/>
      <c r="T546" s="94"/>
      <c r="U546" s="85">
        <f>(Tabela1[[#This Row],[Informe o KM final do dia]]-Tabela1[[#This Row],[Informe o KM inicial do dia]])-Tabela1[[#This Row],[Caso tenha rodado particular alguma parte do trajeto, informe o total de KM a ser deduzido.]]</f>
        <v>244</v>
      </c>
      <c r="V546" s="86">
        <f>IF(Tabela1[[#This Row],[Informe a data]]&lt;DATE(2026,3,16), Tabela1[[#This Row],[KM Rodado]]*1.1, Tabela1[[#This Row],[KM Rodado]]*1.23)</f>
        <v>300.12</v>
      </c>
      <c r="W546" s="86">
        <f>IFERROR(SUBSTITUTE(Tabela1[[#This Row],[Pedágio]],".",",",1)*1,0)</f>
        <v>0</v>
      </c>
      <c r="X546" s="86">
        <f>IFERROR(SUBSTITUTE(Tabela1[[#This Row],[Estacionamento]],".",",",1)*1,0)</f>
        <v>0</v>
      </c>
      <c r="Y546" s="86">
        <f>IFERROR(SUBSTITUTE(Tabela1[[#This Row],[Despesas Diversas 
(Jantar em viagem, Impressões, Etc)]],".",",",1)*1,0)</f>
        <v>0</v>
      </c>
      <c r="Z546" s="86">
        <f>IFERROR(SUBSTITUTE(Tabela1[[#This Row],[Hospedagem]],".",",",1)*1,0)</f>
        <v>0</v>
      </c>
      <c r="AA546" s="56" t="str">
        <f>IF(DAY(Tabela1[[#This Row],[Informe a data]])&lt;=15,"1ª Quinzena","2ª Quinzena")</f>
        <v>1ª Quinzena</v>
      </c>
      <c r="AB546" s="56" t="str">
        <f>UPPER(TEXT(Tabela1[[#This Row],[Informe a data]],"mmmm"))</f>
        <v>AGOSTO</v>
      </c>
      <c r="AC546" s="87" t="e">
        <f ca="1">_xlfn.CONCAT(Tabela1[[#This Row],[Selecione o Usuário]]," - ",TEXT(Tabela1[[#This Row],[Informe a data]],"dd-mm-aa"))</f>
        <v>#NAME?</v>
      </c>
    </row>
    <row r="547" spans="1:29">
      <c r="A547" s="89">
        <v>46248.506493055553</v>
      </c>
      <c r="B547" s="90" t="s">
        <v>131</v>
      </c>
      <c r="C547" s="90" t="s">
        <v>132</v>
      </c>
      <c r="D547" s="90" t="s">
        <v>133</v>
      </c>
      <c r="E547" s="91">
        <v>46242</v>
      </c>
      <c r="F547" s="92">
        <v>197325</v>
      </c>
      <c r="G547" s="93" t="s">
        <v>1841</v>
      </c>
      <c r="H547" s="92">
        <v>197334</v>
      </c>
      <c r="I547" s="93" t="s">
        <v>1842</v>
      </c>
      <c r="J547" s="90" t="s">
        <v>1843</v>
      </c>
      <c r="K547" s="94"/>
      <c r="L547" s="90" t="s">
        <v>61</v>
      </c>
      <c r="M547" s="94"/>
      <c r="N547" s="94"/>
      <c r="O547" s="94"/>
      <c r="P547" s="94"/>
      <c r="Q547" s="92"/>
      <c r="R547" s="93"/>
      <c r="S547" s="94"/>
      <c r="T547" s="94"/>
      <c r="U547" s="85">
        <f>(Tabela1[[#This Row],[Informe o KM final do dia]]-Tabela1[[#This Row],[Informe o KM inicial do dia]])-Tabela1[[#This Row],[Caso tenha rodado particular alguma parte do trajeto, informe o total de KM a ser deduzido.]]</f>
        <v>9</v>
      </c>
      <c r="V547" s="86">
        <f>IF(Tabela1[[#This Row],[Informe a data]]&lt;DATE(2026,3,16), Tabela1[[#This Row],[KM Rodado]]*1.1, Tabela1[[#This Row],[KM Rodado]]*1.23)</f>
        <v>11.07</v>
      </c>
      <c r="W547" s="86">
        <f>IFERROR(SUBSTITUTE(Tabela1[[#This Row],[Pedágio]],".",",",1)*1,0)</f>
        <v>0</v>
      </c>
      <c r="X547" s="86">
        <f>IFERROR(SUBSTITUTE(Tabela1[[#This Row],[Estacionamento]],".",",",1)*1,0)</f>
        <v>0</v>
      </c>
      <c r="Y547" s="86">
        <f>IFERROR(SUBSTITUTE(Tabela1[[#This Row],[Despesas Diversas 
(Jantar em viagem, Impressões, Etc)]],".",",",1)*1,0)</f>
        <v>0</v>
      </c>
      <c r="Z547" s="86">
        <f>IFERROR(SUBSTITUTE(Tabela1[[#This Row],[Hospedagem]],".",",",1)*1,0)</f>
        <v>0</v>
      </c>
      <c r="AA547" s="56" t="str">
        <f>IF(DAY(Tabela1[[#This Row],[Informe a data]])&lt;=15,"1ª Quinzena","2ª Quinzena")</f>
        <v>1ª Quinzena</v>
      </c>
      <c r="AB547" s="56" t="str">
        <f>UPPER(TEXT(Tabela1[[#This Row],[Informe a data]],"mmmm"))</f>
        <v>AGOSTO</v>
      </c>
      <c r="AC547" s="87" t="e">
        <f ca="1">_xlfn.CONCAT(Tabela1[[#This Row],[Selecione o Usuário]]," - ",TEXT(Tabela1[[#This Row],[Informe a data]],"dd-mm-aa"))</f>
        <v>#NAME?</v>
      </c>
    </row>
    <row r="548" spans="1:29">
      <c r="A548" s="49">
        <v>46245.685810185183</v>
      </c>
      <c r="B548" s="50" t="s">
        <v>131</v>
      </c>
      <c r="C548" s="50" t="s">
        <v>132</v>
      </c>
      <c r="D548" s="50" t="s">
        <v>133</v>
      </c>
      <c r="E548" s="51">
        <v>46245</v>
      </c>
      <c r="F548" s="52">
        <v>197393</v>
      </c>
      <c r="G548" s="58" t="s">
        <v>1821</v>
      </c>
      <c r="H548" s="52">
        <v>197429</v>
      </c>
      <c r="I548" s="58" t="s">
        <v>1822</v>
      </c>
      <c r="J548" s="50" t="s">
        <v>1823</v>
      </c>
      <c r="K548" s="53"/>
      <c r="L548" s="50" t="s">
        <v>61</v>
      </c>
      <c r="M548" s="53"/>
      <c r="N548" s="53"/>
      <c r="O548" s="53"/>
      <c r="P548" s="53"/>
      <c r="Q548" s="50" t="s">
        <v>1824</v>
      </c>
      <c r="R548" s="58" t="s">
        <v>1825</v>
      </c>
      <c r="S548" s="53"/>
      <c r="T548" s="53"/>
      <c r="U548" s="85">
        <f>(Tabela1[[#This Row],[Informe o KM final do dia]]-Tabela1[[#This Row],[Informe o KM inicial do dia]])-Tabela1[[#This Row],[Caso tenha rodado particular alguma parte do trajeto, informe o total de KM a ser deduzido.]]</f>
        <v>36</v>
      </c>
      <c r="V548" s="86">
        <f>IF(Tabela1[[#This Row],[Informe a data]]&lt;DATE(2026,3,16), Tabela1[[#This Row],[KM Rodado]]*1.1, Tabela1[[#This Row],[KM Rodado]]*1.23)</f>
        <v>44.28</v>
      </c>
      <c r="W548" s="86">
        <f>IFERROR(SUBSTITUTE(Tabela1[[#This Row],[Pedágio]],".",",",1)*1,0)</f>
        <v>0</v>
      </c>
      <c r="X548" s="86">
        <f>IFERROR(SUBSTITUTE(Tabela1[[#This Row],[Estacionamento]],".",",",1)*1,0)</f>
        <v>0</v>
      </c>
      <c r="Y548" s="86">
        <f>IFERROR(SUBSTITUTE(Tabela1[[#This Row],[Despesas Diversas 
(Jantar em viagem, Impressões, Etc)]],".",",",1)*1,0)</f>
        <v>46.8</v>
      </c>
      <c r="Z548" s="86">
        <f>IFERROR(SUBSTITUTE(Tabela1[[#This Row],[Hospedagem]],".",",",1)*1,0)</f>
        <v>0</v>
      </c>
      <c r="AA548" s="56" t="str">
        <f>IF(DAY(Tabela1[[#This Row],[Informe a data]])&lt;=15,"1ª Quinzena","2ª Quinzena")</f>
        <v>1ª Quinzena</v>
      </c>
      <c r="AB548" s="56" t="str">
        <f>UPPER(TEXT(Tabela1[[#This Row],[Informe a data]],"mmmm"))</f>
        <v>AGOSTO</v>
      </c>
      <c r="AC548" s="87" t="e">
        <f ca="1">_xlfn.CONCAT(Tabela1[[#This Row],[Selecione o Usuário]]," - ",TEXT(Tabela1[[#This Row],[Informe a data]],"dd-mm-aa"))</f>
        <v>#NAME?</v>
      </c>
    </row>
    <row r="549" spans="1:29">
      <c r="A549" s="89">
        <v>46245.727337962962</v>
      </c>
      <c r="B549" s="90" t="s">
        <v>1605</v>
      </c>
      <c r="C549" s="90" t="s">
        <v>1696</v>
      </c>
      <c r="D549" s="90" t="s">
        <v>1606</v>
      </c>
      <c r="E549" s="91">
        <v>46245</v>
      </c>
      <c r="F549" s="92">
        <v>120307</v>
      </c>
      <c r="G549" s="93" t="s">
        <v>1826</v>
      </c>
      <c r="H549" s="92">
        <v>120478</v>
      </c>
      <c r="I549" s="93" t="s">
        <v>1827</v>
      </c>
      <c r="J549" s="90" t="s">
        <v>1828</v>
      </c>
      <c r="K549" s="94"/>
      <c r="L549" s="90" t="s">
        <v>60</v>
      </c>
      <c r="M549" s="94"/>
      <c r="N549" s="94"/>
      <c r="O549" s="94"/>
      <c r="P549" s="94"/>
      <c r="Q549" s="94"/>
      <c r="R549" s="94"/>
      <c r="S549" s="94"/>
      <c r="T549" s="94"/>
      <c r="U549" s="85">
        <f>(Tabela1[[#This Row],[Informe o KM final do dia]]-Tabela1[[#This Row],[Informe o KM inicial do dia]])-Tabela1[[#This Row],[Caso tenha rodado particular alguma parte do trajeto, informe o total de KM a ser deduzido.]]</f>
        <v>171</v>
      </c>
      <c r="V549" s="86">
        <f>IF(Tabela1[[#This Row],[Informe a data]]&lt;DATE(2026,3,16), Tabela1[[#This Row],[KM Rodado]]*1.1, Tabela1[[#This Row],[KM Rodado]]*1.23)</f>
        <v>210.32999999999998</v>
      </c>
      <c r="W549" s="86">
        <f>IFERROR(SUBSTITUTE(Tabela1[[#This Row],[Pedágio]],".",",",1)*1,0)</f>
        <v>0</v>
      </c>
      <c r="X549" s="86">
        <f>IFERROR(SUBSTITUTE(Tabela1[[#This Row],[Estacionamento]],".",",",1)*1,0)</f>
        <v>0</v>
      </c>
      <c r="Y549" s="86">
        <f>IFERROR(SUBSTITUTE(Tabela1[[#This Row],[Despesas Diversas 
(Jantar em viagem, Impressões, Etc)]],".",",",1)*1,0)</f>
        <v>0</v>
      </c>
      <c r="Z549" s="86">
        <f>IFERROR(SUBSTITUTE(Tabela1[[#This Row],[Hospedagem]],".",",",1)*1,0)</f>
        <v>0</v>
      </c>
      <c r="AA549" s="56" t="str">
        <f>IF(DAY(Tabela1[[#This Row],[Informe a data]])&lt;=15,"1ª Quinzena","2ª Quinzena")</f>
        <v>1ª Quinzena</v>
      </c>
      <c r="AB549" s="56" t="str">
        <f>UPPER(TEXT(Tabela1[[#This Row],[Informe a data]],"mmmm"))</f>
        <v>AGOSTO</v>
      </c>
      <c r="AC549" s="87" t="e">
        <f ca="1">_xlfn.CONCAT(Tabela1[[#This Row],[Selecione o Usuário]]," - ",TEXT(Tabela1[[#This Row],[Informe a data]],"dd-mm-aa"))</f>
        <v>#NAME?</v>
      </c>
    </row>
    <row r="550" spans="1:29">
      <c r="A550" s="89">
        <v>46249.885682870372</v>
      </c>
      <c r="B550" s="90" t="s">
        <v>1260</v>
      </c>
      <c r="C550" s="90" t="s">
        <v>505</v>
      </c>
      <c r="D550" s="90" t="s">
        <v>506</v>
      </c>
      <c r="E550" s="91">
        <v>46245</v>
      </c>
      <c r="F550" s="92">
        <v>109280</v>
      </c>
      <c r="G550" s="93" t="s">
        <v>1859</v>
      </c>
      <c r="H550" s="92">
        <v>109337</v>
      </c>
      <c r="I550" s="93" t="s">
        <v>1860</v>
      </c>
      <c r="J550" s="90" t="s">
        <v>1861</v>
      </c>
      <c r="K550" s="94"/>
      <c r="L550" s="90" t="s">
        <v>60</v>
      </c>
      <c r="M550" s="94"/>
      <c r="N550" s="94"/>
      <c r="O550" s="94"/>
      <c r="P550" s="94"/>
      <c r="Q550" s="94"/>
      <c r="R550" s="94"/>
      <c r="S550" s="94"/>
      <c r="T550" s="94"/>
      <c r="U550" s="85">
        <f>(Tabela1[[#This Row],[Informe o KM final do dia]]-Tabela1[[#This Row],[Informe o KM inicial do dia]])-Tabela1[[#This Row],[Caso tenha rodado particular alguma parte do trajeto, informe o total de KM a ser deduzido.]]</f>
        <v>57</v>
      </c>
      <c r="V550" s="86">
        <f>IF(Tabela1[[#This Row],[Informe a data]]&lt;DATE(2026,3,16), Tabela1[[#This Row],[KM Rodado]]*1.1, Tabela1[[#This Row],[KM Rodado]]*1.23)</f>
        <v>70.11</v>
      </c>
      <c r="W550" s="86">
        <f>IFERROR(SUBSTITUTE(Tabela1[[#This Row],[Pedágio]],".",",",1)*1,0)</f>
        <v>0</v>
      </c>
      <c r="X550" s="86">
        <f>IFERROR(SUBSTITUTE(Tabela1[[#This Row],[Estacionamento]],".",",",1)*1,0)</f>
        <v>0</v>
      </c>
      <c r="Y550" s="86">
        <f>IFERROR(SUBSTITUTE(Tabela1[[#This Row],[Despesas Diversas 
(Jantar em viagem, Impressões, Etc)]],".",",",1)*1,0)</f>
        <v>0</v>
      </c>
      <c r="Z550" s="86">
        <f>IFERROR(SUBSTITUTE(Tabela1[[#This Row],[Hospedagem]],".",",",1)*1,0)</f>
        <v>0</v>
      </c>
      <c r="AA550" s="56" t="str">
        <f>IF(DAY(Tabela1[[#This Row],[Informe a data]])&lt;=15,"1ª Quinzena","2ª Quinzena")</f>
        <v>1ª Quinzena</v>
      </c>
      <c r="AB550" s="56" t="str">
        <f>UPPER(TEXT(Tabela1[[#This Row],[Informe a data]],"mmmm"))</f>
        <v>AGOSTO</v>
      </c>
      <c r="AC550" s="87" t="e">
        <f ca="1">_xlfn.CONCAT(Tabela1[[#This Row],[Selecione o Usuário]]," - ",TEXT(Tabela1[[#This Row],[Informe a data]],"dd-mm-aa"))</f>
        <v>#NAME?</v>
      </c>
    </row>
    <row r="551" spans="1:29">
      <c r="A551" s="49">
        <v>46251.14340277778</v>
      </c>
      <c r="B551" s="50" t="s">
        <v>176</v>
      </c>
      <c r="C551" s="50" t="s">
        <v>136</v>
      </c>
      <c r="D551" s="50" t="s">
        <v>177</v>
      </c>
      <c r="E551" s="51">
        <v>46245</v>
      </c>
      <c r="F551" s="52">
        <v>178612</v>
      </c>
      <c r="G551" s="58" t="s">
        <v>1880</v>
      </c>
      <c r="H551" s="52">
        <v>178676</v>
      </c>
      <c r="I551" s="58" t="s">
        <v>1881</v>
      </c>
      <c r="J551" s="50" t="s">
        <v>1882</v>
      </c>
      <c r="K551" s="53"/>
      <c r="L551" s="50" t="s">
        <v>60</v>
      </c>
      <c r="M551" s="53"/>
      <c r="N551" s="53"/>
      <c r="O551" s="53"/>
      <c r="P551" s="53"/>
      <c r="Q551" s="53"/>
      <c r="R551" s="53"/>
      <c r="S551" s="53"/>
      <c r="T551" s="53"/>
      <c r="U551" s="85">
        <f>(Tabela1[[#This Row],[Informe o KM final do dia]]-Tabela1[[#This Row],[Informe o KM inicial do dia]])-Tabela1[[#This Row],[Caso tenha rodado particular alguma parte do trajeto, informe o total de KM a ser deduzido.]]</f>
        <v>64</v>
      </c>
      <c r="V551" s="86">
        <f>IF(Tabela1[[#This Row],[Informe a data]]&lt;DATE(2026,3,16), Tabela1[[#This Row],[KM Rodado]]*1.1, Tabela1[[#This Row],[KM Rodado]]*1.23)</f>
        <v>78.72</v>
      </c>
      <c r="W551" s="86">
        <f>IFERROR(SUBSTITUTE(Tabela1[[#This Row],[Pedágio]],".",",",1)*1,0)</f>
        <v>0</v>
      </c>
      <c r="X551" s="86">
        <f>IFERROR(SUBSTITUTE(Tabela1[[#This Row],[Estacionamento]],".",",",1)*1,0)</f>
        <v>0</v>
      </c>
      <c r="Y551" s="86">
        <f>IFERROR(SUBSTITUTE(Tabela1[[#This Row],[Despesas Diversas 
(Jantar em viagem, Impressões, Etc)]],".",",",1)*1,0)</f>
        <v>0</v>
      </c>
      <c r="Z551" s="86">
        <f>IFERROR(SUBSTITUTE(Tabela1[[#This Row],[Hospedagem]],".",",",1)*1,0)</f>
        <v>0</v>
      </c>
      <c r="AA551" s="56" t="str">
        <f>IF(DAY(Tabela1[[#This Row],[Informe a data]])&lt;=15,"1ª Quinzena","2ª Quinzena")</f>
        <v>1ª Quinzena</v>
      </c>
      <c r="AB551" s="56" t="str">
        <f>UPPER(TEXT(Tabela1[[#This Row],[Informe a data]],"mmmm"))</f>
        <v>AGOSTO</v>
      </c>
      <c r="AC551" s="87" t="e">
        <f ca="1">_xlfn.CONCAT(Tabela1[[#This Row],[Selecione o Usuário]]," - ",TEXT(Tabela1[[#This Row],[Informe a data]],"dd-mm-aa"))</f>
        <v>#NAME?</v>
      </c>
    </row>
    <row r="552" spans="1:29">
      <c r="A552" s="49">
        <v>46246.768171296295</v>
      </c>
      <c r="B552" s="50" t="s">
        <v>1605</v>
      </c>
      <c r="C552" s="50" t="s">
        <v>1696</v>
      </c>
      <c r="D552" s="50" t="s">
        <v>1606</v>
      </c>
      <c r="E552" s="51">
        <v>46246</v>
      </c>
      <c r="F552" s="52">
        <v>120478</v>
      </c>
      <c r="G552" s="58" t="s">
        <v>1829</v>
      </c>
      <c r="H552" s="52">
        <v>120629</v>
      </c>
      <c r="I552" s="58" t="s">
        <v>1830</v>
      </c>
      <c r="J552" s="50" t="s">
        <v>1831</v>
      </c>
      <c r="K552" s="53"/>
      <c r="L552" s="50" t="s">
        <v>60</v>
      </c>
      <c r="M552" s="53"/>
      <c r="N552" s="53"/>
      <c r="O552" s="53"/>
      <c r="P552" s="53"/>
      <c r="Q552" s="53"/>
      <c r="R552" s="53"/>
      <c r="S552" s="53"/>
      <c r="T552" s="53"/>
      <c r="U552" s="85">
        <f>(Tabela1[[#This Row],[Informe o KM final do dia]]-Tabela1[[#This Row],[Informe o KM inicial do dia]])-Tabela1[[#This Row],[Caso tenha rodado particular alguma parte do trajeto, informe o total de KM a ser deduzido.]]</f>
        <v>151</v>
      </c>
      <c r="V552" s="86">
        <f>IF(Tabela1[[#This Row],[Informe a data]]&lt;DATE(2026,3,16), Tabela1[[#This Row],[KM Rodado]]*1.1, Tabela1[[#This Row],[KM Rodado]]*1.23)</f>
        <v>185.73</v>
      </c>
      <c r="W552" s="86">
        <f>IFERROR(SUBSTITUTE(Tabela1[[#This Row],[Pedágio]],".",",",1)*1,0)</f>
        <v>0</v>
      </c>
      <c r="X552" s="86">
        <f>IFERROR(SUBSTITUTE(Tabela1[[#This Row],[Estacionamento]],".",",",1)*1,0)</f>
        <v>0</v>
      </c>
      <c r="Y552" s="86">
        <f>IFERROR(SUBSTITUTE(Tabela1[[#This Row],[Despesas Diversas 
(Jantar em viagem, Impressões, Etc)]],".",",",1)*1,0)</f>
        <v>0</v>
      </c>
      <c r="Z552" s="86">
        <f>IFERROR(SUBSTITUTE(Tabela1[[#This Row],[Hospedagem]],".",",",1)*1,0)</f>
        <v>0</v>
      </c>
      <c r="AA552" s="56" t="str">
        <f>IF(DAY(Tabela1[[#This Row],[Informe a data]])&lt;=15,"1ª Quinzena","2ª Quinzena")</f>
        <v>1ª Quinzena</v>
      </c>
      <c r="AB552" s="56" t="str">
        <f>UPPER(TEXT(Tabela1[[#This Row],[Informe a data]],"mmmm"))</f>
        <v>AGOSTO</v>
      </c>
      <c r="AC552" s="87" t="e">
        <f ca="1">_xlfn.CONCAT(Tabela1[[#This Row],[Selecione o Usuário]]," - ",TEXT(Tabela1[[#This Row],[Informe a data]],"dd-mm-aa"))</f>
        <v>#NAME?</v>
      </c>
    </row>
    <row r="553" spans="1:29">
      <c r="A553" s="89">
        <v>46247.788715277777</v>
      </c>
      <c r="B553" s="90" t="s">
        <v>131</v>
      </c>
      <c r="C553" s="90" t="s">
        <v>132</v>
      </c>
      <c r="D553" s="90" t="s">
        <v>133</v>
      </c>
      <c r="E553" s="91">
        <v>46246</v>
      </c>
      <c r="F553" s="92">
        <v>197429</v>
      </c>
      <c r="G553" s="93" t="s">
        <v>1832</v>
      </c>
      <c r="H553" s="92">
        <v>197463</v>
      </c>
      <c r="I553" s="93" t="s">
        <v>1833</v>
      </c>
      <c r="J553" s="90" t="s">
        <v>1834</v>
      </c>
      <c r="K553" s="94"/>
      <c r="L553" s="90" t="s">
        <v>61</v>
      </c>
      <c r="M553" s="94"/>
      <c r="N553" s="94"/>
      <c r="O553" s="90" t="s">
        <v>317</v>
      </c>
      <c r="P553" s="93" t="s">
        <v>1835</v>
      </c>
      <c r="Q553" s="90" t="s">
        <v>1836</v>
      </c>
      <c r="R553" s="93" t="s">
        <v>1837</v>
      </c>
      <c r="S553" s="94"/>
      <c r="T553" s="94"/>
      <c r="U553" s="85">
        <f>(Tabela1[[#This Row],[Informe o KM final do dia]]-Tabela1[[#This Row],[Informe o KM inicial do dia]])-Tabela1[[#This Row],[Caso tenha rodado particular alguma parte do trajeto, informe o total de KM a ser deduzido.]]</f>
        <v>34</v>
      </c>
      <c r="V553" s="86">
        <f>IF(Tabela1[[#This Row],[Informe a data]]&lt;DATE(2026,3,16), Tabela1[[#This Row],[KM Rodado]]*1.1, Tabela1[[#This Row],[KM Rodado]]*1.23)</f>
        <v>41.82</v>
      </c>
      <c r="W553" s="86">
        <f>IFERROR(SUBSTITUTE(Tabela1[[#This Row],[Pedágio]],".",",",1)*1,0)</f>
        <v>0</v>
      </c>
      <c r="X553" s="86">
        <f>IFERROR(SUBSTITUTE(Tabela1[[#This Row],[Estacionamento]],".",",",1)*1,0)</f>
        <v>20</v>
      </c>
      <c r="Y553" s="86">
        <f>IFERROR(SUBSTITUTE(Tabela1[[#This Row],[Despesas Diversas 
(Jantar em viagem, Impressões, Etc)]],".",",",1)*1,0)</f>
        <v>33.5</v>
      </c>
      <c r="Z553" s="86">
        <f>IFERROR(SUBSTITUTE(Tabela1[[#This Row],[Hospedagem]],".",",",1)*1,0)</f>
        <v>0</v>
      </c>
      <c r="AA553" s="56" t="str">
        <f>IF(DAY(Tabela1[[#This Row],[Informe a data]])&lt;=15,"1ª Quinzena","2ª Quinzena")</f>
        <v>1ª Quinzena</v>
      </c>
      <c r="AB553" s="56" t="str">
        <f>UPPER(TEXT(Tabela1[[#This Row],[Informe a data]],"mmmm"))</f>
        <v>AGOSTO</v>
      </c>
      <c r="AC553" s="87" t="e">
        <f ca="1">_xlfn.CONCAT(Tabela1[[#This Row],[Selecione o Usuário]]," - ",TEXT(Tabela1[[#This Row],[Informe a data]],"dd-mm-aa"))</f>
        <v>#NAME?</v>
      </c>
    </row>
    <row r="554" spans="1:29">
      <c r="A554" s="49">
        <v>46248.38181712963</v>
      </c>
      <c r="B554" s="50" t="s">
        <v>497</v>
      </c>
      <c r="C554" s="50" t="s">
        <v>498</v>
      </c>
      <c r="D554" s="50" t="s">
        <v>1800</v>
      </c>
      <c r="E554" s="51">
        <v>46246</v>
      </c>
      <c r="F554" s="52">
        <v>5383</v>
      </c>
      <c r="G554" s="58" t="s">
        <v>1838</v>
      </c>
      <c r="H554" s="52">
        <v>5499</v>
      </c>
      <c r="I554" s="58" t="s">
        <v>1839</v>
      </c>
      <c r="J554" s="50" t="s">
        <v>1840</v>
      </c>
      <c r="K554" s="53"/>
      <c r="L554" s="50" t="s">
        <v>60</v>
      </c>
      <c r="M554" s="53"/>
      <c r="N554" s="53"/>
      <c r="O554" s="53"/>
      <c r="P554" s="53"/>
      <c r="Q554" s="53"/>
      <c r="R554" s="53"/>
      <c r="S554" s="53"/>
      <c r="T554" s="53"/>
      <c r="U554" s="85">
        <f>(Tabela1[[#This Row],[Informe o KM final do dia]]-Tabela1[[#This Row],[Informe o KM inicial do dia]])-Tabela1[[#This Row],[Caso tenha rodado particular alguma parte do trajeto, informe o total de KM a ser deduzido.]]</f>
        <v>116</v>
      </c>
      <c r="V554" s="86">
        <f>IF(Tabela1[[#This Row],[Informe a data]]&lt;DATE(2026,3,16), Tabela1[[#This Row],[KM Rodado]]*1.1, Tabela1[[#This Row],[KM Rodado]]*1.23)</f>
        <v>142.68</v>
      </c>
      <c r="W554" s="86">
        <f>IFERROR(SUBSTITUTE(Tabela1[[#This Row],[Pedágio]],".",",",1)*1,0)</f>
        <v>0</v>
      </c>
      <c r="X554" s="86">
        <f>IFERROR(SUBSTITUTE(Tabela1[[#This Row],[Estacionamento]],".",",",1)*1,0)</f>
        <v>0</v>
      </c>
      <c r="Y554" s="86">
        <f>IFERROR(SUBSTITUTE(Tabela1[[#This Row],[Despesas Diversas 
(Jantar em viagem, Impressões, Etc)]],".",",",1)*1,0)</f>
        <v>0</v>
      </c>
      <c r="Z554" s="86">
        <f>IFERROR(SUBSTITUTE(Tabela1[[#This Row],[Hospedagem]],".",",",1)*1,0)</f>
        <v>0</v>
      </c>
      <c r="AA554" s="56" t="str">
        <f>IF(DAY(Tabela1[[#This Row],[Informe a data]])&lt;=15,"1ª Quinzena","2ª Quinzena")</f>
        <v>1ª Quinzena</v>
      </c>
      <c r="AB554" s="56" t="str">
        <f>UPPER(TEXT(Tabela1[[#This Row],[Informe a data]],"mmmm"))</f>
        <v>AGOSTO</v>
      </c>
      <c r="AC554" s="87" t="e">
        <f ca="1">_xlfn.CONCAT(Tabela1[[#This Row],[Selecione o Usuário]]," - ",TEXT(Tabela1[[#This Row],[Informe a data]],"dd-mm-aa"))</f>
        <v>#NAME?</v>
      </c>
    </row>
    <row r="555" spans="1:29">
      <c r="A555" s="49">
        <v>46249.358657407407</v>
      </c>
      <c r="B555" s="50" t="s">
        <v>131</v>
      </c>
      <c r="C555" s="50" t="s">
        <v>132</v>
      </c>
      <c r="D555" s="50" t="s">
        <v>133</v>
      </c>
      <c r="E555" s="51">
        <v>46247</v>
      </c>
      <c r="F555" s="52">
        <v>184589</v>
      </c>
      <c r="G555" s="58" t="s">
        <v>1844</v>
      </c>
      <c r="H555" s="52">
        <v>185058</v>
      </c>
      <c r="I555" s="58" t="s">
        <v>1845</v>
      </c>
      <c r="J555" s="50" t="s">
        <v>1846</v>
      </c>
      <c r="K555" s="53"/>
      <c r="L555" s="50" t="s">
        <v>60</v>
      </c>
      <c r="M555" s="53"/>
      <c r="N555" s="53"/>
      <c r="O555" s="53"/>
      <c r="P555" s="53"/>
      <c r="Q555" s="53"/>
      <c r="R555" s="53"/>
      <c r="S555" s="53"/>
      <c r="T555" s="53"/>
      <c r="U555" s="85">
        <f>(Tabela1[[#This Row],[Informe o KM final do dia]]-Tabela1[[#This Row],[Informe o KM inicial do dia]])-Tabela1[[#This Row],[Caso tenha rodado particular alguma parte do trajeto, informe o total de KM a ser deduzido.]]</f>
        <v>469</v>
      </c>
      <c r="V555" s="86">
        <f>IF(Tabela1[[#This Row],[Informe a data]]&lt;DATE(2026,3,16), Tabela1[[#This Row],[KM Rodado]]*1.1, Tabela1[[#This Row],[KM Rodado]]*1.23)</f>
        <v>576.87</v>
      </c>
      <c r="W555" s="86">
        <f>IFERROR(SUBSTITUTE(Tabela1[[#This Row],[Pedágio]],".",",",1)*1,0)</f>
        <v>0</v>
      </c>
      <c r="X555" s="86">
        <f>IFERROR(SUBSTITUTE(Tabela1[[#This Row],[Estacionamento]],".",",",1)*1,0)</f>
        <v>0</v>
      </c>
      <c r="Y555" s="86">
        <f>IFERROR(SUBSTITUTE(Tabela1[[#This Row],[Despesas Diversas 
(Jantar em viagem, Impressões, Etc)]],".",",",1)*1,0)</f>
        <v>0</v>
      </c>
      <c r="Z555" s="86">
        <f>IFERROR(SUBSTITUTE(Tabela1[[#This Row],[Hospedagem]],".",",",1)*1,0)</f>
        <v>0</v>
      </c>
      <c r="AA555" s="56" t="str">
        <f>IF(DAY(Tabela1[[#This Row],[Informe a data]])&lt;=15,"1ª Quinzena","2ª Quinzena")</f>
        <v>1ª Quinzena</v>
      </c>
      <c r="AB555" s="56" t="str">
        <f>UPPER(TEXT(Tabela1[[#This Row],[Informe a data]],"mmmm"))</f>
        <v>AGOSTO</v>
      </c>
      <c r="AC555" s="87" t="e">
        <f ca="1">_xlfn.CONCAT(Tabela1[[#This Row],[Selecione o Usuário]]," - ",TEXT(Tabela1[[#This Row],[Informe a data]],"dd-mm-aa"))</f>
        <v>#NAME?</v>
      </c>
    </row>
    <row r="556" spans="1:29">
      <c r="A556" s="89">
        <v>46251.145856481482</v>
      </c>
      <c r="B556" s="90" t="s">
        <v>176</v>
      </c>
      <c r="C556" s="90" t="s">
        <v>136</v>
      </c>
      <c r="D556" s="90" t="s">
        <v>177</v>
      </c>
      <c r="E556" s="91">
        <v>46247</v>
      </c>
      <c r="F556" s="92">
        <v>178782</v>
      </c>
      <c r="G556" s="93" t="s">
        <v>1883</v>
      </c>
      <c r="H556" s="92">
        <v>178968</v>
      </c>
      <c r="I556" s="93" t="s">
        <v>1884</v>
      </c>
      <c r="J556" s="90" t="s">
        <v>1885</v>
      </c>
      <c r="K556" s="94"/>
      <c r="L556" s="90" t="s">
        <v>60</v>
      </c>
      <c r="M556" s="94"/>
      <c r="N556" s="94"/>
      <c r="O556" s="94"/>
      <c r="P556" s="94"/>
      <c r="Q556" s="94"/>
      <c r="R556" s="94"/>
      <c r="S556" s="94"/>
      <c r="T556" s="94"/>
      <c r="U556" s="85">
        <f>(Tabela1[[#This Row],[Informe o KM final do dia]]-Tabela1[[#This Row],[Informe o KM inicial do dia]])-Tabela1[[#This Row],[Caso tenha rodado particular alguma parte do trajeto, informe o total de KM a ser deduzido.]]</f>
        <v>186</v>
      </c>
      <c r="V556" s="86">
        <f>IF(Tabela1[[#This Row],[Informe a data]]&lt;DATE(2026,3,16), Tabela1[[#This Row],[KM Rodado]]*1.1, Tabela1[[#This Row],[KM Rodado]]*1.23)</f>
        <v>228.78</v>
      </c>
      <c r="W556" s="86">
        <f>IFERROR(SUBSTITUTE(Tabela1[[#This Row],[Pedágio]],".",",",1)*1,0)</f>
        <v>0</v>
      </c>
      <c r="X556" s="86">
        <f>IFERROR(SUBSTITUTE(Tabela1[[#This Row],[Estacionamento]],".",",",1)*1,0)</f>
        <v>0</v>
      </c>
      <c r="Y556" s="86">
        <f>IFERROR(SUBSTITUTE(Tabela1[[#This Row],[Despesas Diversas 
(Jantar em viagem, Impressões, Etc)]],".",",",1)*1,0)</f>
        <v>0</v>
      </c>
      <c r="Z556" s="86">
        <f>IFERROR(SUBSTITUTE(Tabela1[[#This Row],[Hospedagem]],".",",",1)*1,0)</f>
        <v>0</v>
      </c>
      <c r="AA556" s="56" t="str">
        <f>IF(DAY(Tabela1[[#This Row],[Informe a data]])&lt;=15,"1ª Quinzena","2ª Quinzena")</f>
        <v>1ª Quinzena</v>
      </c>
      <c r="AB556" s="56" t="str">
        <f>UPPER(TEXT(Tabela1[[#This Row],[Informe a data]],"mmmm"))</f>
        <v>AGOSTO</v>
      </c>
      <c r="AC556" s="87" t="e">
        <f ca="1">_xlfn.CONCAT(Tabela1[[#This Row],[Selecione o Usuário]]," - ",TEXT(Tabela1[[#This Row],[Informe a data]],"dd-mm-aa"))</f>
        <v>#NAME?</v>
      </c>
    </row>
    <row r="557" spans="1:29">
      <c r="A557" s="110">
        <v>46249.887604166666</v>
      </c>
      <c r="B557" s="106" t="s">
        <v>1260</v>
      </c>
      <c r="C557" s="106" t="s">
        <v>505</v>
      </c>
      <c r="D557" s="106" t="s">
        <v>506</v>
      </c>
      <c r="E557" s="107">
        <v>46248</v>
      </c>
      <c r="F557" s="108">
        <v>109351</v>
      </c>
      <c r="G557" s="111" t="s">
        <v>1862</v>
      </c>
      <c r="H557" s="108">
        <v>109422</v>
      </c>
      <c r="I557" s="111" t="s">
        <v>1863</v>
      </c>
      <c r="J557" s="106" t="s">
        <v>1864</v>
      </c>
      <c r="K557" s="109"/>
      <c r="L557" s="106" t="s">
        <v>60</v>
      </c>
      <c r="M557" s="109"/>
      <c r="N557" s="109"/>
      <c r="O557" s="109"/>
      <c r="P557" s="109"/>
      <c r="Q557" s="109"/>
      <c r="R557" s="109"/>
      <c r="S557" s="109"/>
      <c r="T557" s="109"/>
      <c r="U557" s="95">
        <f>(Tabela1[[#This Row],[Informe o KM final do dia]]-Tabela1[[#This Row],[Informe o KM inicial do dia]])-Tabela1[[#This Row],[Caso tenha rodado particular alguma parte do trajeto, informe o total de KM a ser deduzido.]]</f>
        <v>71</v>
      </c>
      <c r="V557" s="97">
        <f>IF(Tabela1[[#This Row],[Informe a data]]&lt;DATE(2026,3,16), Tabela1[[#This Row],[KM Rodado]]*1.1, Tabela1[[#This Row],[KM Rodado]]*1.23)</f>
        <v>87.33</v>
      </c>
      <c r="W557" s="97">
        <f>IFERROR(SUBSTITUTE(Tabela1[[#This Row],[Pedágio]],".",",",1)*1,0)</f>
        <v>0</v>
      </c>
      <c r="X557" s="97">
        <f>IFERROR(SUBSTITUTE(Tabela1[[#This Row],[Estacionamento]],".",",",1)*1,0)</f>
        <v>0</v>
      </c>
      <c r="Y557" s="97">
        <f>IFERROR(SUBSTITUTE(Tabela1[[#This Row],[Despesas Diversas 
(Jantar em viagem, Impressões, Etc)]],".",",",1)*1,0)</f>
        <v>0</v>
      </c>
      <c r="Z557" s="97">
        <f>IFERROR(SUBSTITUTE(Tabela1[[#This Row],[Hospedagem]],".",",",1)*1,0)</f>
        <v>0</v>
      </c>
      <c r="AA557" s="98" t="str">
        <f>IF(DAY(Tabela1[[#This Row],[Informe a data]])&lt;=15,"1ª Quinzena","2ª Quinzena")</f>
        <v>1ª Quinzena</v>
      </c>
      <c r="AB557" s="98" t="str">
        <f>UPPER(TEXT(Tabela1[[#This Row],[Informe a data]],"mmmm"))</f>
        <v>AGOSTO</v>
      </c>
      <c r="AC557" s="99" t="e">
        <f ca="1">_xlfn.CONCAT(Tabela1[[#This Row],[Selecione o Usuário]]," - ",TEXT(Tabela1[[#This Row],[Informe a data]],"dd-mm-aa"))</f>
        <v>#NAME?</v>
      </c>
    </row>
    <row r="558" spans="1:29">
      <c r="A558" s="49">
        <v>46265.503148148149</v>
      </c>
      <c r="B558" s="50" t="s">
        <v>504</v>
      </c>
      <c r="C558" s="50" t="s">
        <v>505</v>
      </c>
      <c r="D558" s="50" t="s">
        <v>506</v>
      </c>
      <c r="E558" s="51">
        <v>46251</v>
      </c>
      <c r="F558" s="52">
        <v>109351</v>
      </c>
      <c r="G558" s="58" t="s">
        <v>1933</v>
      </c>
      <c r="H558" s="52">
        <v>109422</v>
      </c>
      <c r="I558" s="58" t="s">
        <v>1934</v>
      </c>
      <c r="J558" s="50" t="s">
        <v>1855</v>
      </c>
      <c r="K558" s="53"/>
      <c r="L558" s="50" t="s">
        <v>60</v>
      </c>
      <c r="M558" s="53"/>
      <c r="N558" s="53"/>
      <c r="O558" s="53"/>
      <c r="P558" s="53"/>
      <c r="Q558" s="53"/>
      <c r="R558" s="53"/>
      <c r="S558" s="53"/>
      <c r="T558" s="53"/>
      <c r="U558" s="85">
        <f>(Tabela1[[#This Row],[Informe o KM final do dia]]-Tabela1[[#This Row],[Informe o KM inicial do dia]])-Tabela1[[#This Row],[Caso tenha rodado particular alguma parte do trajeto, informe o total de KM a ser deduzido.]]</f>
        <v>71</v>
      </c>
      <c r="V558" s="86">
        <f>IF(Tabela1[[#This Row],[Informe a data]]&lt;DATE(2026,3,16), Tabela1[[#This Row],[KM Rodado]]*1.1, Tabela1[[#This Row],[KM Rodado]]*1.23)</f>
        <v>87.33</v>
      </c>
      <c r="W558" s="86">
        <f>IFERROR(SUBSTITUTE(Tabela1[[#This Row],[Pedágio]],".",",",1)*1,0)</f>
        <v>0</v>
      </c>
      <c r="X558" s="86">
        <f>IFERROR(SUBSTITUTE(Tabela1[[#This Row],[Estacionamento]],".",",",1)*1,0)</f>
        <v>0</v>
      </c>
      <c r="Y558" s="86">
        <f>IFERROR(SUBSTITUTE(Tabela1[[#This Row],[Despesas Diversas 
(Jantar em viagem, Impressões, Etc)]],".",",",1)*1,0)</f>
        <v>0</v>
      </c>
      <c r="Z558" s="86">
        <f>IFERROR(SUBSTITUTE(Tabela1[[#This Row],[Hospedagem]],".",",",1)*1,0)</f>
        <v>0</v>
      </c>
      <c r="AA558" s="56" t="str">
        <f>IF(DAY(Tabela1[[#This Row],[Informe a data]])&lt;=15,"1ª Quinzena","2ª Quinzena")</f>
        <v>2ª Quinzena</v>
      </c>
      <c r="AB558" s="56" t="str">
        <f>UPPER(TEXT(Tabela1[[#This Row],[Informe a data]],"mmmm"))</f>
        <v>AGOSTO</v>
      </c>
      <c r="AC558" s="87" t="e">
        <f ca="1">_xlfn.CONCAT(Tabela1[[#This Row],[Selecione o Usuário]]," - ",TEXT(Tabela1[[#This Row],[Informe a data]],"dd-mm-aa"))</f>
        <v>#NAME?</v>
      </c>
    </row>
    <row r="559" spans="1:29">
      <c r="A559" s="49">
        <v>46252.766053240739</v>
      </c>
      <c r="B559" s="50" t="s">
        <v>131</v>
      </c>
      <c r="C559" s="50" t="s">
        <v>132</v>
      </c>
      <c r="D559" s="50" t="s">
        <v>133</v>
      </c>
      <c r="E559" s="51">
        <v>46252</v>
      </c>
      <c r="F559" s="52">
        <v>197555</v>
      </c>
      <c r="G559" s="58" t="s">
        <v>1887</v>
      </c>
      <c r="H559" s="52">
        <v>197567</v>
      </c>
      <c r="I559" s="58" t="s">
        <v>1888</v>
      </c>
      <c r="J559" s="50" t="s">
        <v>1889</v>
      </c>
      <c r="K559" s="53"/>
      <c r="L559" s="50" t="s">
        <v>61</v>
      </c>
      <c r="M559" s="53"/>
      <c r="N559" s="53"/>
      <c r="O559" s="53"/>
      <c r="P559" s="53"/>
      <c r="Q559" s="50" t="s">
        <v>1890</v>
      </c>
      <c r="R559" s="58" t="s">
        <v>1891</v>
      </c>
      <c r="S559" s="53"/>
      <c r="T559" s="53"/>
      <c r="U559" s="85">
        <f>(Tabela1[[#This Row],[Informe o KM final do dia]]-Tabela1[[#This Row],[Informe o KM inicial do dia]])-Tabela1[[#This Row],[Caso tenha rodado particular alguma parte do trajeto, informe o total de KM a ser deduzido.]]</f>
        <v>12</v>
      </c>
      <c r="V559" s="86">
        <f>IF(Tabela1[[#This Row],[Informe a data]]&lt;DATE(2026,3,16), Tabela1[[#This Row],[KM Rodado]]*1.1, Tabela1[[#This Row],[KM Rodado]]*1.23)</f>
        <v>14.76</v>
      </c>
      <c r="W559" s="86">
        <f>IFERROR(SUBSTITUTE(Tabela1[[#This Row],[Pedágio]],".",",",1)*1,0)</f>
        <v>0</v>
      </c>
      <c r="X559" s="86">
        <f>IFERROR(SUBSTITUTE(Tabela1[[#This Row],[Estacionamento]],".",",",1)*1,0)</f>
        <v>0</v>
      </c>
      <c r="Y559" s="86">
        <f>IFERROR(SUBSTITUTE(Tabela1[[#This Row],[Despesas Diversas 
(Jantar em viagem, Impressões, Etc)]],".",",",1)*1,0)</f>
        <v>29.8</v>
      </c>
      <c r="Z559" s="86">
        <f>IFERROR(SUBSTITUTE(Tabela1[[#This Row],[Hospedagem]],".",",",1)*1,0)</f>
        <v>0</v>
      </c>
      <c r="AA559" s="56" t="str">
        <f>IF(DAY(Tabela1[[#This Row],[Informe a data]])&lt;=15,"1ª Quinzena","2ª Quinzena")</f>
        <v>2ª Quinzena</v>
      </c>
      <c r="AB559" s="56" t="str">
        <f>UPPER(TEXT(Tabela1[[#This Row],[Informe a data]],"mmmm"))</f>
        <v>AGOSTO</v>
      </c>
      <c r="AC559" s="87" t="e">
        <f ca="1">_xlfn.CONCAT(Tabela1[[#This Row],[Selecione o Usuário]]," - ",TEXT(Tabela1[[#This Row],[Informe a data]],"dd-mm-aa"))</f>
        <v>#NAME?</v>
      </c>
    </row>
    <row r="560" spans="1:29">
      <c r="A560" s="89">
        <v>46252.825891203705</v>
      </c>
      <c r="B560" s="90" t="s">
        <v>1605</v>
      </c>
      <c r="C560" s="90" t="s">
        <v>1696</v>
      </c>
      <c r="D560" s="90" t="s">
        <v>1606</v>
      </c>
      <c r="E560" s="91">
        <v>46252</v>
      </c>
      <c r="F560" s="92">
        <v>120853</v>
      </c>
      <c r="G560" s="93" t="s">
        <v>1892</v>
      </c>
      <c r="H560" s="92">
        <v>121114</v>
      </c>
      <c r="I560" s="93" t="s">
        <v>1893</v>
      </c>
      <c r="J560" s="90" t="s">
        <v>1894</v>
      </c>
      <c r="K560" s="94"/>
      <c r="L560" s="90" t="s">
        <v>60</v>
      </c>
      <c r="M560" s="94"/>
      <c r="N560" s="94"/>
      <c r="O560" s="94"/>
      <c r="P560" s="94"/>
      <c r="Q560" s="94"/>
      <c r="R560" s="94"/>
      <c r="S560" s="94"/>
      <c r="T560" s="94"/>
      <c r="U560" s="85">
        <f>(Tabela1[[#This Row],[Informe o KM final do dia]]-Tabela1[[#This Row],[Informe o KM inicial do dia]])-Tabela1[[#This Row],[Caso tenha rodado particular alguma parte do trajeto, informe o total de KM a ser deduzido.]]</f>
        <v>261</v>
      </c>
      <c r="V560" s="86">
        <f>IF(Tabela1[[#This Row],[Informe a data]]&lt;DATE(2026,3,16), Tabela1[[#This Row],[KM Rodado]]*1.1, Tabela1[[#This Row],[KM Rodado]]*1.23)</f>
        <v>321.02999999999997</v>
      </c>
      <c r="W560" s="86">
        <f>IFERROR(SUBSTITUTE(Tabela1[[#This Row],[Pedágio]],".",",",1)*1,0)</f>
        <v>0</v>
      </c>
      <c r="X560" s="86">
        <f>IFERROR(SUBSTITUTE(Tabela1[[#This Row],[Estacionamento]],".",",",1)*1,0)</f>
        <v>0</v>
      </c>
      <c r="Y560" s="86">
        <f>IFERROR(SUBSTITUTE(Tabela1[[#This Row],[Despesas Diversas 
(Jantar em viagem, Impressões, Etc)]],".",",",1)*1,0)</f>
        <v>0</v>
      </c>
      <c r="Z560" s="86">
        <f>IFERROR(SUBSTITUTE(Tabela1[[#This Row],[Hospedagem]],".",",",1)*1,0)</f>
        <v>0</v>
      </c>
      <c r="AA560" s="56" t="str">
        <f>IF(DAY(Tabela1[[#This Row],[Informe a data]])&lt;=15,"1ª Quinzena","2ª Quinzena")</f>
        <v>2ª Quinzena</v>
      </c>
      <c r="AB560" s="56" t="str">
        <f>UPPER(TEXT(Tabela1[[#This Row],[Informe a data]],"mmmm"))</f>
        <v>AGOSTO</v>
      </c>
      <c r="AC560" s="87" t="e">
        <f ca="1">_xlfn.CONCAT(Tabela1[[#This Row],[Selecione o Usuário]]," - ",TEXT(Tabela1[[#This Row],[Informe a data]],"dd-mm-aa"))</f>
        <v>#NAME?</v>
      </c>
    </row>
    <row r="561" spans="1:29">
      <c r="A561" s="89">
        <v>46265.505624999998</v>
      </c>
      <c r="B561" s="90" t="s">
        <v>1260</v>
      </c>
      <c r="C561" s="90" t="s">
        <v>505</v>
      </c>
      <c r="D561" s="90" t="s">
        <v>506</v>
      </c>
      <c r="E561" s="91">
        <v>46252</v>
      </c>
      <c r="F561" s="92">
        <v>109534</v>
      </c>
      <c r="G561" s="93" t="s">
        <v>1935</v>
      </c>
      <c r="H561" s="92">
        <v>109645</v>
      </c>
      <c r="I561" s="93" t="s">
        <v>1936</v>
      </c>
      <c r="J561" s="90" t="s">
        <v>1937</v>
      </c>
      <c r="K561" s="94"/>
      <c r="L561" s="90" t="s">
        <v>60</v>
      </c>
      <c r="M561" s="94"/>
      <c r="N561" s="94"/>
      <c r="O561" s="94"/>
      <c r="P561" s="94"/>
      <c r="Q561" s="94"/>
      <c r="R561" s="94"/>
      <c r="S561" s="94"/>
      <c r="T561" s="94"/>
      <c r="U561" s="85">
        <f>(Tabela1[[#This Row],[Informe o KM final do dia]]-Tabela1[[#This Row],[Informe o KM inicial do dia]])-Tabela1[[#This Row],[Caso tenha rodado particular alguma parte do trajeto, informe o total de KM a ser deduzido.]]</f>
        <v>111</v>
      </c>
      <c r="V561" s="86">
        <f>IF(Tabela1[[#This Row],[Informe a data]]&lt;DATE(2026,3,16), Tabela1[[#This Row],[KM Rodado]]*1.1, Tabela1[[#This Row],[KM Rodado]]*1.23)</f>
        <v>136.53</v>
      </c>
      <c r="W561" s="86">
        <f>IFERROR(SUBSTITUTE(Tabela1[[#This Row],[Pedágio]],".",",",1)*1,0)</f>
        <v>0</v>
      </c>
      <c r="X561" s="86">
        <f>IFERROR(SUBSTITUTE(Tabela1[[#This Row],[Estacionamento]],".",",",1)*1,0)</f>
        <v>0</v>
      </c>
      <c r="Y561" s="86">
        <f>IFERROR(SUBSTITUTE(Tabela1[[#This Row],[Despesas Diversas 
(Jantar em viagem, Impressões, Etc)]],".",",",1)*1,0)</f>
        <v>0</v>
      </c>
      <c r="Z561" s="86">
        <f>IFERROR(SUBSTITUTE(Tabela1[[#This Row],[Hospedagem]],".",",",1)*1,0)</f>
        <v>0</v>
      </c>
      <c r="AA561" s="56" t="str">
        <f>IF(DAY(Tabela1[[#This Row],[Informe a data]])&lt;=15,"1ª Quinzena","2ª Quinzena")</f>
        <v>2ª Quinzena</v>
      </c>
      <c r="AB561" s="56" t="str">
        <f>UPPER(TEXT(Tabela1[[#This Row],[Informe a data]],"mmmm"))</f>
        <v>AGOSTO</v>
      </c>
      <c r="AC561" s="87" t="e">
        <f ca="1">_xlfn.CONCAT(Tabela1[[#This Row],[Selecione o Usuário]]," - ",TEXT(Tabela1[[#This Row],[Informe a data]],"dd-mm-aa"))</f>
        <v>#NAME?</v>
      </c>
    </row>
    <row r="562" spans="1:29">
      <c r="A562" s="89">
        <v>46265.891782407409</v>
      </c>
      <c r="B562" s="90" t="s">
        <v>1634</v>
      </c>
      <c r="C562" s="90" t="s">
        <v>44</v>
      </c>
      <c r="D562" s="90" t="s">
        <v>1636</v>
      </c>
      <c r="E562" s="91">
        <v>46252</v>
      </c>
      <c r="F562" s="92">
        <v>136212</v>
      </c>
      <c r="G562" s="93" t="s">
        <v>1962</v>
      </c>
      <c r="H562" s="92">
        <v>136460</v>
      </c>
      <c r="I562" s="93" t="s">
        <v>1963</v>
      </c>
      <c r="J562" s="90" t="s">
        <v>1964</v>
      </c>
      <c r="K562" s="94"/>
      <c r="L562" s="90" t="s">
        <v>60</v>
      </c>
      <c r="M562" s="94"/>
      <c r="N562" s="94"/>
      <c r="O562" s="94"/>
      <c r="P562" s="94"/>
      <c r="Q562" s="94"/>
      <c r="R562" s="94"/>
      <c r="S562" s="94"/>
      <c r="T562" s="94"/>
      <c r="U562" s="85">
        <f>(Tabela1[[#This Row],[Informe o KM final do dia]]-Tabela1[[#This Row],[Informe o KM inicial do dia]])-Tabela1[[#This Row],[Caso tenha rodado particular alguma parte do trajeto, informe o total de KM a ser deduzido.]]</f>
        <v>248</v>
      </c>
      <c r="V562" s="86">
        <f>IF(Tabela1[[#This Row],[Informe a data]]&lt;DATE(2026,3,16), Tabela1[[#This Row],[KM Rodado]]*1.1, Tabela1[[#This Row],[KM Rodado]]*1.23)</f>
        <v>305.04000000000002</v>
      </c>
      <c r="W562" s="86">
        <f>IFERROR(SUBSTITUTE(Tabela1[[#This Row],[Pedágio]],".",",",1)*1,0)</f>
        <v>0</v>
      </c>
      <c r="X562" s="86">
        <f>IFERROR(SUBSTITUTE(Tabela1[[#This Row],[Estacionamento]],".",",",1)*1,0)</f>
        <v>0</v>
      </c>
      <c r="Y562" s="86">
        <f>IFERROR(SUBSTITUTE(Tabela1[[#This Row],[Despesas Diversas 
(Jantar em viagem, Impressões, Etc)]],".",",",1)*1,0)</f>
        <v>0</v>
      </c>
      <c r="Z562" s="86">
        <f>IFERROR(SUBSTITUTE(Tabela1[[#This Row],[Hospedagem]],".",",",1)*1,0)</f>
        <v>0</v>
      </c>
      <c r="AA562" s="56" t="str">
        <f>IF(DAY(Tabela1[[#This Row],[Informe a data]])&lt;=15,"1ª Quinzena","2ª Quinzena")</f>
        <v>2ª Quinzena</v>
      </c>
      <c r="AB562" s="56" t="str">
        <f>UPPER(TEXT(Tabela1[[#This Row],[Informe a data]],"mmmm"))</f>
        <v>AGOSTO</v>
      </c>
      <c r="AC562" s="87" t="e">
        <f ca="1">_xlfn.CONCAT(Tabela1[[#This Row],[Selecione o Usuário]]," - ",TEXT(Tabela1[[#This Row],[Informe a data]],"dd-mm-aa"))</f>
        <v>#NAME?</v>
      </c>
    </row>
    <row r="563" spans="1:29">
      <c r="A563" s="49">
        <v>46253.824050925927</v>
      </c>
      <c r="B563" s="50" t="s">
        <v>1895</v>
      </c>
      <c r="C563" s="50" t="s">
        <v>132</v>
      </c>
      <c r="D563" s="50" t="s">
        <v>133</v>
      </c>
      <c r="E563" s="51">
        <v>46253</v>
      </c>
      <c r="F563" s="52">
        <v>197567</v>
      </c>
      <c r="G563" s="58" t="s">
        <v>1896</v>
      </c>
      <c r="H563" s="52">
        <v>197630</v>
      </c>
      <c r="I563" s="58" t="s">
        <v>1897</v>
      </c>
      <c r="J563" s="50" t="s">
        <v>1898</v>
      </c>
      <c r="K563" s="53"/>
      <c r="L563" s="50" t="s">
        <v>60</v>
      </c>
      <c r="M563" s="53"/>
      <c r="N563" s="53"/>
      <c r="O563" s="53"/>
      <c r="P563" s="53"/>
      <c r="Q563" s="53"/>
      <c r="R563" s="53"/>
      <c r="S563" s="53"/>
      <c r="T563" s="53"/>
      <c r="U563" s="85">
        <f>(Tabela1[[#This Row],[Informe o KM final do dia]]-Tabela1[[#This Row],[Informe o KM inicial do dia]])-Tabela1[[#This Row],[Caso tenha rodado particular alguma parte do trajeto, informe o total de KM a ser deduzido.]]</f>
        <v>63</v>
      </c>
      <c r="V563" s="86">
        <f>IF(Tabela1[[#This Row],[Informe a data]]&lt;DATE(2026,3,16), Tabela1[[#This Row],[KM Rodado]]*1.1, Tabela1[[#This Row],[KM Rodado]]*1.23)</f>
        <v>77.489999999999995</v>
      </c>
      <c r="W563" s="86">
        <f>IFERROR(SUBSTITUTE(Tabela1[[#This Row],[Pedágio]],".",",",1)*1,0)</f>
        <v>0</v>
      </c>
      <c r="X563" s="86">
        <f>IFERROR(SUBSTITUTE(Tabela1[[#This Row],[Estacionamento]],".",",",1)*1,0)</f>
        <v>0</v>
      </c>
      <c r="Y563" s="86">
        <f>IFERROR(SUBSTITUTE(Tabela1[[#This Row],[Despesas Diversas 
(Jantar em viagem, Impressões, Etc)]],".",",",1)*1,0)</f>
        <v>0</v>
      </c>
      <c r="Z563" s="86">
        <f>IFERROR(SUBSTITUTE(Tabela1[[#This Row],[Hospedagem]],".",",",1)*1,0)</f>
        <v>0</v>
      </c>
      <c r="AA563" s="56" t="str">
        <f>IF(DAY(Tabela1[[#This Row],[Informe a data]])&lt;=15,"1ª Quinzena","2ª Quinzena")</f>
        <v>2ª Quinzena</v>
      </c>
      <c r="AB563" s="56" t="str">
        <f>UPPER(TEXT(Tabela1[[#This Row],[Informe a data]],"mmmm"))</f>
        <v>AGOSTO</v>
      </c>
      <c r="AC563" s="87" t="e">
        <f ca="1">_xlfn.CONCAT(Tabela1[[#This Row],[Selecione o Usuário]]," - ",TEXT(Tabela1[[#This Row],[Informe a data]],"dd-mm-aa"))</f>
        <v>#NAME?</v>
      </c>
    </row>
    <row r="564" spans="1:29">
      <c r="A564" s="89">
        <v>46253.935347222221</v>
      </c>
      <c r="B564" s="90" t="s">
        <v>1174</v>
      </c>
      <c r="C564" s="90" t="s">
        <v>134</v>
      </c>
      <c r="D564" s="90" t="s">
        <v>209</v>
      </c>
      <c r="E564" s="91">
        <v>46253</v>
      </c>
      <c r="F564" s="92">
        <v>177343</v>
      </c>
      <c r="G564" s="93" t="s">
        <v>1899</v>
      </c>
      <c r="H564" s="92">
        <v>177559</v>
      </c>
      <c r="I564" s="93" t="s">
        <v>1900</v>
      </c>
      <c r="J564" s="90" t="s">
        <v>1901</v>
      </c>
      <c r="K564" s="94"/>
      <c r="L564" s="90" t="s">
        <v>60</v>
      </c>
      <c r="M564" s="94"/>
      <c r="N564" s="94"/>
      <c r="O564" s="94"/>
      <c r="P564" s="94"/>
      <c r="Q564" s="94"/>
      <c r="R564" s="94"/>
      <c r="S564" s="94"/>
      <c r="T564" s="94"/>
      <c r="U564" s="85">
        <f>(Tabela1[[#This Row],[Informe o KM final do dia]]-Tabela1[[#This Row],[Informe o KM inicial do dia]])-Tabela1[[#This Row],[Caso tenha rodado particular alguma parte do trajeto, informe o total de KM a ser deduzido.]]</f>
        <v>216</v>
      </c>
      <c r="V564" s="86">
        <f>IF(Tabela1[[#This Row],[Informe a data]]&lt;DATE(2026,3,16), Tabela1[[#This Row],[KM Rodado]]*1.1, Tabela1[[#This Row],[KM Rodado]]*1.23)</f>
        <v>265.68</v>
      </c>
      <c r="W564" s="86">
        <f>IFERROR(SUBSTITUTE(Tabela1[[#This Row],[Pedágio]],".",",",1)*1,0)</f>
        <v>0</v>
      </c>
      <c r="X564" s="86">
        <f>IFERROR(SUBSTITUTE(Tabela1[[#This Row],[Estacionamento]],".",",",1)*1,0)</f>
        <v>0</v>
      </c>
      <c r="Y564" s="86">
        <f>IFERROR(SUBSTITUTE(Tabela1[[#This Row],[Despesas Diversas 
(Jantar em viagem, Impressões, Etc)]],".",",",1)*1,0)</f>
        <v>0</v>
      </c>
      <c r="Z564" s="86">
        <f>IFERROR(SUBSTITUTE(Tabela1[[#This Row],[Hospedagem]],".",",",1)*1,0)</f>
        <v>0</v>
      </c>
      <c r="AA564" s="56" t="str">
        <f>IF(DAY(Tabela1[[#This Row],[Informe a data]])&lt;=15,"1ª Quinzena","2ª Quinzena")</f>
        <v>2ª Quinzena</v>
      </c>
      <c r="AB564" s="56" t="str">
        <f>UPPER(TEXT(Tabela1[[#This Row],[Informe a data]],"mmmm"))</f>
        <v>AGOSTO</v>
      </c>
      <c r="AC564" s="87" t="e">
        <f ca="1">_xlfn.CONCAT(Tabela1[[#This Row],[Selecione o Usuário]]," - ",TEXT(Tabela1[[#This Row],[Informe a data]],"dd-mm-aa"))</f>
        <v>#NAME?</v>
      </c>
    </row>
    <row r="565" spans="1:29">
      <c r="A565" s="49">
        <v>46265.508912037039</v>
      </c>
      <c r="B565" s="50" t="s">
        <v>1260</v>
      </c>
      <c r="C565" s="50" t="s">
        <v>505</v>
      </c>
      <c r="D565" s="50" t="s">
        <v>506</v>
      </c>
      <c r="E565" s="51">
        <v>46253</v>
      </c>
      <c r="F565" s="52">
        <v>109645</v>
      </c>
      <c r="G565" s="58" t="s">
        <v>1938</v>
      </c>
      <c r="H565" s="52">
        <v>109730</v>
      </c>
      <c r="I565" s="58" t="s">
        <v>1939</v>
      </c>
      <c r="J565" s="50" t="s">
        <v>1940</v>
      </c>
      <c r="K565" s="53"/>
      <c r="L565" s="50" t="s">
        <v>61</v>
      </c>
      <c r="M565" s="53"/>
      <c r="N565" s="53"/>
      <c r="O565" s="53"/>
      <c r="P565" s="53"/>
      <c r="Q565" s="50" t="s">
        <v>1941</v>
      </c>
      <c r="R565" s="58" t="s">
        <v>1942</v>
      </c>
      <c r="S565" s="53"/>
      <c r="T565" s="53"/>
      <c r="U565" s="85">
        <f>(Tabela1[[#This Row],[Informe o KM final do dia]]-Tabela1[[#This Row],[Informe o KM inicial do dia]])-Tabela1[[#This Row],[Caso tenha rodado particular alguma parte do trajeto, informe o total de KM a ser deduzido.]]</f>
        <v>85</v>
      </c>
      <c r="V565" s="86">
        <f>IF(Tabela1[[#This Row],[Informe a data]]&lt;DATE(2026,3,16), Tabela1[[#This Row],[KM Rodado]]*1.1, Tabela1[[#This Row],[KM Rodado]]*1.23)</f>
        <v>104.55</v>
      </c>
      <c r="W565" s="86">
        <f>IFERROR(SUBSTITUTE(Tabela1[[#This Row],[Pedágio]],".",",",1)*1,0)</f>
        <v>0</v>
      </c>
      <c r="X565" s="86">
        <f>IFERROR(SUBSTITUTE(Tabela1[[#This Row],[Estacionamento]],".",",",1)*1,0)</f>
        <v>0</v>
      </c>
      <c r="Y565" s="86">
        <f>IFERROR(SUBSTITUTE(Tabela1[[#This Row],[Despesas Diversas 
(Jantar em viagem, Impressões, Etc)]],".",",",1)*1,0)</f>
        <v>96.6</v>
      </c>
      <c r="Z565" s="86">
        <f>IFERROR(SUBSTITUTE(Tabela1[[#This Row],[Hospedagem]],".",",",1)*1,0)</f>
        <v>0</v>
      </c>
      <c r="AA565" s="56" t="str">
        <f>IF(DAY(Tabela1[[#This Row],[Informe a data]])&lt;=15,"1ª Quinzena","2ª Quinzena")</f>
        <v>2ª Quinzena</v>
      </c>
      <c r="AB565" s="56" t="str">
        <f>UPPER(TEXT(Tabela1[[#This Row],[Informe a data]],"mmmm"))</f>
        <v>AGOSTO</v>
      </c>
      <c r="AC565" s="87" t="e">
        <f ca="1">_xlfn.CONCAT(Tabela1[[#This Row],[Selecione o Usuário]]," - ",TEXT(Tabela1[[#This Row],[Informe a data]],"dd-mm-aa"))</f>
        <v>#NAME?</v>
      </c>
    </row>
    <row r="566" spans="1:29">
      <c r="A566" s="49">
        <v>46265.905497685184</v>
      </c>
      <c r="B566" s="50" t="s">
        <v>1634</v>
      </c>
      <c r="C566" s="50" t="s">
        <v>44</v>
      </c>
      <c r="D566" s="50" t="s">
        <v>1636</v>
      </c>
      <c r="E566" s="51">
        <v>46253</v>
      </c>
      <c r="F566" s="52">
        <v>136460</v>
      </c>
      <c r="G566" s="58" t="s">
        <v>1965</v>
      </c>
      <c r="H566" s="52">
        <v>136588</v>
      </c>
      <c r="I566" s="58" t="s">
        <v>1966</v>
      </c>
      <c r="J566" s="50" t="s">
        <v>1967</v>
      </c>
      <c r="K566" s="53"/>
      <c r="L566" s="50" t="s">
        <v>60</v>
      </c>
      <c r="M566" s="53"/>
      <c r="N566" s="53"/>
      <c r="O566" s="53"/>
      <c r="P566" s="53"/>
      <c r="Q566" s="53"/>
      <c r="R566" s="53"/>
      <c r="S566" s="53"/>
      <c r="T566" s="53"/>
      <c r="U566" s="85">
        <f>(Tabela1[[#This Row],[Informe o KM final do dia]]-Tabela1[[#This Row],[Informe o KM inicial do dia]])-Tabela1[[#This Row],[Caso tenha rodado particular alguma parte do trajeto, informe o total de KM a ser deduzido.]]</f>
        <v>128</v>
      </c>
      <c r="V566" s="86">
        <f>IF(Tabela1[[#This Row],[Informe a data]]&lt;DATE(2026,3,16), Tabela1[[#This Row],[KM Rodado]]*1.1, Tabela1[[#This Row],[KM Rodado]]*1.23)</f>
        <v>157.44</v>
      </c>
      <c r="W566" s="86">
        <f>IFERROR(SUBSTITUTE(Tabela1[[#This Row],[Pedágio]],".",",",1)*1,0)</f>
        <v>0</v>
      </c>
      <c r="X566" s="86">
        <f>IFERROR(SUBSTITUTE(Tabela1[[#This Row],[Estacionamento]],".",",",1)*1,0)</f>
        <v>0</v>
      </c>
      <c r="Y566" s="86">
        <f>IFERROR(SUBSTITUTE(Tabela1[[#This Row],[Despesas Diversas 
(Jantar em viagem, Impressões, Etc)]],".",",",1)*1,0)</f>
        <v>0</v>
      </c>
      <c r="Z566" s="86">
        <f>IFERROR(SUBSTITUTE(Tabela1[[#This Row],[Hospedagem]],".",",",1)*1,0)</f>
        <v>0</v>
      </c>
      <c r="AA566" s="56" t="str">
        <f>IF(DAY(Tabela1[[#This Row],[Informe a data]])&lt;=15,"1ª Quinzena","2ª Quinzena")</f>
        <v>2ª Quinzena</v>
      </c>
      <c r="AB566" s="56" t="str">
        <f>UPPER(TEXT(Tabela1[[#This Row],[Informe a data]],"mmmm"))</f>
        <v>AGOSTO</v>
      </c>
      <c r="AC566" s="87" t="e">
        <f ca="1">_xlfn.CONCAT(Tabela1[[#This Row],[Selecione o Usuário]]," - ",TEXT(Tabela1[[#This Row],[Informe a data]],"dd-mm-aa"))</f>
        <v>#NAME?</v>
      </c>
    </row>
    <row r="567" spans="1:29">
      <c r="A567" s="49">
        <v>46254.810173611113</v>
      </c>
      <c r="B567" s="50" t="s">
        <v>131</v>
      </c>
      <c r="C567" s="50" t="s">
        <v>132</v>
      </c>
      <c r="D567" s="50" t="s">
        <v>133</v>
      </c>
      <c r="E567" s="51">
        <v>46254</v>
      </c>
      <c r="F567" s="52">
        <v>197630</v>
      </c>
      <c r="G567" s="58" t="s">
        <v>1902</v>
      </c>
      <c r="H567" s="52">
        <v>197795</v>
      </c>
      <c r="I567" s="58" t="s">
        <v>1903</v>
      </c>
      <c r="J567" s="50" t="s">
        <v>1904</v>
      </c>
      <c r="K567" s="53"/>
      <c r="L567" s="50" t="s">
        <v>61</v>
      </c>
      <c r="M567" s="50" t="s">
        <v>128</v>
      </c>
      <c r="N567" s="58" t="s">
        <v>1905</v>
      </c>
      <c r="O567" s="53"/>
      <c r="P567" s="53"/>
      <c r="Q567" s="53"/>
      <c r="R567" s="53"/>
      <c r="S567" s="53"/>
      <c r="T567" s="53"/>
      <c r="U567" s="85">
        <f>(Tabela1[[#This Row],[Informe o KM final do dia]]-Tabela1[[#This Row],[Informe o KM inicial do dia]])-Tabela1[[#This Row],[Caso tenha rodado particular alguma parte do trajeto, informe o total de KM a ser deduzido.]]</f>
        <v>165</v>
      </c>
      <c r="V567" s="86">
        <f>IF(Tabela1[[#This Row],[Informe a data]]&lt;DATE(2026,3,16), Tabela1[[#This Row],[KM Rodado]]*1.1, Tabela1[[#This Row],[KM Rodado]]*1.23)</f>
        <v>202.95</v>
      </c>
      <c r="W567" s="86">
        <f>IFERROR(SUBSTITUTE(Tabela1[[#This Row],[Pedágio]],".",",",1)*1,0)</f>
        <v>11.4</v>
      </c>
      <c r="X567" s="86">
        <f>IFERROR(SUBSTITUTE(Tabela1[[#This Row],[Estacionamento]],".",",",1)*1,0)</f>
        <v>0</v>
      </c>
      <c r="Y567" s="86">
        <f>IFERROR(SUBSTITUTE(Tabela1[[#This Row],[Despesas Diversas 
(Jantar em viagem, Impressões, Etc)]],".",",",1)*1,0)</f>
        <v>0</v>
      </c>
      <c r="Z567" s="86">
        <f>IFERROR(SUBSTITUTE(Tabela1[[#This Row],[Hospedagem]],".",",",1)*1,0)</f>
        <v>0</v>
      </c>
      <c r="AA567" s="56" t="str">
        <f>IF(DAY(Tabela1[[#This Row],[Informe a data]])&lt;=15,"1ª Quinzena","2ª Quinzena")</f>
        <v>2ª Quinzena</v>
      </c>
      <c r="AB567" s="56" t="str">
        <f>UPPER(TEXT(Tabela1[[#This Row],[Informe a data]],"mmmm"))</f>
        <v>AGOSTO</v>
      </c>
      <c r="AC567" s="87" t="e">
        <f ca="1">_xlfn.CONCAT(Tabela1[[#This Row],[Selecione o Usuário]]," - ",TEXT(Tabela1[[#This Row],[Informe a data]],"dd-mm-aa"))</f>
        <v>#NAME?</v>
      </c>
    </row>
    <row r="568" spans="1:29">
      <c r="A568" s="89">
        <v>46265.834282407406</v>
      </c>
      <c r="B568" s="90" t="s">
        <v>176</v>
      </c>
      <c r="C568" s="90" t="s">
        <v>136</v>
      </c>
      <c r="D568" s="90" t="s">
        <v>177</v>
      </c>
      <c r="E568" s="91">
        <v>46254</v>
      </c>
      <c r="F568" s="92">
        <v>179500</v>
      </c>
      <c r="G568" s="93" t="s">
        <v>1953</v>
      </c>
      <c r="H568" s="92">
        <v>179810</v>
      </c>
      <c r="I568" s="93" t="s">
        <v>1954</v>
      </c>
      <c r="J568" s="90" t="s">
        <v>1955</v>
      </c>
      <c r="K568" s="94"/>
      <c r="L568" s="90" t="s">
        <v>60</v>
      </c>
      <c r="M568" s="94"/>
      <c r="N568" s="94"/>
      <c r="O568" s="94"/>
      <c r="P568" s="94"/>
      <c r="Q568" s="94"/>
      <c r="R568" s="94"/>
      <c r="S568" s="94"/>
      <c r="T568" s="94"/>
      <c r="U568" s="85">
        <f>(Tabela1[[#This Row],[Informe o KM final do dia]]-Tabela1[[#This Row],[Informe o KM inicial do dia]])-Tabela1[[#This Row],[Caso tenha rodado particular alguma parte do trajeto, informe o total de KM a ser deduzido.]]</f>
        <v>310</v>
      </c>
      <c r="V568" s="86">
        <f>IF(Tabela1[[#This Row],[Informe a data]]&lt;DATE(2026,3,16), Tabela1[[#This Row],[KM Rodado]]*1.1, Tabela1[[#This Row],[KM Rodado]]*1.23)</f>
        <v>381.3</v>
      </c>
      <c r="W568" s="86">
        <f>IFERROR(SUBSTITUTE(Tabela1[[#This Row],[Pedágio]],".",",",1)*1,0)</f>
        <v>0</v>
      </c>
      <c r="X568" s="86">
        <f>IFERROR(SUBSTITUTE(Tabela1[[#This Row],[Estacionamento]],".",",",1)*1,0)</f>
        <v>0</v>
      </c>
      <c r="Y568" s="86">
        <f>IFERROR(SUBSTITUTE(Tabela1[[#This Row],[Despesas Diversas 
(Jantar em viagem, Impressões, Etc)]],".",",",1)*1,0)</f>
        <v>0</v>
      </c>
      <c r="Z568" s="86">
        <f>IFERROR(SUBSTITUTE(Tabela1[[#This Row],[Hospedagem]],".",",",1)*1,0)</f>
        <v>0</v>
      </c>
      <c r="AA568" s="56" t="str">
        <f>IF(DAY(Tabela1[[#This Row],[Informe a data]])&lt;=15,"1ª Quinzena","2ª Quinzena")</f>
        <v>2ª Quinzena</v>
      </c>
      <c r="AB568" s="56" t="str">
        <f>UPPER(TEXT(Tabela1[[#This Row],[Informe a data]],"mmmm"))</f>
        <v>AGOSTO</v>
      </c>
      <c r="AC568" s="87" t="e">
        <f ca="1">_xlfn.CONCAT(Tabela1[[#This Row],[Selecione o Usuário]]," - ",TEXT(Tabela1[[#This Row],[Informe a data]],"dd-mm-aa"))</f>
        <v>#NAME?</v>
      </c>
    </row>
    <row r="569" spans="1:29">
      <c r="A569" s="89">
        <v>46265.915069444447</v>
      </c>
      <c r="B569" s="90" t="s">
        <v>1634</v>
      </c>
      <c r="C569" s="90" t="s">
        <v>44</v>
      </c>
      <c r="D569" s="90" t="s">
        <v>1636</v>
      </c>
      <c r="E569" s="91">
        <v>46254</v>
      </c>
      <c r="F569" s="92">
        <v>136588</v>
      </c>
      <c r="G569" s="93" t="s">
        <v>1968</v>
      </c>
      <c r="H569" s="92">
        <v>136677</v>
      </c>
      <c r="I569" s="93" t="s">
        <v>1969</v>
      </c>
      <c r="J569" s="90" t="s">
        <v>1970</v>
      </c>
      <c r="K569" s="94"/>
      <c r="L569" s="90" t="s">
        <v>60</v>
      </c>
      <c r="M569" s="94"/>
      <c r="N569" s="94"/>
      <c r="O569" s="94"/>
      <c r="P569" s="94"/>
      <c r="Q569" s="94"/>
      <c r="R569" s="94"/>
      <c r="S569" s="94"/>
      <c r="T569" s="94"/>
      <c r="U569" s="85">
        <f>(Tabela1[[#This Row],[Informe o KM final do dia]]-Tabela1[[#This Row],[Informe o KM inicial do dia]])-Tabela1[[#This Row],[Caso tenha rodado particular alguma parte do trajeto, informe o total de KM a ser deduzido.]]</f>
        <v>89</v>
      </c>
      <c r="V569" s="86">
        <f>IF(Tabela1[[#This Row],[Informe a data]]&lt;DATE(2026,3,16), Tabela1[[#This Row],[KM Rodado]]*1.1, Tabela1[[#This Row],[KM Rodado]]*1.23)</f>
        <v>109.47</v>
      </c>
      <c r="W569" s="86">
        <f>IFERROR(SUBSTITUTE(Tabela1[[#This Row],[Pedágio]],".",",",1)*1,0)</f>
        <v>0</v>
      </c>
      <c r="X569" s="86">
        <f>IFERROR(SUBSTITUTE(Tabela1[[#This Row],[Estacionamento]],".",",",1)*1,0)</f>
        <v>0</v>
      </c>
      <c r="Y569" s="86">
        <f>IFERROR(SUBSTITUTE(Tabela1[[#This Row],[Despesas Diversas 
(Jantar em viagem, Impressões, Etc)]],".",",",1)*1,0)</f>
        <v>0</v>
      </c>
      <c r="Z569" s="86">
        <f>IFERROR(SUBSTITUTE(Tabela1[[#This Row],[Hospedagem]],".",",",1)*1,0)</f>
        <v>0</v>
      </c>
      <c r="AA569" s="56" t="str">
        <f>IF(DAY(Tabela1[[#This Row],[Informe a data]])&lt;=15,"1ª Quinzena","2ª Quinzena")</f>
        <v>2ª Quinzena</v>
      </c>
      <c r="AB569" s="56" t="str">
        <f>UPPER(TEXT(Tabela1[[#This Row],[Informe a data]],"mmmm"))</f>
        <v>AGOSTO</v>
      </c>
      <c r="AC569" s="87" t="e">
        <f ca="1">_xlfn.CONCAT(Tabela1[[#This Row],[Selecione o Usuário]]," - ",TEXT(Tabela1[[#This Row],[Informe a data]],"dd-mm-aa"))</f>
        <v>#NAME?</v>
      </c>
    </row>
    <row r="570" spans="1:29">
      <c r="A570" s="89">
        <v>46255.747581018521</v>
      </c>
      <c r="B570" s="90" t="s">
        <v>1605</v>
      </c>
      <c r="C570" s="90" t="s">
        <v>1696</v>
      </c>
      <c r="D570" s="90" t="s">
        <v>1606</v>
      </c>
      <c r="E570" s="91">
        <v>46255</v>
      </c>
      <c r="F570" s="92">
        <v>1211346</v>
      </c>
      <c r="G570" s="93" t="s">
        <v>1906</v>
      </c>
      <c r="H570" s="92">
        <v>1211514</v>
      </c>
      <c r="I570" s="93" t="s">
        <v>1907</v>
      </c>
      <c r="J570" s="90" t="s">
        <v>1908</v>
      </c>
      <c r="K570" s="94"/>
      <c r="L570" s="90" t="s">
        <v>60</v>
      </c>
      <c r="M570" s="94"/>
      <c r="N570" s="94"/>
      <c r="O570" s="94"/>
      <c r="P570" s="94"/>
      <c r="Q570" s="94"/>
      <c r="R570" s="94"/>
      <c r="S570" s="94"/>
      <c r="T570" s="94"/>
      <c r="U570" s="85">
        <f>(Tabela1[[#This Row],[Informe o KM final do dia]]-Tabela1[[#This Row],[Informe o KM inicial do dia]])-Tabela1[[#This Row],[Caso tenha rodado particular alguma parte do trajeto, informe o total de KM a ser deduzido.]]</f>
        <v>168</v>
      </c>
      <c r="V570" s="86">
        <f>IF(Tabela1[[#This Row],[Informe a data]]&lt;DATE(2026,3,16), Tabela1[[#This Row],[KM Rodado]]*1.1, Tabela1[[#This Row],[KM Rodado]]*1.23)</f>
        <v>206.64</v>
      </c>
      <c r="W570" s="86">
        <f>IFERROR(SUBSTITUTE(Tabela1[[#This Row],[Pedágio]],".",",",1)*1,0)</f>
        <v>0</v>
      </c>
      <c r="X570" s="86">
        <f>IFERROR(SUBSTITUTE(Tabela1[[#This Row],[Estacionamento]],".",",",1)*1,0)</f>
        <v>0</v>
      </c>
      <c r="Y570" s="86">
        <f>IFERROR(SUBSTITUTE(Tabela1[[#This Row],[Despesas Diversas 
(Jantar em viagem, Impressões, Etc)]],".",",",1)*1,0)</f>
        <v>0</v>
      </c>
      <c r="Z570" s="86">
        <f>IFERROR(SUBSTITUTE(Tabela1[[#This Row],[Hospedagem]],".",",",1)*1,0)</f>
        <v>0</v>
      </c>
      <c r="AA570" s="56" t="str">
        <f>IF(DAY(Tabela1[[#This Row],[Informe a data]])&lt;=15,"1ª Quinzena","2ª Quinzena")</f>
        <v>2ª Quinzena</v>
      </c>
      <c r="AB570" s="56" t="str">
        <f>UPPER(TEXT(Tabela1[[#This Row],[Informe a data]],"mmmm"))</f>
        <v>AGOSTO</v>
      </c>
      <c r="AC570" s="87" t="e">
        <f ca="1">_xlfn.CONCAT(Tabela1[[#This Row],[Selecione o Usuário]]," - ",TEXT(Tabela1[[#This Row],[Informe a data]],"dd-mm-aa"))</f>
        <v>#NAME?</v>
      </c>
    </row>
    <row r="571" spans="1:29">
      <c r="A571" s="49">
        <v>46255.81454861111</v>
      </c>
      <c r="B571" s="50" t="s">
        <v>1174</v>
      </c>
      <c r="C571" s="50" t="s">
        <v>134</v>
      </c>
      <c r="D571" s="50" t="s">
        <v>209</v>
      </c>
      <c r="E571" s="51">
        <v>46255</v>
      </c>
      <c r="F571" s="52">
        <v>177734</v>
      </c>
      <c r="G571" s="58" t="s">
        <v>1909</v>
      </c>
      <c r="H571" s="52">
        <v>178062</v>
      </c>
      <c r="I571" s="58" t="s">
        <v>1910</v>
      </c>
      <c r="J571" s="50" t="s">
        <v>1911</v>
      </c>
      <c r="K571" s="53"/>
      <c r="L571" s="50" t="s">
        <v>60</v>
      </c>
      <c r="M571" s="53"/>
      <c r="N571" s="53"/>
      <c r="O571" s="53"/>
      <c r="P571" s="53"/>
      <c r="Q571" s="53"/>
      <c r="R571" s="53"/>
      <c r="S571" s="53"/>
      <c r="T571" s="53"/>
      <c r="U571" s="85">
        <f>(Tabela1[[#This Row],[Informe o KM final do dia]]-Tabela1[[#This Row],[Informe o KM inicial do dia]])-Tabela1[[#This Row],[Caso tenha rodado particular alguma parte do trajeto, informe o total de KM a ser deduzido.]]</f>
        <v>328</v>
      </c>
      <c r="V571" s="86">
        <f>IF(Tabela1[[#This Row],[Informe a data]]&lt;DATE(2026,3,16), Tabela1[[#This Row],[KM Rodado]]*1.1, Tabela1[[#This Row],[KM Rodado]]*1.23)</f>
        <v>403.44</v>
      </c>
      <c r="W571" s="86">
        <f>IFERROR(SUBSTITUTE(Tabela1[[#This Row],[Pedágio]],".",",",1)*1,0)</f>
        <v>0</v>
      </c>
      <c r="X571" s="86">
        <f>IFERROR(SUBSTITUTE(Tabela1[[#This Row],[Estacionamento]],".",",",1)*1,0)</f>
        <v>0</v>
      </c>
      <c r="Y571" s="86">
        <f>IFERROR(SUBSTITUTE(Tabela1[[#This Row],[Despesas Diversas 
(Jantar em viagem, Impressões, Etc)]],".",",",1)*1,0)</f>
        <v>0</v>
      </c>
      <c r="Z571" s="86">
        <f>IFERROR(SUBSTITUTE(Tabela1[[#This Row],[Hospedagem]],".",",",1)*1,0)</f>
        <v>0</v>
      </c>
      <c r="AA571" s="56" t="str">
        <f>IF(DAY(Tabela1[[#This Row],[Informe a data]])&lt;=15,"1ª Quinzena","2ª Quinzena")</f>
        <v>2ª Quinzena</v>
      </c>
      <c r="AB571" s="56" t="str">
        <f>UPPER(TEXT(Tabela1[[#This Row],[Informe a data]],"mmmm"))</f>
        <v>AGOSTO</v>
      </c>
      <c r="AC571" s="87" t="e">
        <f ca="1">_xlfn.CONCAT(Tabela1[[#This Row],[Selecione o Usuário]]," - ",TEXT(Tabela1[[#This Row],[Informe a data]],"dd-mm-aa"))</f>
        <v>#NAME?</v>
      </c>
    </row>
    <row r="572" spans="1:29">
      <c r="A572" s="89">
        <v>46256.372037037036</v>
      </c>
      <c r="B572" s="90" t="s">
        <v>497</v>
      </c>
      <c r="C572" s="90" t="s">
        <v>498</v>
      </c>
      <c r="D572" s="90" t="s">
        <v>1800</v>
      </c>
      <c r="E572" s="91">
        <v>46255</v>
      </c>
      <c r="F572" s="92">
        <v>7183</v>
      </c>
      <c r="G572" s="93" t="s">
        <v>1912</v>
      </c>
      <c r="H572" s="92">
        <v>7193</v>
      </c>
      <c r="I572" s="93" t="s">
        <v>1913</v>
      </c>
      <c r="J572" s="90" t="s">
        <v>1914</v>
      </c>
      <c r="K572" s="94"/>
      <c r="L572" s="90" t="s">
        <v>60</v>
      </c>
      <c r="M572" s="94"/>
      <c r="N572" s="94"/>
      <c r="O572" s="94"/>
      <c r="P572" s="94"/>
      <c r="Q572" s="94"/>
      <c r="R572" s="94"/>
      <c r="S572" s="94"/>
      <c r="T572" s="94"/>
      <c r="U572" s="85">
        <f>(Tabela1[[#This Row],[Informe o KM final do dia]]-Tabela1[[#This Row],[Informe o KM inicial do dia]])-Tabela1[[#This Row],[Caso tenha rodado particular alguma parte do trajeto, informe o total de KM a ser deduzido.]]</f>
        <v>10</v>
      </c>
      <c r="V572" s="86">
        <f>IF(Tabela1[[#This Row],[Informe a data]]&lt;DATE(2026,3,16), Tabela1[[#This Row],[KM Rodado]]*1.1, Tabela1[[#This Row],[KM Rodado]]*1.23)</f>
        <v>12.3</v>
      </c>
      <c r="W572" s="86">
        <f>IFERROR(SUBSTITUTE(Tabela1[[#This Row],[Pedágio]],".",",",1)*1,0)</f>
        <v>0</v>
      </c>
      <c r="X572" s="86">
        <f>IFERROR(SUBSTITUTE(Tabela1[[#This Row],[Estacionamento]],".",",",1)*1,0)</f>
        <v>0</v>
      </c>
      <c r="Y572" s="86">
        <f>IFERROR(SUBSTITUTE(Tabela1[[#This Row],[Despesas Diversas 
(Jantar em viagem, Impressões, Etc)]],".",",",1)*1,0)</f>
        <v>0</v>
      </c>
      <c r="Z572" s="86">
        <f>IFERROR(SUBSTITUTE(Tabela1[[#This Row],[Hospedagem]],".",",",1)*1,0)</f>
        <v>0</v>
      </c>
      <c r="AA572" s="56" t="str">
        <f>IF(DAY(Tabela1[[#This Row],[Informe a data]])&lt;=15,"1ª Quinzena","2ª Quinzena")</f>
        <v>2ª Quinzena</v>
      </c>
      <c r="AB572" s="56" t="str">
        <f>UPPER(TEXT(Tabela1[[#This Row],[Informe a data]],"mmmm"))</f>
        <v>AGOSTO</v>
      </c>
      <c r="AC572" s="87" t="e">
        <f ca="1">_xlfn.CONCAT(Tabela1[[#This Row],[Selecione o Usuário]]," - ",TEXT(Tabela1[[#This Row],[Informe a data]],"dd-mm-aa"))</f>
        <v>#NAME?</v>
      </c>
    </row>
    <row r="573" spans="1:29">
      <c r="A573" s="89">
        <v>46258.374814814815</v>
      </c>
      <c r="B573" s="90" t="s">
        <v>131</v>
      </c>
      <c r="C573" s="90" t="s">
        <v>132</v>
      </c>
      <c r="D573" s="90" t="s">
        <v>133</v>
      </c>
      <c r="E573" s="91">
        <v>46255</v>
      </c>
      <c r="F573" s="92">
        <v>197795</v>
      </c>
      <c r="G573" s="93" t="s">
        <v>1918</v>
      </c>
      <c r="H573" s="92">
        <v>197867</v>
      </c>
      <c r="I573" s="93" t="s">
        <v>1919</v>
      </c>
      <c r="J573" s="90" t="s">
        <v>1920</v>
      </c>
      <c r="K573" s="94"/>
      <c r="L573" s="90" t="s">
        <v>61</v>
      </c>
      <c r="M573" s="94"/>
      <c r="N573" s="94"/>
      <c r="O573" s="94"/>
      <c r="P573" s="94"/>
      <c r="Q573" s="90" t="s">
        <v>1824</v>
      </c>
      <c r="R573" s="93" t="s">
        <v>1921</v>
      </c>
      <c r="S573" s="94"/>
      <c r="T573" s="94"/>
      <c r="U573" s="85">
        <f>(Tabela1[[#This Row],[Informe o KM final do dia]]-Tabela1[[#This Row],[Informe o KM inicial do dia]])-Tabela1[[#This Row],[Caso tenha rodado particular alguma parte do trajeto, informe o total de KM a ser deduzido.]]</f>
        <v>72</v>
      </c>
      <c r="V573" s="86">
        <f>IF(Tabela1[[#This Row],[Informe a data]]&lt;DATE(2026,3,16), Tabela1[[#This Row],[KM Rodado]]*1.1, Tabela1[[#This Row],[KM Rodado]]*1.23)</f>
        <v>88.56</v>
      </c>
      <c r="W573" s="86">
        <f>IFERROR(SUBSTITUTE(Tabela1[[#This Row],[Pedágio]],".",",",1)*1,0)</f>
        <v>0</v>
      </c>
      <c r="X573" s="86">
        <f>IFERROR(SUBSTITUTE(Tabela1[[#This Row],[Estacionamento]],".",",",1)*1,0)</f>
        <v>0</v>
      </c>
      <c r="Y573" s="86">
        <f>IFERROR(SUBSTITUTE(Tabela1[[#This Row],[Despesas Diversas 
(Jantar em viagem, Impressões, Etc)]],".",",",1)*1,0)</f>
        <v>46.8</v>
      </c>
      <c r="Z573" s="86">
        <f>IFERROR(SUBSTITUTE(Tabela1[[#This Row],[Hospedagem]],".",",",1)*1,0)</f>
        <v>0</v>
      </c>
      <c r="AA573" s="56" t="str">
        <f>IF(DAY(Tabela1[[#This Row],[Informe a data]])&lt;=15,"1ª Quinzena","2ª Quinzena")</f>
        <v>2ª Quinzena</v>
      </c>
      <c r="AB573" s="56" t="str">
        <f>UPPER(TEXT(Tabela1[[#This Row],[Informe a data]],"mmmm"))</f>
        <v>AGOSTO</v>
      </c>
      <c r="AC573" s="87" t="e">
        <f ca="1">_xlfn.CONCAT(Tabela1[[#This Row],[Selecione o Usuário]]," - ",TEXT(Tabela1[[#This Row],[Informe a data]],"dd-mm-aa"))</f>
        <v>#NAME?</v>
      </c>
    </row>
    <row r="574" spans="1:29">
      <c r="A574" s="89">
        <v>46265.511550925927</v>
      </c>
      <c r="B574" s="90" t="s">
        <v>1260</v>
      </c>
      <c r="C574" s="90" t="s">
        <v>505</v>
      </c>
      <c r="D574" s="90" t="s">
        <v>506</v>
      </c>
      <c r="E574" s="91">
        <v>46255</v>
      </c>
      <c r="F574" s="92">
        <v>109745</v>
      </c>
      <c r="G574" s="93" t="s">
        <v>1943</v>
      </c>
      <c r="H574" s="92">
        <v>109896</v>
      </c>
      <c r="I574" s="93" t="s">
        <v>1944</v>
      </c>
      <c r="J574" s="90" t="s">
        <v>1945</v>
      </c>
      <c r="K574" s="94"/>
      <c r="L574" s="90" t="s">
        <v>61</v>
      </c>
      <c r="M574" s="90" t="s">
        <v>128</v>
      </c>
      <c r="N574" s="90" t="s">
        <v>1946</v>
      </c>
      <c r="O574" s="94"/>
      <c r="P574" s="94"/>
      <c r="Q574" s="94"/>
      <c r="R574" s="94"/>
      <c r="S574" s="94"/>
      <c r="T574" s="94"/>
      <c r="U574" s="85">
        <f>(Tabela1[[#This Row],[Informe o KM final do dia]]-Tabela1[[#This Row],[Informe o KM inicial do dia]])-Tabela1[[#This Row],[Caso tenha rodado particular alguma parte do trajeto, informe o total de KM a ser deduzido.]]</f>
        <v>151</v>
      </c>
      <c r="V574" s="86">
        <f>IF(Tabela1[[#This Row],[Informe a data]]&lt;DATE(2026,3,16), Tabela1[[#This Row],[KM Rodado]]*1.1, Tabela1[[#This Row],[KM Rodado]]*1.23)</f>
        <v>185.73</v>
      </c>
      <c r="W574" s="86">
        <f>IFERROR(SUBSTITUTE(Tabela1[[#This Row],[Pedágio]],".",",",1)*1,0)</f>
        <v>11.4</v>
      </c>
      <c r="X574" s="86">
        <f>IFERROR(SUBSTITUTE(Tabela1[[#This Row],[Estacionamento]],".",",",1)*1,0)</f>
        <v>0</v>
      </c>
      <c r="Y574" s="86">
        <f>IFERROR(SUBSTITUTE(Tabela1[[#This Row],[Despesas Diversas 
(Jantar em viagem, Impressões, Etc)]],".",",",1)*1,0)</f>
        <v>0</v>
      </c>
      <c r="Z574" s="86">
        <f>IFERROR(SUBSTITUTE(Tabela1[[#This Row],[Hospedagem]],".",",",1)*1,0)</f>
        <v>0</v>
      </c>
      <c r="AA574" s="56" t="str">
        <f>IF(DAY(Tabela1[[#This Row],[Informe a data]])&lt;=15,"1ª Quinzena","2ª Quinzena")</f>
        <v>2ª Quinzena</v>
      </c>
      <c r="AB574" s="56" t="str">
        <f>UPPER(TEXT(Tabela1[[#This Row],[Informe a data]],"mmmm"))</f>
        <v>AGOSTO</v>
      </c>
      <c r="AC574" s="87" t="e">
        <f ca="1">_xlfn.CONCAT(Tabela1[[#This Row],[Selecione o Usuário]]," - ",TEXT(Tabela1[[#This Row],[Informe a data]],"dd-mm-aa"))</f>
        <v>#NAME?</v>
      </c>
    </row>
    <row r="575" spans="1:29">
      <c r="A575" s="49">
        <v>46265.835949074077</v>
      </c>
      <c r="B575" s="50" t="s">
        <v>176</v>
      </c>
      <c r="C575" s="50" t="s">
        <v>136</v>
      </c>
      <c r="D575" s="50" t="s">
        <v>177</v>
      </c>
      <c r="E575" s="51">
        <v>46255</v>
      </c>
      <c r="F575" s="52">
        <v>179810</v>
      </c>
      <c r="G575" s="58" t="s">
        <v>1956</v>
      </c>
      <c r="H575" s="52">
        <v>179899</v>
      </c>
      <c r="I575" s="58" t="s">
        <v>1957</v>
      </c>
      <c r="J575" s="50" t="s">
        <v>1958</v>
      </c>
      <c r="K575" s="53"/>
      <c r="L575" s="50" t="s">
        <v>60</v>
      </c>
      <c r="M575" s="53"/>
      <c r="N575" s="53"/>
      <c r="O575" s="53"/>
      <c r="P575" s="53"/>
      <c r="Q575" s="53"/>
      <c r="R575" s="53"/>
      <c r="S575" s="53"/>
      <c r="T575" s="53"/>
      <c r="U575" s="85">
        <f>(Tabela1[[#This Row],[Informe o KM final do dia]]-Tabela1[[#This Row],[Informe o KM inicial do dia]])-Tabela1[[#This Row],[Caso tenha rodado particular alguma parte do trajeto, informe o total de KM a ser deduzido.]]</f>
        <v>89</v>
      </c>
      <c r="V575" s="86">
        <f>IF(Tabela1[[#This Row],[Informe a data]]&lt;DATE(2026,3,16), Tabela1[[#This Row],[KM Rodado]]*1.1, Tabela1[[#This Row],[KM Rodado]]*1.23)</f>
        <v>109.47</v>
      </c>
      <c r="W575" s="86">
        <f>IFERROR(SUBSTITUTE(Tabela1[[#This Row],[Pedágio]],".",",",1)*1,0)</f>
        <v>0</v>
      </c>
      <c r="X575" s="86">
        <f>IFERROR(SUBSTITUTE(Tabela1[[#This Row],[Estacionamento]],".",",",1)*1,0)</f>
        <v>0</v>
      </c>
      <c r="Y575" s="86">
        <f>IFERROR(SUBSTITUTE(Tabela1[[#This Row],[Despesas Diversas 
(Jantar em viagem, Impressões, Etc)]],".",",",1)*1,0)</f>
        <v>0</v>
      </c>
      <c r="Z575" s="86">
        <f>IFERROR(SUBSTITUTE(Tabela1[[#This Row],[Hospedagem]],".",",",1)*1,0)</f>
        <v>0</v>
      </c>
      <c r="AA575" s="56" t="str">
        <f>IF(DAY(Tabela1[[#This Row],[Informe a data]])&lt;=15,"1ª Quinzena","2ª Quinzena")</f>
        <v>2ª Quinzena</v>
      </c>
      <c r="AB575" s="56" t="str">
        <f>UPPER(TEXT(Tabela1[[#This Row],[Informe a data]],"mmmm"))</f>
        <v>AGOSTO</v>
      </c>
      <c r="AC575" s="87" t="e">
        <f ca="1">_xlfn.CONCAT(Tabela1[[#This Row],[Selecione o Usuário]]," - ",TEXT(Tabela1[[#This Row],[Informe a data]],"dd-mm-aa"))</f>
        <v>#NAME?</v>
      </c>
    </row>
    <row r="576" spans="1:29">
      <c r="A576" s="49">
        <v>46256.703842592593</v>
      </c>
      <c r="B576" s="50" t="s">
        <v>1174</v>
      </c>
      <c r="C576" s="50" t="s">
        <v>134</v>
      </c>
      <c r="D576" s="50" t="s">
        <v>209</v>
      </c>
      <c r="E576" s="51">
        <v>46256</v>
      </c>
      <c r="F576" s="52">
        <v>178062</v>
      </c>
      <c r="G576" s="58" t="s">
        <v>1915</v>
      </c>
      <c r="H576" s="52">
        <v>178348</v>
      </c>
      <c r="I576" s="58" t="s">
        <v>1916</v>
      </c>
      <c r="J576" s="50" t="s">
        <v>1917</v>
      </c>
      <c r="K576" s="53"/>
      <c r="L576" s="50" t="s">
        <v>60</v>
      </c>
      <c r="M576" s="53"/>
      <c r="N576" s="53"/>
      <c r="O576" s="53"/>
      <c r="P576" s="53"/>
      <c r="Q576" s="53"/>
      <c r="R576" s="53"/>
      <c r="S576" s="53"/>
      <c r="T576" s="53"/>
      <c r="U576" s="85">
        <f>(Tabela1[[#This Row],[Informe o KM final do dia]]-Tabela1[[#This Row],[Informe o KM inicial do dia]])-Tabela1[[#This Row],[Caso tenha rodado particular alguma parte do trajeto, informe o total de KM a ser deduzido.]]</f>
        <v>286</v>
      </c>
      <c r="V576" s="86">
        <f>IF(Tabela1[[#This Row],[Informe a data]]&lt;DATE(2026,3,16), Tabela1[[#This Row],[KM Rodado]]*1.1, Tabela1[[#This Row],[KM Rodado]]*1.23)</f>
        <v>351.78</v>
      </c>
      <c r="W576" s="86">
        <f>IFERROR(SUBSTITUTE(Tabela1[[#This Row],[Pedágio]],".",",",1)*1,0)</f>
        <v>0</v>
      </c>
      <c r="X576" s="86">
        <f>IFERROR(SUBSTITUTE(Tabela1[[#This Row],[Estacionamento]],".",",",1)*1,0)</f>
        <v>0</v>
      </c>
      <c r="Y576" s="86">
        <f>IFERROR(SUBSTITUTE(Tabela1[[#This Row],[Despesas Diversas 
(Jantar em viagem, Impressões, Etc)]],".",",",1)*1,0)</f>
        <v>0</v>
      </c>
      <c r="Z576" s="86">
        <f>IFERROR(SUBSTITUTE(Tabela1[[#This Row],[Hospedagem]],".",",",1)*1,0)</f>
        <v>0</v>
      </c>
      <c r="AA576" s="56" t="str">
        <f>IF(DAY(Tabela1[[#This Row],[Informe a data]])&lt;=15,"1ª Quinzena","2ª Quinzena")</f>
        <v>2ª Quinzena</v>
      </c>
      <c r="AB576" s="56" t="str">
        <f>UPPER(TEXT(Tabela1[[#This Row],[Informe a data]],"mmmm"))</f>
        <v>AGOSTO</v>
      </c>
      <c r="AC576" s="87" t="e">
        <f ca="1">_xlfn.CONCAT(Tabela1[[#This Row],[Selecione o Usuário]]," - ",TEXT(Tabela1[[#This Row],[Informe a data]],"dd-mm-aa"))</f>
        <v>#NAME?</v>
      </c>
    </row>
    <row r="577" spans="1:29">
      <c r="A577" s="49">
        <v>46260.346666666665</v>
      </c>
      <c r="B577" s="50" t="s">
        <v>131</v>
      </c>
      <c r="C577" s="50" t="s">
        <v>132</v>
      </c>
      <c r="D577" s="50" t="s">
        <v>133</v>
      </c>
      <c r="E577" s="51">
        <v>46259</v>
      </c>
      <c r="F577" s="52">
        <v>197874</v>
      </c>
      <c r="G577" s="58" t="s">
        <v>1922</v>
      </c>
      <c r="H577" s="52">
        <v>197921</v>
      </c>
      <c r="I577" s="58" t="s">
        <v>1923</v>
      </c>
      <c r="J577" s="50" t="s">
        <v>1924</v>
      </c>
      <c r="K577" s="53"/>
      <c r="L577" s="50" t="s">
        <v>60</v>
      </c>
      <c r="M577" s="53"/>
      <c r="N577" s="53"/>
      <c r="O577" s="53"/>
      <c r="P577" s="53"/>
      <c r="Q577" s="53"/>
      <c r="R577" s="53"/>
      <c r="S577" s="53"/>
      <c r="T577" s="53"/>
      <c r="U577" s="85">
        <f>(Tabela1[[#This Row],[Informe o KM final do dia]]-Tabela1[[#This Row],[Informe o KM inicial do dia]])-Tabela1[[#This Row],[Caso tenha rodado particular alguma parte do trajeto, informe o total de KM a ser deduzido.]]</f>
        <v>47</v>
      </c>
      <c r="V577" s="86">
        <f>IF(Tabela1[[#This Row],[Informe a data]]&lt;DATE(2026,3,16), Tabela1[[#This Row],[KM Rodado]]*1.1, Tabela1[[#This Row],[KM Rodado]]*1.23)</f>
        <v>57.81</v>
      </c>
      <c r="W577" s="86">
        <f>IFERROR(SUBSTITUTE(Tabela1[[#This Row],[Pedágio]],".",",",1)*1,0)</f>
        <v>0</v>
      </c>
      <c r="X577" s="86">
        <f>IFERROR(SUBSTITUTE(Tabela1[[#This Row],[Estacionamento]],".",",",1)*1,0)</f>
        <v>0</v>
      </c>
      <c r="Y577" s="86">
        <f>IFERROR(SUBSTITUTE(Tabela1[[#This Row],[Despesas Diversas 
(Jantar em viagem, Impressões, Etc)]],".",",",1)*1,0)</f>
        <v>0</v>
      </c>
      <c r="Z577" s="86">
        <f>IFERROR(SUBSTITUTE(Tabela1[[#This Row],[Hospedagem]],".",",",1)*1,0)</f>
        <v>0</v>
      </c>
      <c r="AA577" s="56" t="str">
        <f>IF(DAY(Tabela1[[#This Row],[Informe a data]])&lt;=15,"1ª Quinzena","2ª Quinzena")</f>
        <v>2ª Quinzena</v>
      </c>
      <c r="AB577" s="56" t="str">
        <f>UPPER(TEXT(Tabela1[[#This Row],[Informe a data]],"mmmm"))</f>
        <v>AGOSTO</v>
      </c>
      <c r="AC577" s="87" t="e">
        <f ca="1">_xlfn.CONCAT(Tabela1[[#This Row],[Selecione o Usuário]]," - ",TEXT(Tabela1[[#This Row],[Informe a data]],"dd-mm-aa"))</f>
        <v>#NAME?</v>
      </c>
    </row>
    <row r="578" spans="1:29">
      <c r="A578" s="89">
        <v>46260.535011574073</v>
      </c>
      <c r="B578" s="90" t="s">
        <v>1605</v>
      </c>
      <c r="C578" s="90" t="s">
        <v>1696</v>
      </c>
      <c r="D578" s="90" t="s">
        <v>1606</v>
      </c>
      <c r="E578" s="91">
        <v>46259</v>
      </c>
      <c r="F578" s="92">
        <v>121590</v>
      </c>
      <c r="G578" s="93" t="s">
        <v>1925</v>
      </c>
      <c r="H578" s="92">
        <v>121635</v>
      </c>
      <c r="I578" s="93" t="s">
        <v>1926</v>
      </c>
      <c r="J578" s="90" t="s">
        <v>1927</v>
      </c>
      <c r="K578" s="94"/>
      <c r="L578" s="90" t="s">
        <v>60</v>
      </c>
      <c r="M578" s="94"/>
      <c r="N578" s="94"/>
      <c r="O578" s="94"/>
      <c r="P578" s="94"/>
      <c r="Q578" s="94"/>
      <c r="R578" s="94"/>
      <c r="S578" s="94"/>
      <c r="T578" s="94"/>
      <c r="U578" s="85">
        <f>(Tabela1[[#This Row],[Informe o KM final do dia]]-Tabela1[[#This Row],[Informe o KM inicial do dia]])-Tabela1[[#This Row],[Caso tenha rodado particular alguma parte do trajeto, informe o total de KM a ser deduzido.]]</f>
        <v>45</v>
      </c>
      <c r="V578" s="86">
        <f>IF(Tabela1[[#This Row],[Informe a data]]&lt;DATE(2026,3,16), Tabela1[[#This Row],[KM Rodado]]*1.1, Tabela1[[#This Row],[KM Rodado]]*1.23)</f>
        <v>55.35</v>
      </c>
      <c r="W578" s="86">
        <f>IFERROR(SUBSTITUTE(Tabela1[[#This Row],[Pedágio]],".",",",1)*1,0)</f>
        <v>0</v>
      </c>
      <c r="X578" s="86">
        <f>IFERROR(SUBSTITUTE(Tabela1[[#This Row],[Estacionamento]],".",",",1)*1,0)</f>
        <v>0</v>
      </c>
      <c r="Y578" s="86">
        <f>IFERROR(SUBSTITUTE(Tabela1[[#This Row],[Despesas Diversas 
(Jantar em viagem, Impressões, Etc)]],".",",",1)*1,0)</f>
        <v>0</v>
      </c>
      <c r="Z578" s="86">
        <f>IFERROR(SUBSTITUTE(Tabela1[[#This Row],[Hospedagem]],".",",",1)*1,0)</f>
        <v>0</v>
      </c>
      <c r="AA578" s="56" t="str">
        <f>IF(DAY(Tabela1[[#This Row],[Informe a data]])&lt;=15,"1ª Quinzena","2ª Quinzena")</f>
        <v>2ª Quinzena</v>
      </c>
      <c r="AB578" s="56" t="str">
        <f>UPPER(TEXT(Tabela1[[#This Row],[Informe a data]],"mmmm"))</f>
        <v>AGOSTO</v>
      </c>
      <c r="AC578" s="87" t="e">
        <f ca="1">_xlfn.CONCAT(Tabela1[[#This Row],[Selecione o Usuário]]," - ",TEXT(Tabela1[[#This Row],[Informe a data]],"dd-mm-aa"))</f>
        <v>#NAME?</v>
      </c>
    </row>
    <row r="579" spans="1:29">
      <c r="A579" s="49">
        <v>46265.51321759259</v>
      </c>
      <c r="B579" s="50" t="s">
        <v>1260</v>
      </c>
      <c r="C579" s="50" t="s">
        <v>505</v>
      </c>
      <c r="D579" s="50" t="s">
        <v>506</v>
      </c>
      <c r="E579" s="51">
        <v>46259</v>
      </c>
      <c r="F579" s="52">
        <v>109956</v>
      </c>
      <c r="G579" s="58" t="s">
        <v>1947</v>
      </c>
      <c r="H579" s="52">
        <v>110024</v>
      </c>
      <c r="I579" s="58" t="s">
        <v>1948</v>
      </c>
      <c r="J579" s="50" t="s">
        <v>1949</v>
      </c>
      <c r="K579" s="53"/>
      <c r="L579" s="50" t="s">
        <v>60</v>
      </c>
      <c r="M579" s="53"/>
      <c r="N579" s="53"/>
      <c r="O579" s="53"/>
      <c r="P579" s="53"/>
      <c r="Q579" s="53"/>
      <c r="R579" s="53"/>
      <c r="S579" s="53"/>
      <c r="T579" s="53"/>
      <c r="U579" s="85">
        <f>(Tabela1[[#This Row],[Informe o KM final do dia]]-Tabela1[[#This Row],[Informe o KM inicial do dia]])-Tabela1[[#This Row],[Caso tenha rodado particular alguma parte do trajeto, informe o total de KM a ser deduzido.]]</f>
        <v>68</v>
      </c>
      <c r="V579" s="86">
        <f>IF(Tabela1[[#This Row],[Informe a data]]&lt;DATE(2026,3,16), Tabela1[[#This Row],[KM Rodado]]*1.1, Tabela1[[#This Row],[KM Rodado]]*1.23)</f>
        <v>83.64</v>
      </c>
      <c r="W579" s="86">
        <f>IFERROR(SUBSTITUTE(Tabela1[[#This Row],[Pedágio]],".",",",1)*1,0)</f>
        <v>0</v>
      </c>
      <c r="X579" s="86">
        <f>IFERROR(SUBSTITUTE(Tabela1[[#This Row],[Estacionamento]],".",",",1)*1,0)</f>
        <v>0</v>
      </c>
      <c r="Y579" s="86">
        <f>IFERROR(SUBSTITUTE(Tabela1[[#This Row],[Despesas Diversas 
(Jantar em viagem, Impressões, Etc)]],".",",",1)*1,0)</f>
        <v>0</v>
      </c>
      <c r="Z579" s="86">
        <f>IFERROR(SUBSTITUTE(Tabela1[[#This Row],[Hospedagem]],".",",",1)*1,0)</f>
        <v>0</v>
      </c>
      <c r="AA579" s="56" t="str">
        <f>IF(DAY(Tabela1[[#This Row],[Informe a data]])&lt;=15,"1ª Quinzena","2ª Quinzena")</f>
        <v>2ª Quinzena</v>
      </c>
      <c r="AB579" s="56" t="str">
        <f>UPPER(TEXT(Tabela1[[#This Row],[Informe a data]],"mmmm"))</f>
        <v>AGOSTO</v>
      </c>
      <c r="AC579" s="87" t="e">
        <f ca="1">_xlfn.CONCAT(Tabela1[[#This Row],[Selecione o Usuário]]," - ",TEXT(Tabela1[[#This Row],[Informe a data]],"dd-mm-aa"))</f>
        <v>#NAME?</v>
      </c>
    </row>
    <row r="580" spans="1:29">
      <c r="A580" s="49">
        <v>46262.353344907409</v>
      </c>
      <c r="B580" s="50" t="s">
        <v>131</v>
      </c>
      <c r="C580" s="50" t="s">
        <v>132</v>
      </c>
      <c r="D580" s="50" t="s">
        <v>133</v>
      </c>
      <c r="E580" s="51">
        <v>46261</v>
      </c>
      <c r="F580" s="52">
        <v>197921</v>
      </c>
      <c r="G580" s="58" t="s">
        <v>1928</v>
      </c>
      <c r="H580" s="52">
        <v>198030</v>
      </c>
      <c r="I580" s="58" t="s">
        <v>1929</v>
      </c>
      <c r="J580" s="50" t="s">
        <v>1930</v>
      </c>
      <c r="K580" s="53"/>
      <c r="L580" s="50" t="s">
        <v>60</v>
      </c>
      <c r="M580" s="53"/>
      <c r="N580" s="53"/>
      <c r="O580" s="53"/>
      <c r="P580" s="53"/>
      <c r="Q580" s="53"/>
      <c r="R580" s="53"/>
      <c r="S580" s="53"/>
      <c r="T580" s="53"/>
      <c r="U580" s="85">
        <f>(Tabela1[[#This Row],[Informe o KM final do dia]]-Tabela1[[#This Row],[Informe o KM inicial do dia]])-Tabela1[[#This Row],[Caso tenha rodado particular alguma parte do trajeto, informe o total de KM a ser deduzido.]]</f>
        <v>109</v>
      </c>
      <c r="V580" s="86">
        <f>IF(Tabela1[[#This Row],[Informe a data]]&lt;DATE(2026,3,16), Tabela1[[#This Row],[KM Rodado]]*1.1, Tabela1[[#This Row],[KM Rodado]]*1.23)</f>
        <v>134.07</v>
      </c>
      <c r="W580" s="86">
        <f>IFERROR(SUBSTITUTE(Tabela1[[#This Row],[Pedágio]],".",",",1)*1,0)</f>
        <v>0</v>
      </c>
      <c r="X580" s="86">
        <f>IFERROR(SUBSTITUTE(Tabela1[[#This Row],[Estacionamento]],".",",",1)*1,0)</f>
        <v>0</v>
      </c>
      <c r="Y580" s="86">
        <f>IFERROR(SUBSTITUTE(Tabela1[[#This Row],[Despesas Diversas 
(Jantar em viagem, Impressões, Etc)]],".",",",1)*1,0)</f>
        <v>0</v>
      </c>
      <c r="Z580" s="86">
        <f>IFERROR(SUBSTITUTE(Tabela1[[#This Row],[Hospedagem]],".",",",1)*1,0)</f>
        <v>0</v>
      </c>
      <c r="AA580" s="56" t="str">
        <f>IF(DAY(Tabela1[[#This Row],[Informe a data]])&lt;=15,"1ª Quinzena","2ª Quinzena")</f>
        <v>2ª Quinzena</v>
      </c>
      <c r="AB580" s="56" t="str">
        <f>UPPER(TEXT(Tabela1[[#This Row],[Informe a data]],"mmmm"))</f>
        <v>AGOSTO</v>
      </c>
      <c r="AC580" s="87" t="e">
        <f ca="1">_xlfn.CONCAT(Tabela1[[#This Row],[Selecione o Usuário]]," - ",TEXT(Tabela1[[#This Row],[Informe a data]],"dd-mm-aa"))</f>
        <v>#NAME?</v>
      </c>
    </row>
    <row r="581" spans="1:29">
      <c r="A581" s="89">
        <v>46265.514814814815</v>
      </c>
      <c r="B581" s="90" t="s">
        <v>1260</v>
      </c>
      <c r="C581" s="90" t="s">
        <v>505</v>
      </c>
      <c r="D581" s="90" t="s">
        <v>506</v>
      </c>
      <c r="E581" s="91">
        <v>46261</v>
      </c>
      <c r="F581" s="92">
        <v>110078</v>
      </c>
      <c r="G581" s="93" t="s">
        <v>1950</v>
      </c>
      <c r="H581" s="92">
        <v>110181</v>
      </c>
      <c r="I581" s="93" t="s">
        <v>1951</v>
      </c>
      <c r="J581" s="90" t="s">
        <v>1952</v>
      </c>
      <c r="K581" s="94"/>
      <c r="L581" s="90" t="s">
        <v>60</v>
      </c>
      <c r="M581" s="94"/>
      <c r="N581" s="94"/>
      <c r="O581" s="94"/>
      <c r="P581" s="94"/>
      <c r="Q581" s="94"/>
      <c r="R581" s="94"/>
      <c r="S581" s="94"/>
      <c r="T581" s="94"/>
      <c r="U581" s="85">
        <f>(Tabela1[[#This Row],[Informe o KM final do dia]]-Tabela1[[#This Row],[Informe o KM inicial do dia]])-Tabela1[[#This Row],[Caso tenha rodado particular alguma parte do trajeto, informe o total de KM a ser deduzido.]]</f>
        <v>103</v>
      </c>
      <c r="V581" s="86">
        <f>IF(Tabela1[[#This Row],[Informe a data]]&lt;DATE(2026,3,16), Tabela1[[#This Row],[KM Rodado]]*1.1, Tabela1[[#This Row],[KM Rodado]]*1.23)</f>
        <v>126.69</v>
      </c>
      <c r="W581" s="86">
        <f>IFERROR(SUBSTITUTE(Tabela1[[#This Row],[Pedágio]],".",",",1)*1,0)</f>
        <v>0</v>
      </c>
      <c r="X581" s="86">
        <f>IFERROR(SUBSTITUTE(Tabela1[[#This Row],[Estacionamento]],".",",",1)*1,0)</f>
        <v>0</v>
      </c>
      <c r="Y581" s="86">
        <f>IFERROR(SUBSTITUTE(Tabela1[[#This Row],[Despesas Diversas 
(Jantar em viagem, Impressões, Etc)]],".",",",1)*1,0)</f>
        <v>0</v>
      </c>
      <c r="Z581" s="86">
        <f>IFERROR(SUBSTITUTE(Tabela1[[#This Row],[Hospedagem]],".",",",1)*1,0)</f>
        <v>0</v>
      </c>
      <c r="AA581" s="56" t="str">
        <f>IF(DAY(Tabela1[[#This Row],[Informe a data]])&lt;=15,"1ª Quinzena","2ª Quinzena")</f>
        <v>2ª Quinzena</v>
      </c>
      <c r="AB581" s="56" t="str">
        <f>UPPER(TEXT(Tabela1[[#This Row],[Informe a data]],"mmmm"))</f>
        <v>AGOSTO</v>
      </c>
      <c r="AC581" s="87" t="e">
        <f ca="1">_xlfn.CONCAT(Tabela1[[#This Row],[Selecione o Usuário]]," - ",TEXT(Tabela1[[#This Row],[Informe a data]],"dd-mm-aa"))</f>
        <v>#NAME?</v>
      </c>
    </row>
    <row r="582" spans="1:29">
      <c r="A582" s="49">
        <v>46265.839525462965</v>
      </c>
      <c r="B582" s="50" t="s">
        <v>176</v>
      </c>
      <c r="C582" s="50" t="s">
        <v>136</v>
      </c>
      <c r="D582" s="50" t="s">
        <v>177</v>
      </c>
      <c r="E582" s="51">
        <v>46261</v>
      </c>
      <c r="F582" s="52">
        <v>180165</v>
      </c>
      <c r="G582" s="58" t="s">
        <v>1959</v>
      </c>
      <c r="H582" s="52">
        <v>180245</v>
      </c>
      <c r="I582" s="58" t="s">
        <v>1960</v>
      </c>
      <c r="J582" s="50" t="s">
        <v>1961</v>
      </c>
      <c r="K582" s="53"/>
      <c r="L582" s="50" t="s">
        <v>60</v>
      </c>
      <c r="M582" s="53"/>
      <c r="N582" s="53"/>
      <c r="O582" s="53"/>
      <c r="P582" s="53"/>
      <c r="Q582" s="53"/>
      <c r="R582" s="53"/>
      <c r="S582" s="53"/>
      <c r="T582" s="53"/>
      <c r="U582" s="85">
        <f>(Tabela1[[#This Row],[Informe o KM final do dia]]-Tabela1[[#This Row],[Informe o KM inicial do dia]])-Tabela1[[#This Row],[Caso tenha rodado particular alguma parte do trajeto, informe o total de KM a ser deduzido.]]</f>
        <v>80</v>
      </c>
      <c r="V582" s="86">
        <f>IF(Tabela1[[#This Row],[Informe a data]]&lt;DATE(2026,3,16), Tabela1[[#This Row],[KM Rodado]]*1.1, Tabela1[[#This Row],[KM Rodado]]*1.23)</f>
        <v>98.4</v>
      </c>
      <c r="W582" s="86">
        <f>IFERROR(SUBSTITUTE(Tabela1[[#This Row],[Pedágio]],".",",",1)*1,0)</f>
        <v>0</v>
      </c>
      <c r="X582" s="86">
        <f>IFERROR(SUBSTITUTE(Tabela1[[#This Row],[Estacionamento]],".",",",1)*1,0)</f>
        <v>0</v>
      </c>
      <c r="Y582" s="86">
        <f>IFERROR(SUBSTITUTE(Tabela1[[#This Row],[Despesas Diversas 
(Jantar em viagem, Impressões, Etc)]],".",",",1)*1,0)</f>
        <v>0</v>
      </c>
      <c r="Z582" s="86">
        <f>IFERROR(SUBSTITUTE(Tabela1[[#This Row],[Hospedagem]],".",",",1)*1,0)</f>
        <v>0</v>
      </c>
      <c r="AA582" s="56" t="str">
        <f>IF(DAY(Tabela1[[#This Row],[Informe a data]])&lt;=15,"1ª Quinzena","2ª Quinzena")</f>
        <v>2ª Quinzena</v>
      </c>
      <c r="AB582" s="56" t="str">
        <f>UPPER(TEXT(Tabela1[[#This Row],[Informe a data]],"mmmm"))</f>
        <v>AGOSTO</v>
      </c>
      <c r="AC582" s="87" t="e">
        <f ca="1">_xlfn.CONCAT(Tabela1[[#This Row],[Selecione o Usuário]]," - ",TEXT(Tabela1[[#This Row],[Informe a data]],"dd-mm-aa"))</f>
        <v>#NAME?</v>
      </c>
    </row>
    <row r="583" spans="1:29">
      <c r="A583" s="49">
        <v>46265.933078703703</v>
      </c>
      <c r="B583" s="50" t="s">
        <v>1634</v>
      </c>
      <c r="C583" s="50" t="s">
        <v>44</v>
      </c>
      <c r="D583" s="50" t="s">
        <v>1636</v>
      </c>
      <c r="E583" s="51">
        <v>46261</v>
      </c>
      <c r="F583" s="52">
        <v>136929</v>
      </c>
      <c r="G583" s="58" t="s">
        <v>1971</v>
      </c>
      <c r="H583" s="52">
        <v>137082</v>
      </c>
      <c r="I583" s="58" t="s">
        <v>1972</v>
      </c>
      <c r="J583" s="50" t="s">
        <v>1973</v>
      </c>
      <c r="K583" s="53"/>
      <c r="L583" s="50" t="s">
        <v>60</v>
      </c>
      <c r="M583" s="53"/>
      <c r="N583" s="53"/>
      <c r="O583" s="53"/>
      <c r="P583" s="53"/>
      <c r="Q583" s="53"/>
      <c r="R583" s="53"/>
      <c r="S583" s="53"/>
      <c r="T583" s="53"/>
      <c r="U583" s="85">
        <f>(Tabela1[[#This Row],[Informe o KM final do dia]]-Tabela1[[#This Row],[Informe o KM inicial do dia]])-Tabela1[[#This Row],[Caso tenha rodado particular alguma parte do trajeto, informe o total de KM a ser deduzido.]]</f>
        <v>153</v>
      </c>
      <c r="V583" s="86">
        <f>IF(Tabela1[[#This Row],[Informe a data]]&lt;DATE(2026,3,16), Tabela1[[#This Row],[KM Rodado]]*1.1, Tabela1[[#This Row],[KM Rodado]]*1.23)</f>
        <v>188.19</v>
      </c>
      <c r="W583" s="86">
        <f>IFERROR(SUBSTITUTE(Tabela1[[#This Row],[Pedágio]],".",",",1)*1,0)</f>
        <v>0</v>
      </c>
      <c r="X583" s="86">
        <f>IFERROR(SUBSTITUTE(Tabela1[[#This Row],[Estacionamento]],".",",",1)*1,0)</f>
        <v>0</v>
      </c>
      <c r="Y583" s="86">
        <f>IFERROR(SUBSTITUTE(Tabela1[[#This Row],[Despesas Diversas 
(Jantar em viagem, Impressões, Etc)]],".",",",1)*1,0)</f>
        <v>0</v>
      </c>
      <c r="Z583" s="86">
        <f>IFERROR(SUBSTITUTE(Tabela1[[#This Row],[Hospedagem]],".",",",1)*1,0)</f>
        <v>0</v>
      </c>
      <c r="AA583" s="56" t="str">
        <f>IF(DAY(Tabela1[[#This Row],[Informe a data]])&lt;=15,"1ª Quinzena","2ª Quinzena")</f>
        <v>2ª Quinzena</v>
      </c>
      <c r="AB583" s="56" t="str">
        <f>UPPER(TEXT(Tabela1[[#This Row],[Informe a data]],"mmmm"))</f>
        <v>AGOSTO</v>
      </c>
      <c r="AC583" s="87" t="e">
        <f ca="1">_xlfn.CONCAT(Tabela1[[#This Row],[Selecione o Usuário]]," - ",TEXT(Tabela1[[#This Row],[Informe a data]],"dd-mm-aa"))</f>
        <v>#NAME?</v>
      </c>
    </row>
    <row r="584" spans="1:29">
      <c r="A584" s="113">
        <v>46263.555775462963</v>
      </c>
      <c r="B584" s="114" t="s">
        <v>131</v>
      </c>
      <c r="C584" s="114" t="s">
        <v>132</v>
      </c>
      <c r="D584" s="114" t="s">
        <v>133</v>
      </c>
      <c r="E584" s="115">
        <v>46262</v>
      </c>
      <c r="F584" s="116">
        <v>198030</v>
      </c>
      <c r="G584" s="117" t="s">
        <v>1931</v>
      </c>
      <c r="H584" s="116">
        <v>198047</v>
      </c>
      <c r="I584" s="117" t="s">
        <v>1932</v>
      </c>
      <c r="J584" s="114" t="s">
        <v>1514</v>
      </c>
      <c r="K584" s="118"/>
      <c r="L584" s="114" t="s">
        <v>60</v>
      </c>
      <c r="M584" s="118"/>
      <c r="N584" s="118"/>
      <c r="O584" s="118"/>
      <c r="P584" s="118"/>
      <c r="Q584" s="118"/>
      <c r="R584" s="118"/>
      <c r="S584" s="118"/>
      <c r="T584" s="118"/>
      <c r="U584" s="95">
        <f>(Tabela1[[#This Row],[Informe o KM final do dia]]-Tabela1[[#This Row],[Informe o KM inicial do dia]])-Tabela1[[#This Row],[Caso tenha rodado particular alguma parte do trajeto, informe o total de KM a ser deduzido.]]</f>
        <v>17</v>
      </c>
      <c r="V584" s="97">
        <f>IF(Tabela1[[#This Row],[Informe a data]]&lt;DATE(2026,3,16), Tabela1[[#This Row],[KM Rodado]]*1.1, Tabela1[[#This Row],[KM Rodado]]*1.23)</f>
        <v>20.91</v>
      </c>
      <c r="W584" s="97">
        <f>IFERROR(SUBSTITUTE(Tabela1[[#This Row],[Pedágio]],".",",",1)*1,0)</f>
        <v>0</v>
      </c>
      <c r="X584" s="97">
        <f>IFERROR(SUBSTITUTE(Tabela1[[#This Row],[Estacionamento]],".",",",1)*1,0)</f>
        <v>0</v>
      </c>
      <c r="Y584" s="97">
        <f>IFERROR(SUBSTITUTE(Tabela1[[#This Row],[Despesas Diversas 
(Jantar em viagem, Impressões, Etc)]],".",",",1)*1,0)</f>
        <v>0</v>
      </c>
      <c r="Z584" s="97">
        <f>IFERROR(SUBSTITUTE(Tabela1[[#This Row],[Hospedagem]],".",",",1)*1,0)</f>
        <v>0</v>
      </c>
      <c r="AA584" s="98" t="str">
        <f>IF(DAY(Tabela1[[#This Row],[Informe a data]])&lt;=15,"1ª Quinzena","2ª Quinzena")</f>
        <v>2ª Quinzena</v>
      </c>
      <c r="AB584" s="98" t="str">
        <f>UPPER(TEXT(Tabela1[[#This Row],[Informe a data]],"mmmm"))</f>
        <v>AGOSTO</v>
      </c>
      <c r="AC584" s="99" t="e">
        <f ca="1">_xlfn.CONCAT(Tabela1[[#This Row],[Selecione o Usuário]]," - ",TEXT(Tabela1[[#This Row],[Informe a data]],"dd-mm-aa"))</f>
        <v>#NAME?</v>
      </c>
    </row>
    <row r="585" spans="1:29">
      <c r="A585" s="89">
        <v>46266.762997685182</v>
      </c>
      <c r="B585" s="90" t="s">
        <v>1605</v>
      </c>
      <c r="C585" s="90" t="s">
        <v>1696</v>
      </c>
      <c r="D585" s="90" t="s">
        <v>1606</v>
      </c>
      <c r="E585" s="91">
        <v>46266</v>
      </c>
      <c r="F585" s="92">
        <v>121870</v>
      </c>
      <c r="G585" s="93" t="s">
        <v>1974</v>
      </c>
      <c r="H585" s="92">
        <v>122012</v>
      </c>
      <c r="I585" s="93" t="s">
        <v>1975</v>
      </c>
      <c r="J585" s="90" t="s">
        <v>1976</v>
      </c>
      <c r="K585" s="94"/>
      <c r="L585" s="90" t="s">
        <v>61</v>
      </c>
      <c r="M585" s="94"/>
      <c r="N585" s="94"/>
      <c r="O585" s="94"/>
      <c r="P585" s="94"/>
      <c r="Q585" s="94"/>
      <c r="R585" s="93" t="s">
        <v>1977</v>
      </c>
      <c r="S585" s="94"/>
      <c r="T585" s="94" t="s">
        <v>1978</v>
      </c>
      <c r="U585" s="85">
        <f>(Tabela1[[#This Row],[Informe o KM final do dia]]-Tabela1[[#This Row],[Informe o KM inicial do dia]])-Tabela1[[#This Row],[Caso tenha rodado particular alguma parte do trajeto, informe o total de KM a ser deduzido.]]</f>
        <v>142</v>
      </c>
      <c r="V585" s="86">
        <f>IF(Tabela1[[#This Row],[Informe a data]]&lt;DATE(2026,3,16), Tabela1[[#This Row],[KM Rodado]]*1.1, Tabela1[[#This Row],[KM Rodado]]*1.23)</f>
        <v>174.66</v>
      </c>
      <c r="W585" s="86">
        <f>IFERROR(SUBSTITUTE(Tabela1[[#This Row],[Pedágio]],".",",",1)*1,0)</f>
        <v>0</v>
      </c>
      <c r="X585" s="86">
        <f>IFERROR(SUBSTITUTE(Tabela1[[#This Row],[Estacionamento]],".",",",1)*1,0)</f>
        <v>0</v>
      </c>
      <c r="Y585" s="86">
        <f>IFERROR(SUBSTITUTE(Tabela1[[#This Row],[Despesas Diversas 
(Jantar em viagem, Impressões, Etc)]],".",",",1)*1,0)</f>
        <v>0</v>
      </c>
      <c r="Z585" s="86">
        <f>IFERROR(SUBSTITUTE(Tabela1[[#This Row],[Hospedagem]],".",",",1)*1,0)</f>
        <v>0</v>
      </c>
      <c r="AA585" s="56" t="str">
        <f>IF(DAY(Tabela1[[#This Row],[Informe a data]])&lt;=15,"1ª Quinzena","2ª Quinzena")</f>
        <v>1ª Quinzena</v>
      </c>
      <c r="AB585" s="56" t="str">
        <f>UPPER(TEXT(Tabela1[[#This Row],[Informe a data]],"mmmm"))</f>
        <v>SETEMBRO</v>
      </c>
      <c r="AC585" s="87" t="e">
        <f ca="1">_xlfn.CONCAT(Tabela1[[#This Row],[Selecione o Usuário]]," - ",TEXT(Tabela1[[#This Row],[Informe a data]],"dd-mm-aa"))</f>
        <v>#NAME?</v>
      </c>
    </row>
    <row r="586" spans="1:29">
      <c r="A586" s="49">
        <v>46266.833761574075</v>
      </c>
      <c r="B586" s="50" t="s">
        <v>131</v>
      </c>
      <c r="C586" s="50" t="s">
        <v>132</v>
      </c>
      <c r="D586" s="50" t="s">
        <v>133</v>
      </c>
      <c r="E586" s="51">
        <v>46266</v>
      </c>
      <c r="F586" s="52">
        <v>198047</v>
      </c>
      <c r="G586" s="58" t="s">
        <v>1979</v>
      </c>
      <c r="H586" s="52">
        <v>198102</v>
      </c>
      <c r="I586" s="58" t="s">
        <v>1980</v>
      </c>
      <c r="J586" s="50" t="s">
        <v>1981</v>
      </c>
      <c r="K586" s="53"/>
      <c r="L586" s="50" t="s">
        <v>60</v>
      </c>
      <c r="M586" s="53"/>
      <c r="N586" s="53"/>
      <c r="O586" s="53"/>
      <c r="P586" s="53"/>
      <c r="Q586" s="53"/>
      <c r="R586" s="53"/>
      <c r="S586" s="53"/>
      <c r="T586" s="53"/>
      <c r="U586" s="85">
        <f>(Tabela1[[#This Row],[Informe o KM final do dia]]-Tabela1[[#This Row],[Informe o KM inicial do dia]])-Tabela1[[#This Row],[Caso tenha rodado particular alguma parte do trajeto, informe o total de KM a ser deduzido.]]</f>
        <v>55</v>
      </c>
      <c r="V586" s="86">
        <f>IF(Tabela1[[#This Row],[Informe a data]]&lt;DATE(2026,3,16), Tabela1[[#This Row],[KM Rodado]]*1.1, Tabela1[[#This Row],[KM Rodado]]*1.23)</f>
        <v>67.650000000000006</v>
      </c>
      <c r="W586" s="86">
        <f>IFERROR(SUBSTITUTE(Tabela1[[#This Row],[Pedágio]],".",",",1)*1,0)</f>
        <v>0</v>
      </c>
      <c r="X586" s="86">
        <f>IFERROR(SUBSTITUTE(Tabela1[[#This Row],[Estacionamento]],".",",",1)*1,0)</f>
        <v>0</v>
      </c>
      <c r="Y586" s="86">
        <f>IFERROR(SUBSTITUTE(Tabela1[[#This Row],[Despesas Diversas 
(Jantar em viagem, Impressões, Etc)]],".",",",1)*1,0)</f>
        <v>0</v>
      </c>
      <c r="Z586" s="86">
        <f>IFERROR(SUBSTITUTE(Tabela1[[#This Row],[Hospedagem]],".",",",1)*1,0)</f>
        <v>0</v>
      </c>
      <c r="AA586" s="56" t="str">
        <f>IF(DAY(Tabela1[[#This Row],[Informe a data]])&lt;=15,"1ª Quinzena","2ª Quinzena")</f>
        <v>1ª Quinzena</v>
      </c>
      <c r="AB586" s="56" t="str">
        <f>UPPER(TEXT(Tabela1[[#This Row],[Informe a data]],"mmmm"))</f>
        <v>SETEMBRO</v>
      </c>
      <c r="AC586" s="87" t="e">
        <f ca="1">_xlfn.CONCAT(Tabela1[[#This Row],[Selecione o Usuário]]," - ",TEXT(Tabela1[[#This Row],[Informe a data]],"dd-mm-aa"))</f>
        <v>#NAME?</v>
      </c>
    </row>
    <row r="587" spans="1:29">
      <c r="A587" s="49">
        <v>46276.016655092593</v>
      </c>
      <c r="B587" s="50" t="s">
        <v>300</v>
      </c>
      <c r="C587" s="50" t="s">
        <v>250</v>
      </c>
      <c r="D587" s="50" t="s">
        <v>228</v>
      </c>
      <c r="E587" s="51">
        <v>46266</v>
      </c>
      <c r="F587" s="52">
        <v>137979</v>
      </c>
      <c r="G587" s="58" t="s">
        <v>2025</v>
      </c>
      <c r="H587" s="52">
        <v>138138</v>
      </c>
      <c r="I587" s="58" t="s">
        <v>2026</v>
      </c>
      <c r="J587" s="50" t="s">
        <v>2027</v>
      </c>
      <c r="K587" s="52">
        <v>74</v>
      </c>
      <c r="L587" s="50" t="s">
        <v>60</v>
      </c>
      <c r="M587" s="53"/>
      <c r="N587" s="53"/>
      <c r="O587" s="53"/>
      <c r="P587" s="53"/>
      <c r="Q587" s="53"/>
      <c r="R587" s="53"/>
      <c r="S587" s="53"/>
      <c r="T587" s="53"/>
      <c r="U587" s="85">
        <f>(Tabela1[[#This Row],[Informe o KM final do dia]]-Tabela1[[#This Row],[Informe o KM inicial do dia]])-Tabela1[[#This Row],[Caso tenha rodado particular alguma parte do trajeto, informe o total de KM a ser deduzido.]]</f>
        <v>85</v>
      </c>
      <c r="V587" s="86">
        <f>IF(Tabela1[[#This Row],[Informe a data]]&lt;DATE(2026,3,16), Tabela1[[#This Row],[KM Rodado]]*1.1, Tabela1[[#This Row],[KM Rodado]]*1.23)</f>
        <v>104.55</v>
      </c>
      <c r="W587" s="86">
        <f>IFERROR(SUBSTITUTE(Tabela1[[#This Row],[Pedágio]],".",",",1)*1,0)</f>
        <v>0</v>
      </c>
      <c r="X587" s="86">
        <f>IFERROR(SUBSTITUTE(Tabela1[[#This Row],[Estacionamento]],".",",",1)*1,0)</f>
        <v>0</v>
      </c>
      <c r="Y587" s="86">
        <f>IFERROR(SUBSTITUTE(Tabela1[[#This Row],[Despesas Diversas 
(Jantar em viagem, Impressões, Etc)]],".",",",1)*1,0)</f>
        <v>0</v>
      </c>
      <c r="Z587" s="86">
        <f>IFERROR(SUBSTITUTE(Tabela1[[#This Row],[Hospedagem]],".",",",1)*1,0)</f>
        <v>0</v>
      </c>
      <c r="AA587" s="56" t="str">
        <f>IF(DAY(Tabela1[[#This Row],[Informe a data]])&lt;=15,"1ª Quinzena","2ª Quinzena")</f>
        <v>1ª Quinzena</v>
      </c>
      <c r="AB587" s="56" t="str">
        <f>UPPER(TEXT(Tabela1[[#This Row],[Informe a data]],"mmmm"))</f>
        <v>SETEMBRO</v>
      </c>
      <c r="AC587" s="87" t="e">
        <f ca="1">_xlfn.CONCAT(Tabela1[[#This Row],[Selecione o Usuário]]," - ",TEXT(Tabela1[[#This Row],[Informe a data]],"dd-mm-aa"))</f>
        <v>#NAME?</v>
      </c>
    </row>
    <row r="588" spans="1:29">
      <c r="A588" s="89">
        <v>46279.377187500002</v>
      </c>
      <c r="B588" s="90" t="s">
        <v>1260</v>
      </c>
      <c r="C588" s="90" t="s">
        <v>505</v>
      </c>
      <c r="D588" s="90" t="s">
        <v>506</v>
      </c>
      <c r="E588" s="91">
        <v>46266</v>
      </c>
      <c r="F588" s="92">
        <v>110218</v>
      </c>
      <c r="G588" s="93" t="s">
        <v>2046</v>
      </c>
      <c r="H588" s="92">
        <v>110316</v>
      </c>
      <c r="I588" s="93" t="s">
        <v>2047</v>
      </c>
      <c r="J588" s="90" t="s">
        <v>2048</v>
      </c>
      <c r="K588" s="94"/>
      <c r="L588" s="90" t="s">
        <v>60</v>
      </c>
      <c r="M588" s="94"/>
      <c r="N588" s="94"/>
      <c r="O588" s="94"/>
      <c r="P588" s="94"/>
      <c r="Q588" s="94"/>
      <c r="R588" s="94"/>
      <c r="S588" s="94"/>
      <c r="T588" s="94"/>
      <c r="U588" s="85">
        <f>(Tabela1[[#This Row],[Informe o KM final do dia]]-Tabela1[[#This Row],[Informe o KM inicial do dia]])-Tabela1[[#This Row],[Caso tenha rodado particular alguma parte do trajeto, informe o total de KM a ser deduzido.]]</f>
        <v>98</v>
      </c>
      <c r="V588" s="86">
        <f>IF(Tabela1[[#This Row],[Informe a data]]&lt;DATE(2026,3,16), Tabela1[[#This Row],[KM Rodado]]*1.1, Tabela1[[#This Row],[KM Rodado]]*1.23)</f>
        <v>120.53999999999999</v>
      </c>
      <c r="W588" s="86">
        <f>IFERROR(SUBSTITUTE(Tabela1[[#This Row],[Pedágio]],".",",",1)*1,0)</f>
        <v>0</v>
      </c>
      <c r="X588" s="86">
        <f>IFERROR(SUBSTITUTE(Tabela1[[#This Row],[Estacionamento]],".",",",1)*1,0)</f>
        <v>0</v>
      </c>
      <c r="Y588" s="86">
        <f>IFERROR(SUBSTITUTE(Tabela1[[#This Row],[Despesas Diversas 
(Jantar em viagem, Impressões, Etc)]],".",",",1)*1,0)</f>
        <v>0</v>
      </c>
      <c r="Z588" s="86">
        <f>IFERROR(SUBSTITUTE(Tabela1[[#This Row],[Hospedagem]],".",",",1)*1,0)</f>
        <v>0</v>
      </c>
      <c r="AA588" s="56" t="str">
        <f>IF(DAY(Tabela1[[#This Row],[Informe a data]])&lt;=15,"1ª Quinzena","2ª Quinzena")</f>
        <v>1ª Quinzena</v>
      </c>
      <c r="AB588" s="56" t="str">
        <f>UPPER(TEXT(Tabela1[[#This Row],[Informe a data]],"mmmm"))</f>
        <v>SETEMBRO</v>
      </c>
      <c r="AC588" s="87" t="e">
        <f ca="1">_xlfn.CONCAT(Tabela1[[#This Row],[Selecione o Usuário]]," - ",TEXT(Tabela1[[#This Row],[Informe a data]],"dd-mm-aa"))</f>
        <v>#NAME?</v>
      </c>
    </row>
    <row r="589" spans="1:29">
      <c r="A589" s="89">
        <v>46267.72552083333</v>
      </c>
      <c r="B589" s="90" t="s">
        <v>1605</v>
      </c>
      <c r="C589" s="90" t="s">
        <v>1696</v>
      </c>
      <c r="D589" s="90" t="s">
        <v>1606</v>
      </c>
      <c r="E589" s="91">
        <v>46267</v>
      </c>
      <c r="F589" s="92">
        <v>122044</v>
      </c>
      <c r="G589" s="93" t="s">
        <v>1982</v>
      </c>
      <c r="H589" s="92">
        <v>122139</v>
      </c>
      <c r="I589" s="93" t="s">
        <v>1983</v>
      </c>
      <c r="J589" s="90" t="s">
        <v>1984</v>
      </c>
      <c r="K589" s="94"/>
      <c r="L589" s="90" t="s">
        <v>61</v>
      </c>
      <c r="M589" s="94"/>
      <c r="N589" s="94"/>
      <c r="O589" s="94"/>
      <c r="P589" s="94"/>
      <c r="Q589" s="94"/>
      <c r="R589" s="93" t="s">
        <v>1985</v>
      </c>
      <c r="S589" s="94"/>
      <c r="T589" s="94" t="s">
        <v>1986</v>
      </c>
      <c r="U589" s="85">
        <f>(Tabela1[[#This Row],[Informe o KM final do dia]]-Tabela1[[#This Row],[Informe o KM inicial do dia]])-Tabela1[[#This Row],[Caso tenha rodado particular alguma parte do trajeto, informe o total de KM a ser deduzido.]]</f>
        <v>95</v>
      </c>
      <c r="V589" s="86">
        <f>IF(Tabela1[[#This Row],[Informe a data]]&lt;DATE(2026,3,16), Tabela1[[#This Row],[KM Rodado]]*1.1, Tabela1[[#This Row],[KM Rodado]]*1.23)</f>
        <v>116.85</v>
      </c>
      <c r="W589" s="86">
        <f>IFERROR(SUBSTITUTE(Tabela1[[#This Row],[Pedágio]],".",",",1)*1,0)</f>
        <v>0</v>
      </c>
      <c r="X589" s="86">
        <f>IFERROR(SUBSTITUTE(Tabela1[[#This Row],[Estacionamento]],".",",",1)*1,0)</f>
        <v>0</v>
      </c>
      <c r="Y589" s="86">
        <f>IFERROR(SUBSTITUTE(Tabela1[[#This Row],[Despesas Diversas 
(Jantar em viagem, Impressões, Etc)]],".",",",1)*1,0)</f>
        <v>0</v>
      </c>
      <c r="Z589" s="86">
        <f>IFERROR(SUBSTITUTE(Tabela1[[#This Row],[Hospedagem]],".",",",1)*1,0)</f>
        <v>0</v>
      </c>
      <c r="AA589" s="56" t="str">
        <f>IF(DAY(Tabela1[[#This Row],[Informe a data]])&lt;=15,"1ª Quinzena","2ª Quinzena")</f>
        <v>1ª Quinzena</v>
      </c>
      <c r="AB589" s="56" t="str">
        <f>UPPER(TEXT(Tabela1[[#This Row],[Informe a data]],"mmmm"))</f>
        <v>SETEMBRO</v>
      </c>
      <c r="AC589" s="87" t="e">
        <f ca="1">_xlfn.CONCAT(Tabela1[[#This Row],[Selecione o Usuário]]," - ",TEXT(Tabela1[[#This Row],[Informe a data]],"dd-mm-aa"))</f>
        <v>#NAME?</v>
      </c>
    </row>
    <row r="590" spans="1:29">
      <c r="A590" s="49">
        <v>46268.399085648147</v>
      </c>
      <c r="B590" s="50" t="s">
        <v>131</v>
      </c>
      <c r="C590" s="50" t="s">
        <v>132</v>
      </c>
      <c r="D590" s="50" t="s">
        <v>133</v>
      </c>
      <c r="E590" s="51">
        <v>46267</v>
      </c>
      <c r="F590" s="52">
        <v>198102</v>
      </c>
      <c r="G590" s="58" t="s">
        <v>1987</v>
      </c>
      <c r="H590" s="52">
        <v>198175</v>
      </c>
      <c r="I590" s="58" t="s">
        <v>1988</v>
      </c>
      <c r="J590" s="50" t="s">
        <v>1989</v>
      </c>
      <c r="K590" s="53"/>
      <c r="L590" s="50" t="s">
        <v>60</v>
      </c>
      <c r="M590" s="53"/>
      <c r="N590" s="53"/>
      <c r="O590" s="53"/>
      <c r="P590" s="53"/>
      <c r="Q590" s="53"/>
      <c r="R590" s="53"/>
      <c r="S590" s="53"/>
      <c r="T590" s="53"/>
      <c r="U590" s="85">
        <f>(Tabela1[[#This Row],[Informe o KM final do dia]]-Tabela1[[#This Row],[Informe o KM inicial do dia]])-Tabela1[[#This Row],[Caso tenha rodado particular alguma parte do trajeto, informe o total de KM a ser deduzido.]]</f>
        <v>73</v>
      </c>
      <c r="V590" s="86">
        <f>IF(Tabela1[[#This Row],[Informe a data]]&lt;DATE(2026,3,16), Tabela1[[#This Row],[KM Rodado]]*1.1, Tabela1[[#This Row],[KM Rodado]]*1.23)</f>
        <v>89.789999999999992</v>
      </c>
      <c r="W590" s="86">
        <f>IFERROR(SUBSTITUTE(Tabela1[[#This Row],[Pedágio]],".",",",1)*1,0)</f>
        <v>0</v>
      </c>
      <c r="X590" s="86">
        <f>IFERROR(SUBSTITUTE(Tabela1[[#This Row],[Estacionamento]],".",",",1)*1,0)</f>
        <v>0</v>
      </c>
      <c r="Y590" s="86">
        <f>IFERROR(SUBSTITUTE(Tabela1[[#This Row],[Despesas Diversas 
(Jantar em viagem, Impressões, Etc)]],".",",",1)*1,0)</f>
        <v>0</v>
      </c>
      <c r="Z590" s="86">
        <f>IFERROR(SUBSTITUTE(Tabela1[[#This Row],[Hospedagem]],".",",",1)*1,0)</f>
        <v>0</v>
      </c>
      <c r="AA590" s="56" t="str">
        <f>IF(DAY(Tabela1[[#This Row],[Informe a data]])&lt;=15,"1ª Quinzena","2ª Quinzena")</f>
        <v>1ª Quinzena</v>
      </c>
      <c r="AB590" s="56" t="str">
        <f>UPPER(TEXT(Tabela1[[#This Row],[Informe a data]],"mmmm"))</f>
        <v>SETEMBRO</v>
      </c>
      <c r="AC590" s="87" t="e">
        <f ca="1">_xlfn.CONCAT(Tabela1[[#This Row],[Selecione o Usuário]]," - ",TEXT(Tabela1[[#This Row],[Informe a data]],"dd-mm-aa"))</f>
        <v>#NAME?</v>
      </c>
    </row>
    <row r="591" spans="1:29">
      <c r="A591" s="89">
        <v>46276.020555555559</v>
      </c>
      <c r="B591" s="90" t="s">
        <v>300</v>
      </c>
      <c r="C591" s="90" t="s">
        <v>250</v>
      </c>
      <c r="D591" s="90" t="s">
        <v>228</v>
      </c>
      <c r="E591" s="91">
        <v>46267</v>
      </c>
      <c r="F591" s="92">
        <v>138138</v>
      </c>
      <c r="G591" s="93" t="s">
        <v>2028</v>
      </c>
      <c r="H591" s="92">
        <v>138256</v>
      </c>
      <c r="I591" s="93" t="s">
        <v>2029</v>
      </c>
      <c r="J591" s="90" t="s">
        <v>2030</v>
      </c>
      <c r="K591" s="94"/>
      <c r="L591" s="90" t="s">
        <v>60</v>
      </c>
      <c r="M591" s="94"/>
      <c r="N591" s="94"/>
      <c r="O591" s="94"/>
      <c r="P591" s="94"/>
      <c r="Q591" s="94"/>
      <c r="R591" s="94"/>
      <c r="S591" s="94"/>
      <c r="T591" s="94"/>
      <c r="U591" s="85">
        <f>(Tabela1[[#This Row],[Informe o KM final do dia]]-Tabela1[[#This Row],[Informe o KM inicial do dia]])-Tabela1[[#This Row],[Caso tenha rodado particular alguma parte do trajeto, informe o total de KM a ser deduzido.]]</f>
        <v>118</v>
      </c>
      <c r="V591" s="86">
        <f>IF(Tabela1[[#This Row],[Informe a data]]&lt;DATE(2026,3,16), Tabela1[[#This Row],[KM Rodado]]*1.1, Tabela1[[#This Row],[KM Rodado]]*1.23)</f>
        <v>145.13999999999999</v>
      </c>
      <c r="W591" s="86">
        <f>IFERROR(SUBSTITUTE(Tabela1[[#This Row],[Pedágio]],".",",",1)*1,0)</f>
        <v>0</v>
      </c>
      <c r="X591" s="86">
        <f>IFERROR(SUBSTITUTE(Tabela1[[#This Row],[Estacionamento]],".",",",1)*1,0)</f>
        <v>0</v>
      </c>
      <c r="Y591" s="86">
        <f>IFERROR(SUBSTITUTE(Tabela1[[#This Row],[Despesas Diversas 
(Jantar em viagem, Impressões, Etc)]],".",",",1)*1,0)</f>
        <v>0</v>
      </c>
      <c r="Z591" s="86">
        <f>IFERROR(SUBSTITUTE(Tabela1[[#This Row],[Hospedagem]],".",",",1)*1,0)</f>
        <v>0</v>
      </c>
      <c r="AA591" s="56" t="str">
        <f>IF(DAY(Tabela1[[#This Row],[Informe a data]])&lt;=15,"1ª Quinzena","2ª Quinzena")</f>
        <v>1ª Quinzena</v>
      </c>
      <c r="AB591" s="56" t="str">
        <f>UPPER(TEXT(Tabela1[[#This Row],[Informe a data]],"mmmm"))</f>
        <v>SETEMBRO</v>
      </c>
      <c r="AC591" s="87" t="e">
        <f ca="1">_xlfn.CONCAT(Tabela1[[#This Row],[Selecione o Usuário]]," - ",TEXT(Tabela1[[#This Row],[Informe a data]],"dd-mm-aa"))</f>
        <v>#NAME?</v>
      </c>
    </row>
    <row r="592" spans="1:29">
      <c r="A592" s="49">
        <v>46280.303113425929</v>
      </c>
      <c r="B592" s="50" t="s">
        <v>1634</v>
      </c>
      <c r="C592" s="50" t="s">
        <v>44</v>
      </c>
      <c r="D592" s="50" t="s">
        <v>1636</v>
      </c>
      <c r="E592" s="51">
        <v>46267</v>
      </c>
      <c r="F592" s="52">
        <v>137264</v>
      </c>
      <c r="G592" s="58" t="s">
        <v>2064</v>
      </c>
      <c r="H592" s="52">
        <v>137535</v>
      </c>
      <c r="I592" s="58" t="s">
        <v>2065</v>
      </c>
      <c r="J592" s="50" t="s">
        <v>2066</v>
      </c>
      <c r="K592" s="53"/>
      <c r="L592" s="50" t="s">
        <v>61</v>
      </c>
      <c r="M592" s="50" t="s">
        <v>291</v>
      </c>
      <c r="N592" s="58" t="s">
        <v>2067</v>
      </c>
      <c r="O592" s="53"/>
      <c r="P592" s="53"/>
      <c r="Q592" s="53"/>
      <c r="R592" s="53"/>
      <c r="S592" s="53"/>
      <c r="T592" s="53"/>
      <c r="U592" s="85">
        <f>(Tabela1[[#This Row],[Informe o KM final do dia]]-Tabela1[[#This Row],[Informe o KM inicial do dia]])-Tabela1[[#This Row],[Caso tenha rodado particular alguma parte do trajeto, informe o total de KM a ser deduzido.]]</f>
        <v>271</v>
      </c>
      <c r="V592" s="86">
        <f>IF(Tabela1[[#This Row],[Informe a data]]&lt;DATE(2026,3,16), Tabela1[[#This Row],[KM Rodado]]*1.1, Tabela1[[#This Row],[KM Rodado]]*1.23)</f>
        <v>333.33</v>
      </c>
      <c r="W592" s="86">
        <f>IFERROR(SUBSTITUTE(Tabela1[[#This Row],[Pedágio]],".",",",1)*1,0)</f>
        <v>5.7</v>
      </c>
      <c r="X592" s="86">
        <f>IFERROR(SUBSTITUTE(Tabela1[[#This Row],[Estacionamento]],".",",",1)*1,0)</f>
        <v>0</v>
      </c>
      <c r="Y592" s="86">
        <f>IFERROR(SUBSTITUTE(Tabela1[[#This Row],[Despesas Diversas 
(Jantar em viagem, Impressões, Etc)]],".",",",1)*1,0)</f>
        <v>0</v>
      </c>
      <c r="Z592" s="86">
        <f>IFERROR(SUBSTITUTE(Tabela1[[#This Row],[Hospedagem]],".",",",1)*1,0)</f>
        <v>0</v>
      </c>
      <c r="AA592" s="56" t="str">
        <f>IF(DAY(Tabela1[[#This Row],[Informe a data]])&lt;=15,"1ª Quinzena","2ª Quinzena")</f>
        <v>1ª Quinzena</v>
      </c>
      <c r="AB592" s="56" t="str">
        <f>UPPER(TEXT(Tabela1[[#This Row],[Informe a data]],"mmmm"))</f>
        <v>SETEMBRO</v>
      </c>
      <c r="AC592" s="87" t="e">
        <f ca="1">_xlfn.CONCAT(Tabela1[[#This Row],[Selecione o Usuário]]," - ",TEXT(Tabela1[[#This Row],[Informe a data]],"dd-mm-aa"))</f>
        <v>#NAME?</v>
      </c>
    </row>
    <row r="593" spans="1:29">
      <c r="A593" s="89">
        <v>46268.817245370374</v>
      </c>
      <c r="B593" s="90" t="s">
        <v>131</v>
      </c>
      <c r="C593" s="90" t="s">
        <v>132</v>
      </c>
      <c r="D593" s="90" t="s">
        <v>133</v>
      </c>
      <c r="E593" s="91">
        <v>46268</v>
      </c>
      <c r="F593" s="92">
        <v>198175</v>
      </c>
      <c r="G593" s="93" t="s">
        <v>1990</v>
      </c>
      <c r="H593" s="92">
        <v>198212</v>
      </c>
      <c r="I593" s="93" t="s">
        <v>1991</v>
      </c>
      <c r="J593" s="90" t="s">
        <v>1992</v>
      </c>
      <c r="K593" s="94"/>
      <c r="L593" s="90" t="s">
        <v>60</v>
      </c>
      <c r="M593" s="94"/>
      <c r="N593" s="94"/>
      <c r="O593" s="94"/>
      <c r="P593" s="94"/>
      <c r="Q593" s="94"/>
      <c r="R593" s="94"/>
      <c r="S593" s="94"/>
      <c r="T593" s="94"/>
      <c r="U593" s="85">
        <f>(Tabela1[[#This Row],[Informe o KM final do dia]]-Tabela1[[#This Row],[Informe o KM inicial do dia]])-Tabela1[[#This Row],[Caso tenha rodado particular alguma parte do trajeto, informe o total de KM a ser deduzido.]]</f>
        <v>37</v>
      </c>
      <c r="V593" s="86">
        <f>IF(Tabela1[[#This Row],[Informe a data]]&lt;DATE(2026,3,16), Tabela1[[#This Row],[KM Rodado]]*1.1, Tabela1[[#This Row],[KM Rodado]]*1.23)</f>
        <v>45.51</v>
      </c>
      <c r="W593" s="86">
        <f>IFERROR(SUBSTITUTE(Tabela1[[#This Row],[Pedágio]],".",",",1)*1,0)</f>
        <v>0</v>
      </c>
      <c r="X593" s="86">
        <f>IFERROR(SUBSTITUTE(Tabela1[[#This Row],[Estacionamento]],".",",",1)*1,0)</f>
        <v>0</v>
      </c>
      <c r="Y593" s="86">
        <f>IFERROR(SUBSTITUTE(Tabela1[[#This Row],[Despesas Diversas 
(Jantar em viagem, Impressões, Etc)]],".",",",1)*1,0)</f>
        <v>0</v>
      </c>
      <c r="Z593" s="86">
        <f>IFERROR(SUBSTITUTE(Tabela1[[#This Row],[Hospedagem]],".",",",1)*1,0)</f>
        <v>0</v>
      </c>
      <c r="AA593" s="56" t="str">
        <f>IF(DAY(Tabela1[[#This Row],[Informe a data]])&lt;=15,"1ª Quinzena","2ª Quinzena")</f>
        <v>1ª Quinzena</v>
      </c>
      <c r="AB593" s="56" t="str">
        <f>UPPER(TEXT(Tabela1[[#This Row],[Informe a data]],"mmmm"))</f>
        <v>SETEMBRO</v>
      </c>
      <c r="AC593" s="87" t="e">
        <f ca="1">_xlfn.CONCAT(Tabela1[[#This Row],[Selecione o Usuário]]," - ",TEXT(Tabela1[[#This Row],[Informe a data]],"dd-mm-aa"))</f>
        <v>#NAME?</v>
      </c>
    </row>
    <row r="594" spans="1:29">
      <c r="A594" s="89">
        <v>46280.306006944447</v>
      </c>
      <c r="B594" s="90" t="s">
        <v>1634</v>
      </c>
      <c r="C594" s="90" t="s">
        <v>44</v>
      </c>
      <c r="D594" s="90" t="s">
        <v>1636</v>
      </c>
      <c r="E594" s="91">
        <v>46268</v>
      </c>
      <c r="F594" s="92">
        <v>137535</v>
      </c>
      <c r="G594" s="93" t="s">
        <v>2068</v>
      </c>
      <c r="H594" s="92">
        <v>137607</v>
      </c>
      <c r="I594" s="93" t="s">
        <v>2069</v>
      </c>
      <c r="J594" s="90" t="s">
        <v>2070</v>
      </c>
      <c r="K594" s="94"/>
      <c r="L594" s="90" t="s">
        <v>60</v>
      </c>
      <c r="M594" s="94"/>
      <c r="N594" s="94"/>
      <c r="O594" s="94"/>
      <c r="P594" s="94"/>
      <c r="Q594" s="94"/>
      <c r="R594" s="94"/>
      <c r="S594" s="94"/>
      <c r="T594" s="94"/>
      <c r="U594" s="85">
        <f>(Tabela1[[#This Row],[Informe o KM final do dia]]-Tabela1[[#This Row],[Informe o KM inicial do dia]])-Tabela1[[#This Row],[Caso tenha rodado particular alguma parte do trajeto, informe o total de KM a ser deduzido.]]</f>
        <v>72</v>
      </c>
      <c r="V594" s="86">
        <f>IF(Tabela1[[#This Row],[Informe a data]]&lt;DATE(2026,3,16), Tabela1[[#This Row],[KM Rodado]]*1.1, Tabela1[[#This Row],[KM Rodado]]*1.23)</f>
        <v>88.56</v>
      </c>
      <c r="W594" s="86">
        <f>IFERROR(SUBSTITUTE(Tabela1[[#This Row],[Pedágio]],".",",",1)*1,0)</f>
        <v>0</v>
      </c>
      <c r="X594" s="86">
        <f>IFERROR(SUBSTITUTE(Tabela1[[#This Row],[Estacionamento]],".",",",1)*1,0)</f>
        <v>0</v>
      </c>
      <c r="Y594" s="86">
        <f>IFERROR(SUBSTITUTE(Tabela1[[#This Row],[Despesas Diversas 
(Jantar em viagem, Impressões, Etc)]],".",",",1)*1,0)</f>
        <v>0</v>
      </c>
      <c r="Z594" s="86">
        <f>IFERROR(SUBSTITUTE(Tabela1[[#This Row],[Hospedagem]],".",",",1)*1,0)</f>
        <v>0</v>
      </c>
      <c r="AA594" s="56" t="str">
        <f>IF(DAY(Tabela1[[#This Row],[Informe a data]])&lt;=15,"1ª Quinzena","2ª Quinzena")</f>
        <v>1ª Quinzena</v>
      </c>
      <c r="AB594" s="56" t="str">
        <f>UPPER(TEXT(Tabela1[[#This Row],[Informe a data]],"mmmm"))</f>
        <v>SETEMBRO</v>
      </c>
      <c r="AC594" s="87" t="e">
        <f ca="1">_xlfn.CONCAT(Tabela1[[#This Row],[Selecione o Usuário]]," - ",TEXT(Tabela1[[#This Row],[Informe a data]],"dd-mm-aa"))</f>
        <v>#NAME?</v>
      </c>
    </row>
    <row r="595" spans="1:29">
      <c r="A595" s="49">
        <v>46269.786736111113</v>
      </c>
      <c r="B595" s="50" t="s">
        <v>131</v>
      </c>
      <c r="C595" s="50" t="s">
        <v>132</v>
      </c>
      <c r="D595" s="50" t="s">
        <v>133</v>
      </c>
      <c r="E595" s="51">
        <v>46269</v>
      </c>
      <c r="F595" s="52">
        <v>198212</v>
      </c>
      <c r="G595" s="58" t="s">
        <v>1993</v>
      </c>
      <c r="H595" s="52">
        <v>198255</v>
      </c>
      <c r="I595" s="58" t="s">
        <v>1994</v>
      </c>
      <c r="J595" s="50" t="s">
        <v>1995</v>
      </c>
      <c r="K595" s="53"/>
      <c r="L595" s="50" t="s">
        <v>60</v>
      </c>
      <c r="M595" s="53"/>
      <c r="N595" s="53"/>
      <c r="O595" s="53"/>
      <c r="P595" s="53"/>
      <c r="Q595" s="53"/>
      <c r="R595" s="53"/>
      <c r="S595" s="53"/>
      <c r="T595" s="53"/>
      <c r="U595" s="85">
        <f>(Tabela1[[#This Row],[Informe o KM final do dia]]-Tabela1[[#This Row],[Informe o KM inicial do dia]])-Tabela1[[#This Row],[Caso tenha rodado particular alguma parte do trajeto, informe o total de KM a ser deduzido.]]</f>
        <v>43</v>
      </c>
      <c r="V595" s="86">
        <f>IF(Tabela1[[#This Row],[Informe a data]]&lt;DATE(2026,3,16), Tabela1[[#This Row],[KM Rodado]]*1.1, Tabela1[[#This Row],[KM Rodado]]*1.23)</f>
        <v>52.89</v>
      </c>
      <c r="W595" s="86">
        <f>IFERROR(SUBSTITUTE(Tabela1[[#This Row],[Pedágio]],".",",",1)*1,0)</f>
        <v>0</v>
      </c>
      <c r="X595" s="86">
        <f>IFERROR(SUBSTITUTE(Tabela1[[#This Row],[Estacionamento]],".",",",1)*1,0)</f>
        <v>0</v>
      </c>
      <c r="Y595" s="86">
        <f>IFERROR(SUBSTITUTE(Tabela1[[#This Row],[Despesas Diversas 
(Jantar em viagem, Impressões, Etc)]],".",",",1)*1,0)</f>
        <v>0</v>
      </c>
      <c r="Z595" s="86">
        <f>IFERROR(SUBSTITUTE(Tabela1[[#This Row],[Hospedagem]],".",",",1)*1,0)</f>
        <v>0</v>
      </c>
      <c r="AA595" s="56" t="str">
        <f>IF(DAY(Tabela1[[#This Row],[Informe a data]])&lt;=15,"1ª Quinzena","2ª Quinzena")</f>
        <v>1ª Quinzena</v>
      </c>
      <c r="AB595" s="56" t="str">
        <f>UPPER(TEXT(Tabela1[[#This Row],[Informe a data]],"mmmm"))</f>
        <v>SETEMBRO</v>
      </c>
      <c r="AC595" s="87" t="e">
        <f ca="1">_xlfn.CONCAT(Tabela1[[#This Row],[Selecione o Usuário]]," - ",TEXT(Tabela1[[#This Row],[Informe a data]],"dd-mm-aa"))</f>
        <v>#NAME?</v>
      </c>
    </row>
    <row r="596" spans="1:29">
      <c r="A596" s="89">
        <v>46273.418020833335</v>
      </c>
      <c r="B596" s="90" t="s">
        <v>497</v>
      </c>
      <c r="C596" s="90" t="s">
        <v>498</v>
      </c>
      <c r="D596" s="90" t="s">
        <v>1072</v>
      </c>
      <c r="E596" s="91">
        <v>46269</v>
      </c>
      <c r="F596" s="92">
        <v>56611</v>
      </c>
      <c r="G596" s="93" t="s">
        <v>1996</v>
      </c>
      <c r="H596" s="92">
        <v>57011</v>
      </c>
      <c r="I596" s="93" t="s">
        <v>1997</v>
      </c>
      <c r="J596" s="90" t="s">
        <v>1998</v>
      </c>
      <c r="K596" s="94"/>
      <c r="L596" s="90" t="s">
        <v>61</v>
      </c>
      <c r="M596" s="90" t="s">
        <v>1192</v>
      </c>
      <c r="N596" s="90" t="s">
        <v>1999</v>
      </c>
      <c r="O596" s="94"/>
      <c r="P596" s="94"/>
      <c r="Q596" s="94"/>
      <c r="R596" s="94"/>
      <c r="S596" s="94"/>
      <c r="T596" s="94"/>
      <c r="U596" s="85">
        <f>(Tabela1[[#This Row],[Informe o KM final do dia]]-Tabela1[[#This Row],[Informe o KM inicial do dia]])-Tabela1[[#This Row],[Caso tenha rodado particular alguma parte do trajeto, informe o total de KM a ser deduzido.]]</f>
        <v>400</v>
      </c>
      <c r="V596" s="86">
        <f>IF(Tabela1[[#This Row],[Informe a data]]&lt;DATE(2026,3,16), Tabela1[[#This Row],[KM Rodado]]*1.1, Tabela1[[#This Row],[KM Rodado]]*1.23)</f>
        <v>492</v>
      </c>
      <c r="W596" s="86">
        <f>IFERROR(SUBSTITUTE(Tabela1[[#This Row],[Pedágio]],".",",",1)*1,0)</f>
        <v>23.4</v>
      </c>
      <c r="X596" s="86">
        <f>IFERROR(SUBSTITUTE(Tabela1[[#This Row],[Estacionamento]],".",",",1)*1,0)</f>
        <v>0</v>
      </c>
      <c r="Y596" s="86">
        <f>IFERROR(SUBSTITUTE(Tabela1[[#This Row],[Despesas Diversas 
(Jantar em viagem, Impressões, Etc)]],".",",",1)*1,0)</f>
        <v>0</v>
      </c>
      <c r="Z596" s="86">
        <f>IFERROR(SUBSTITUTE(Tabela1[[#This Row],[Hospedagem]],".",",",1)*1,0)</f>
        <v>0</v>
      </c>
      <c r="AA596" s="56" t="str">
        <f>IF(DAY(Tabela1[[#This Row],[Informe a data]])&lt;=15,"1ª Quinzena","2ª Quinzena")</f>
        <v>1ª Quinzena</v>
      </c>
      <c r="AB596" s="56" t="str">
        <f>UPPER(TEXT(Tabela1[[#This Row],[Informe a data]],"mmmm"))</f>
        <v>SETEMBRO</v>
      </c>
      <c r="AC596" s="87" t="e">
        <f ca="1">_xlfn.CONCAT(Tabela1[[#This Row],[Selecione o Usuário]]," - ",TEXT(Tabela1[[#This Row],[Informe a data]],"dd-mm-aa"))</f>
        <v>#NAME?</v>
      </c>
    </row>
    <row r="597" spans="1:29">
      <c r="A597" s="49">
        <v>46280.308275462965</v>
      </c>
      <c r="B597" s="50" t="s">
        <v>1634</v>
      </c>
      <c r="C597" s="50" t="s">
        <v>44</v>
      </c>
      <c r="D597" s="50" t="s">
        <v>1636</v>
      </c>
      <c r="E597" s="51">
        <v>46269</v>
      </c>
      <c r="F597" s="52">
        <v>137607</v>
      </c>
      <c r="G597" s="58" t="s">
        <v>2071</v>
      </c>
      <c r="H597" s="52">
        <v>137672</v>
      </c>
      <c r="I597" s="58" t="s">
        <v>2072</v>
      </c>
      <c r="J597" s="50" t="s">
        <v>2073</v>
      </c>
      <c r="K597" s="53"/>
      <c r="L597" s="50" t="s">
        <v>60</v>
      </c>
      <c r="M597" s="53"/>
      <c r="N597" s="53"/>
      <c r="O597" s="53"/>
      <c r="P597" s="53"/>
      <c r="Q597" s="53"/>
      <c r="R597" s="53"/>
      <c r="S597" s="53"/>
      <c r="T597" s="53"/>
      <c r="U597" s="85">
        <f>(Tabela1[[#This Row],[Informe o KM final do dia]]-Tabela1[[#This Row],[Informe o KM inicial do dia]])-Tabela1[[#This Row],[Caso tenha rodado particular alguma parte do trajeto, informe o total de KM a ser deduzido.]]</f>
        <v>65</v>
      </c>
      <c r="V597" s="86">
        <f>IF(Tabela1[[#This Row],[Informe a data]]&lt;DATE(2026,3,16), Tabela1[[#This Row],[KM Rodado]]*1.1, Tabela1[[#This Row],[KM Rodado]]*1.23)</f>
        <v>79.95</v>
      </c>
      <c r="W597" s="86">
        <f>IFERROR(SUBSTITUTE(Tabela1[[#This Row],[Pedágio]],".",",",1)*1,0)</f>
        <v>0</v>
      </c>
      <c r="X597" s="86">
        <f>IFERROR(SUBSTITUTE(Tabela1[[#This Row],[Estacionamento]],".",",",1)*1,0)</f>
        <v>0</v>
      </c>
      <c r="Y597" s="86">
        <f>IFERROR(SUBSTITUTE(Tabela1[[#This Row],[Despesas Diversas 
(Jantar em viagem, Impressões, Etc)]],".",",",1)*1,0)</f>
        <v>0</v>
      </c>
      <c r="Z597" s="86">
        <f>IFERROR(SUBSTITUTE(Tabela1[[#This Row],[Hospedagem]],".",",",1)*1,0)</f>
        <v>0</v>
      </c>
      <c r="AA597" s="56" t="str">
        <f>IF(DAY(Tabela1[[#This Row],[Informe a data]])&lt;=15,"1ª Quinzena","2ª Quinzena")</f>
        <v>1ª Quinzena</v>
      </c>
      <c r="AB597" s="56" t="str">
        <f>UPPER(TEXT(Tabela1[[#This Row],[Informe a data]],"mmmm"))</f>
        <v>SETEMBRO</v>
      </c>
      <c r="AC597" s="87" t="e">
        <f ca="1">_xlfn.CONCAT(Tabela1[[#This Row],[Selecione o Usuário]]," - ",TEXT(Tabela1[[#This Row],[Informe a data]],"dd-mm-aa"))</f>
        <v>#NAME?</v>
      </c>
    </row>
    <row r="598" spans="1:29">
      <c r="A598" s="49">
        <v>46279.478182870371</v>
      </c>
      <c r="B598" s="50" t="s">
        <v>131</v>
      </c>
      <c r="C598" s="50" t="s">
        <v>132</v>
      </c>
      <c r="D598" s="50" t="s">
        <v>133</v>
      </c>
      <c r="E598" s="51">
        <v>46273</v>
      </c>
      <c r="F598" s="52">
        <v>198280</v>
      </c>
      <c r="G598" s="58" t="s">
        <v>2000</v>
      </c>
      <c r="H598" s="52">
        <v>198693</v>
      </c>
      <c r="I598" s="58" t="s">
        <v>2001</v>
      </c>
      <c r="J598" s="50" t="s">
        <v>2002</v>
      </c>
      <c r="K598" s="53"/>
      <c r="L598" s="50" t="s">
        <v>61</v>
      </c>
      <c r="M598" s="50" t="s">
        <v>2003</v>
      </c>
      <c r="N598" s="58" t="s">
        <v>2004</v>
      </c>
      <c r="O598" s="53"/>
      <c r="P598" s="53"/>
      <c r="Q598" s="50" t="s">
        <v>2005</v>
      </c>
      <c r="R598" s="58" t="s">
        <v>2006</v>
      </c>
      <c r="S598" s="53"/>
      <c r="T598" s="53"/>
      <c r="U598" s="85">
        <f>(Tabela1[[#This Row],[Informe o KM final do dia]]-Tabela1[[#This Row],[Informe o KM inicial do dia]])-Tabela1[[#This Row],[Caso tenha rodado particular alguma parte do trajeto, informe o total de KM a ser deduzido.]]</f>
        <v>413</v>
      </c>
      <c r="V598" s="86">
        <f>IF(Tabela1[[#This Row],[Informe a data]]&lt;DATE(2026,3,16), Tabela1[[#This Row],[KM Rodado]]*1.1, Tabela1[[#This Row],[KM Rodado]]*1.23)</f>
        <v>507.99</v>
      </c>
      <c r="W598" s="86">
        <f>IFERROR(SUBSTITUTE(Tabela1[[#This Row],[Pedágio]],".",",",1)*1,0)</f>
        <v>28.5</v>
      </c>
      <c r="X598" s="86">
        <f>IFERROR(SUBSTITUTE(Tabela1[[#This Row],[Estacionamento]],".",",",1)*1,0)</f>
        <v>0</v>
      </c>
      <c r="Y598" s="86">
        <f>IFERROR(SUBSTITUTE(Tabela1[[#This Row],[Despesas Diversas 
(Jantar em viagem, Impressões, Etc)]],".",",",1)*1,0)</f>
        <v>43</v>
      </c>
      <c r="Z598" s="86">
        <f>IFERROR(SUBSTITUTE(Tabela1[[#This Row],[Hospedagem]],".",",",1)*1,0)</f>
        <v>0</v>
      </c>
      <c r="AA598" s="56" t="str">
        <f>IF(DAY(Tabela1[[#This Row],[Informe a data]])&lt;=15,"1ª Quinzena","2ª Quinzena")</f>
        <v>1ª Quinzena</v>
      </c>
      <c r="AB598" s="56" t="str">
        <f>UPPER(TEXT(Tabela1[[#This Row],[Informe a data]],"mmmm"))</f>
        <v>SETEMBRO</v>
      </c>
      <c r="AC598" s="87" t="e">
        <f ca="1">_xlfn.CONCAT(Tabela1[[#This Row],[Selecione o Usuário]]," - ",TEXT(Tabela1[[#This Row],[Informe a data]],"dd-mm-aa"))</f>
        <v>#NAME?</v>
      </c>
    </row>
    <row r="599" spans="1:29">
      <c r="A599" s="89">
        <v>46273.886331018519</v>
      </c>
      <c r="B599" s="90" t="s">
        <v>176</v>
      </c>
      <c r="C599" s="90" t="s">
        <v>136</v>
      </c>
      <c r="D599" s="90" t="s">
        <v>2007</v>
      </c>
      <c r="E599" s="91">
        <v>46273</v>
      </c>
      <c r="F599" s="92">
        <v>135217</v>
      </c>
      <c r="G599" s="93" t="s">
        <v>2008</v>
      </c>
      <c r="H599" s="92">
        <v>135269</v>
      </c>
      <c r="I599" s="93" t="s">
        <v>2009</v>
      </c>
      <c r="J599" s="90" t="s">
        <v>2010</v>
      </c>
      <c r="K599" s="94"/>
      <c r="L599" s="90" t="s">
        <v>60</v>
      </c>
      <c r="M599" s="94"/>
      <c r="N599" s="94"/>
      <c r="O599" s="94"/>
      <c r="P599" s="94"/>
      <c r="Q599" s="94"/>
      <c r="R599" s="94"/>
      <c r="S599" s="94"/>
      <c r="T599" s="94"/>
      <c r="U599" s="85">
        <f>(Tabela1[[#This Row],[Informe o KM final do dia]]-Tabela1[[#This Row],[Informe o KM inicial do dia]])-Tabela1[[#This Row],[Caso tenha rodado particular alguma parte do trajeto, informe o total de KM a ser deduzido.]]</f>
        <v>52</v>
      </c>
      <c r="V599" s="86">
        <f>IF(Tabela1[[#This Row],[Informe a data]]&lt;DATE(2026,3,16), Tabela1[[#This Row],[KM Rodado]]*1.1, Tabela1[[#This Row],[KM Rodado]]*1.23)</f>
        <v>63.96</v>
      </c>
      <c r="W599" s="86">
        <f>IFERROR(SUBSTITUTE(Tabela1[[#This Row],[Pedágio]],".",",",1)*1,0)</f>
        <v>0</v>
      </c>
      <c r="X599" s="86">
        <f>IFERROR(SUBSTITUTE(Tabela1[[#This Row],[Estacionamento]],".",",",1)*1,0)</f>
        <v>0</v>
      </c>
      <c r="Y599" s="86">
        <f>IFERROR(SUBSTITUTE(Tabela1[[#This Row],[Despesas Diversas 
(Jantar em viagem, Impressões, Etc)]],".",",",1)*1,0)</f>
        <v>0</v>
      </c>
      <c r="Z599" s="86">
        <f>IFERROR(SUBSTITUTE(Tabela1[[#This Row],[Hospedagem]],".",",",1)*1,0)</f>
        <v>0</v>
      </c>
      <c r="AA599" s="56" t="str">
        <f>IF(DAY(Tabela1[[#This Row],[Informe a data]])&lt;=15,"1ª Quinzena","2ª Quinzena")</f>
        <v>1ª Quinzena</v>
      </c>
      <c r="AB599" s="56" t="str">
        <f>UPPER(TEXT(Tabela1[[#This Row],[Informe a data]],"mmmm"))</f>
        <v>SETEMBRO</v>
      </c>
      <c r="AC599" s="87" t="e">
        <f ca="1">_xlfn.CONCAT(Tabela1[[#This Row],[Selecione o Usuário]]," - ",TEXT(Tabela1[[#This Row],[Informe a data]],"dd-mm-aa"))</f>
        <v>#NAME?</v>
      </c>
    </row>
    <row r="600" spans="1:29">
      <c r="A600" s="49">
        <v>46274.523900462962</v>
      </c>
      <c r="B600" s="50" t="s">
        <v>1605</v>
      </c>
      <c r="C600" s="50" t="s">
        <v>1696</v>
      </c>
      <c r="D600" s="50" t="s">
        <v>1606</v>
      </c>
      <c r="E600" s="51">
        <v>46273</v>
      </c>
      <c r="F600" s="52">
        <v>122274</v>
      </c>
      <c r="G600" s="58" t="s">
        <v>2011</v>
      </c>
      <c r="H600" s="52">
        <v>122397</v>
      </c>
      <c r="I600" s="58" t="s">
        <v>2012</v>
      </c>
      <c r="J600" s="50" t="s">
        <v>2013</v>
      </c>
      <c r="K600" s="53"/>
      <c r="L600" s="50" t="s">
        <v>60</v>
      </c>
      <c r="M600" s="53"/>
      <c r="N600" s="53"/>
      <c r="O600" s="53"/>
      <c r="P600" s="53"/>
      <c r="Q600" s="53"/>
      <c r="R600" s="53"/>
      <c r="S600" s="53"/>
      <c r="T600" s="53"/>
      <c r="U600" s="85">
        <f>(Tabela1[[#This Row],[Informe o KM final do dia]]-Tabela1[[#This Row],[Informe o KM inicial do dia]])-Tabela1[[#This Row],[Caso tenha rodado particular alguma parte do trajeto, informe o total de KM a ser deduzido.]]</f>
        <v>123</v>
      </c>
      <c r="V600" s="86">
        <f>IF(Tabela1[[#This Row],[Informe a data]]&lt;DATE(2026,3,16), Tabela1[[#This Row],[KM Rodado]]*1.1, Tabela1[[#This Row],[KM Rodado]]*1.23)</f>
        <v>151.29</v>
      </c>
      <c r="W600" s="86">
        <f>IFERROR(SUBSTITUTE(Tabela1[[#This Row],[Pedágio]],".",",",1)*1,0)</f>
        <v>0</v>
      </c>
      <c r="X600" s="86">
        <f>IFERROR(SUBSTITUTE(Tabela1[[#This Row],[Estacionamento]],".",",",1)*1,0)</f>
        <v>0</v>
      </c>
      <c r="Y600" s="86">
        <f>IFERROR(SUBSTITUTE(Tabela1[[#This Row],[Despesas Diversas 
(Jantar em viagem, Impressões, Etc)]],".",",",1)*1,0)</f>
        <v>0</v>
      </c>
      <c r="Z600" s="86">
        <f>IFERROR(SUBSTITUTE(Tabela1[[#This Row],[Hospedagem]],".",",",1)*1,0)</f>
        <v>0</v>
      </c>
      <c r="AA600" s="56" t="str">
        <f>IF(DAY(Tabela1[[#This Row],[Informe a data]])&lt;=15,"1ª Quinzena","2ª Quinzena")</f>
        <v>1ª Quinzena</v>
      </c>
      <c r="AB600" s="56" t="str">
        <f>UPPER(TEXT(Tabela1[[#This Row],[Informe a data]],"mmmm"))</f>
        <v>SETEMBRO</v>
      </c>
      <c r="AC600" s="87" t="e">
        <f ca="1">_xlfn.CONCAT(Tabela1[[#This Row],[Selecione o Usuário]]," - ",TEXT(Tabela1[[#This Row],[Informe a data]],"dd-mm-aa"))</f>
        <v>#NAME?</v>
      </c>
    </row>
    <row r="601" spans="1:29">
      <c r="A601" s="49">
        <v>46279.380023148151</v>
      </c>
      <c r="B601" s="50" t="s">
        <v>1260</v>
      </c>
      <c r="C601" s="50" t="s">
        <v>505</v>
      </c>
      <c r="D601" s="50" t="s">
        <v>551</v>
      </c>
      <c r="E601" s="51">
        <v>46273</v>
      </c>
      <c r="F601" s="52">
        <v>110616</v>
      </c>
      <c r="G601" s="58" t="s">
        <v>2049</v>
      </c>
      <c r="H601" s="52">
        <v>110668</v>
      </c>
      <c r="I601" s="58" t="s">
        <v>2050</v>
      </c>
      <c r="J601" s="50" t="s">
        <v>2048</v>
      </c>
      <c r="K601" s="53"/>
      <c r="L601" s="50" t="s">
        <v>60</v>
      </c>
      <c r="M601" s="53"/>
      <c r="N601" s="53"/>
      <c r="O601" s="53"/>
      <c r="P601" s="53"/>
      <c r="Q601" s="53"/>
      <c r="R601" s="53"/>
      <c r="S601" s="53"/>
      <c r="T601" s="53"/>
      <c r="U601" s="85">
        <f>(Tabela1[[#This Row],[Informe o KM final do dia]]-Tabela1[[#This Row],[Informe o KM inicial do dia]])-Tabela1[[#This Row],[Caso tenha rodado particular alguma parte do trajeto, informe o total de KM a ser deduzido.]]</f>
        <v>52</v>
      </c>
      <c r="V601" s="86">
        <f>IF(Tabela1[[#This Row],[Informe a data]]&lt;DATE(2026,3,16), Tabela1[[#This Row],[KM Rodado]]*1.1, Tabela1[[#This Row],[KM Rodado]]*1.23)</f>
        <v>63.96</v>
      </c>
      <c r="W601" s="86">
        <f>IFERROR(SUBSTITUTE(Tabela1[[#This Row],[Pedágio]],".",",",1)*1,0)</f>
        <v>0</v>
      </c>
      <c r="X601" s="86">
        <f>IFERROR(SUBSTITUTE(Tabela1[[#This Row],[Estacionamento]],".",",",1)*1,0)</f>
        <v>0</v>
      </c>
      <c r="Y601" s="86">
        <f>IFERROR(SUBSTITUTE(Tabela1[[#This Row],[Despesas Diversas 
(Jantar em viagem, Impressões, Etc)]],".",",",1)*1,0)</f>
        <v>0</v>
      </c>
      <c r="Z601" s="86">
        <f>IFERROR(SUBSTITUTE(Tabela1[[#This Row],[Hospedagem]],".",",",1)*1,0)</f>
        <v>0</v>
      </c>
      <c r="AA601" s="56" t="str">
        <f>IF(DAY(Tabela1[[#This Row],[Informe a data]])&lt;=15,"1ª Quinzena","2ª Quinzena")</f>
        <v>1ª Quinzena</v>
      </c>
      <c r="AB601" s="56" t="str">
        <f>UPPER(TEXT(Tabela1[[#This Row],[Informe a data]],"mmmm"))</f>
        <v>SETEMBRO</v>
      </c>
      <c r="AC601" s="87" t="e">
        <f ca="1">_xlfn.CONCAT(Tabela1[[#This Row],[Selecione o Usuário]]," - ",TEXT(Tabela1[[#This Row],[Informe a data]],"dd-mm-aa"))</f>
        <v>#NAME?</v>
      </c>
    </row>
    <row r="602" spans="1:29">
      <c r="A602" s="89">
        <v>46280.31077546296</v>
      </c>
      <c r="B602" s="90" t="s">
        <v>1634</v>
      </c>
      <c r="C602" s="90" t="s">
        <v>44</v>
      </c>
      <c r="D602" s="90" t="s">
        <v>1636</v>
      </c>
      <c r="E602" s="91">
        <v>46273</v>
      </c>
      <c r="F602" s="92">
        <v>137727</v>
      </c>
      <c r="G602" s="93" t="s">
        <v>2074</v>
      </c>
      <c r="H602" s="92">
        <v>137804</v>
      </c>
      <c r="I602" s="93" t="s">
        <v>2075</v>
      </c>
      <c r="J602" s="90" t="s">
        <v>2076</v>
      </c>
      <c r="K602" s="94"/>
      <c r="L602" s="90" t="s">
        <v>60</v>
      </c>
      <c r="M602" s="94"/>
      <c r="N602" s="94"/>
      <c r="O602" s="94"/>
      <c r="P602" s="94"/>
      <c r="Q602" s="94"/>
      <c r="R602" s="94"/>
      <c r="S602" s="94"/>
      <c r="T602" s="94"/>
      <c r="U602" s="85">
        <f>(Tabela1[[#This Row],[Informe o KM final do dia]]-Tabela1[[#This Row],[Informe o KM inicial do dia]])-Tabela1[[#This Row],[Caso tenha rodado particular alguma parte do trajeto, informe o total de KM a ser deduzido.]]</f>
        <v>77</v>
      </c>
      <c r="V602" s="86">
        <f>IF(Tabela1[[#This Row],[Informe a data]]&lt;DATE(2026,3,16), Tabela1[[#This Row],[KM Rodado]]*1.1, Tabela1[[#This Row],[KM Rodado]]*1.23)</f>
        <v>94.71</v>
      </c>
      <c r="W602" s="86">
        <f>IFERROR(SUBSTITUTE(Tabela1[[#This Row],[Pedágio]],".",",",1)*1,0)</f>
        <v>0</v>
      </c>
      <c r="X602" s="86">
        <f>IFERROR(SUBSTITUTE(Tabela1[[#This Row],[Estacionamento]],".",",",1)*1,0)</f>
        <v>0</v>
      </c>
      <c r="Y602" s="86">
        <f>IFERROR(SUBSTITUTE(Tabela1[[#This Row],[Despesas Diversas 
(Jantar em viagem, Impressões, Etc)]],".",",",1)*1,0)</f>
        <v>0</v>
      </c>
      <c r="Z602" s="86">
        <f>IFERROR(SUBSTITUTE(Tabela1[[#This Row],[Hospedagem]],".",",",1)*1,0)</f>
        <v>0</v>
      </c>
      <c r="AA602" s="56" t="str">
        <f>IF(DAY(Tabela1[[#This Row],[Informe a data]])&lt;=15,"1ª Quinzena","2ª Quinzena")</f>
        <v>1ª Quinzena</v>
      </c>
      <c r="AB602" s="56" t="str">
        <f>UPPER(TEXT(Tabela1[[#This Row],[Informe a data]],"mmmm"))</f>
        <v>SETEMBRO</v>
      </c>
      <c r="AC602" s="87" t="e">
        <f ca="1">_xlfn.CONCAT(Tabela1[[#This Row],[Selecione o Usuário]]," - ",TEXT(Tabela1[[#This Row],[Informe a data]],"dd-mm-aa"))</f>
        <v>#NAME?</v>
      </c>
    </row>
    <row r="603" spans="1:29">
      <c r="A603" s="89">
        <v>46274.659490740742</v>
      </c>
      <c r="B603" s="90" t="s">
        <v>497</v>
      </c>
      <c r="C603" s="90" t="s">
        <v>498</v>
      </c>
      <c r="D603" s="90" t="s">
        <v>1530</v>
      </c>
      <c r="E603" s="91">
        <v>46274</v>
      </c>
      <c r="F603" s="92">
        <v>57684</v>
      </c>
      <c r="G603" s="93" t="s">
        <v>2014</v>
      </c>
      <c r="H603" s="92">
        <v>58079</v>
      </c>
      <c r="I603" s="93" t="s">
        <v>2015</v>
      </c>
      <c r="J603" s="90" t="s">
        <v>2016</v>
      </c>
      <c r="K603" s="94"/>
      <c r="L603" s="90" t="s">
        <v>61</v>
      </c>
      <c r="M603" s="90" t="s">
        <v>744</v>
      </c>
      <c r="N603" s="93" t="s">
        <v>2017</v>
      </c>
      <c r="O603" s="94"/>
      <c r="P603" s="94"/>
      <c r="Q603" s="94"/>
      <c r="R603" s="94"/>
      <c r="S603" s="94"/>
      <c r="T603" s="94"/>
      <c r="U603" s="85">
        <f>(Tabela1[[#This Row],[Informe o KM final do dia]]-Tabela1[[#This Row],[Informe o KM inicial do dia]])-Tabela1[[#This Row],[Caso tenha rodado particular alguma parte do trajeto, informe o total de KM a ser deduzido.]]</f>
        <v>395</v>
      </c>
      <c r="V603" s="86">
        <f>IF(Tabela1[[#This Row],[Informe a data]]&lt;DATE(2026,3,16), Tabela1[[#This Row],[KM Rodado]]*1.1, Tabela1[[#This Row],[KM Rodado]]*1.23)</f>
        <v>485.84999999999997</v>
      </c>
      <c r="W603" s="86">
        <f>IFERROR(SUBSTITUTE(Tabela1[[#This Row],[Pedágio]],".",",",1)*1,0)</f>
        <v>10.4</v>
      </c>
      <c r="X603" s="86">
        <f>IFERROR(SUBSTITUTE(Tabela1[[#This Row],[Estacionamento]],".",",",1)*1,0)</f>
        <v>0</v>
      </c>
      <c r="Y603" s="86">
        <f>IFERROR(SUBSTITUTE(Tabela1[[#This Row],[Despesas Diversas 
(Jantar em viagem, Impressões, Etc)]],".",",",1)*1,0)</f>
        <v>0</v>
      </c>
      <c r="Z603" s="86">
        <f>IFERROR(SUBSTITUTE(Tabela1[[#This Row],[Hospedagem]],".",",",1)*1,0)</f>
        <v>0</v>
      </c>
      <c r="AA603" s="56" t="str">
        <f>IF(DAY(Tabela1[[#This Row],[Informe a data]])&lt;=15,"1ª Quinzena","2ª Quinzena")</f>
        <v>1ª Quinzena</v>
      </c>
      <c r="AB603" s="56" t="str">
        <f>UPPER(TEXT(Tabela1[[#This Row],[Informe a data]],"mmmm"))</f>
        <v>SETEMBRO</v>
      </c>
      <c r="AC603" s="87" t="e">
        <f ca="1">_xlfn.CONCAT(Tabela1[[#This Row],[Selecione o Usuário]]," - ",TEXT(Tabela1[[#This Row],[Informe a data]],"dd-mm-aa"))</f>
        <v>#NAME?</v>
      </c>
    </row>
    <row r="604" spans="1:29">
      <c r="A604" s="49">
        <v>46274.840405092589</v>
      </c>
      <c r="B604" s="50" t="s">
        <v>176</v>
      </c>
      <c r="C604" s="50" t="s">
        <v>136</v>
      </c>
      <c r="D604" s="50" t="s">
        <v>2018</v>
      </c>
      <c r="E604" s="51">
        <v>46274</v>
      </c>
      <c r="F604" s="52">
        <v>135269</v>
      </c>
      <c r="G604" s="58" t="s">
        <v>2019</v>
      </c>
      <c r="H604" s="52">
        <v>135400</v>
      </c>
      <c r="I604" s="58" t="s">
        <v>2020</v>
      </c>
      <c r="J604" s="50" t="s">
        <v>2021</v>
      </c>
      <c r="K604" s="53"/>
      <c r="L604" s="50" t="s">
        <v>60</v>
      </c>
      <c r="M604" s="53"/>
      <c r="N604" s="53"/>
      <c r="O604" s="53"/>
      <c r="P604" s="53"/>
      <c r="Q604" s="53"/>
      <c r="R604" s="53"/>
      <c r="S604" s="53"/>
      <c r="T604" s="53"/>
      <c r="U604" s="85">
        <f>(Tabela1[[#This Row],[Informe o KM final do dia]]-Tabela1[[#This Row],[Informe o KM inicial do dia]])-Tabela1[[#This Row],[Caso tenha rodado particular alguma parte do trajeto, informe o total de KM a ser deduzido.]]</f>
        <v>131</v>
      </c>
      <c r="V604" s="86">
        <f>IF(Tabela1[[#This Row],[Informe a data]]&lt;DATE(2026,3,16), Tabela1[[#This Row],[KM Rodado]]*1.1, Tabela1[[#This Row],[KM Rodado]]*1.23)</f>
        <v>161.13</v>
      </c>
      <c r="W604" s="86">
        <f>IFERROR(SUBSTITUTE(Tabela1[[#This Row],[Pedágio]],".",",",1)*1,0)</f>
        <v>0</v>
      </c>
      <c r="X604" s="86">
        <f>IFERROR(SUBSTITUTE(Tabela1[[#This Row],[Estacionamento]],".",",",1)*1,0)</f>
        <v>0</v>
      </c>
      <c r="Y604" s="86">
        <f>IFERROR(SUBSTITUTE(Tabela1[[#This Row],[Despesas Diversas 
(Jantar em viagem, Impressões, Etc)]],".",",",1)*1,0)</f>
        <v>0</v>
      </c>
      <c r="Z604" s="86">
        <f>IFERROR(SUBSTITUTE(Tabela1[[#This Row],[Hospedagem]],".",",",1)*1,0)</f>
        <v>0</v>
      </c>
      <c r="AA604" s="56" t="str">
        <f>IF(DAY(Tabela1[[#This Row],[Informe a data]])&lt;=15,"1ª Quinzena","2ª Quinzena")</f>
        <v>1ª Quinzena</v>
      </c>
      <c r="AB604" s="56" t="str">
        <f>UPPER(TEXT(Tabela1[[#This Row],[Informe a data]],"mmmm"))</f>
        <v>SETEMBRO</v>
      </c>
      <c r="AC604" s="87" t="e">
        <f ca="1">_xlfn.CONCAT(Tabela1[[#This Row],[Selecione o Usuário]]," - ",TEXT(Tabela1[[#This Row],[Informe a data]],"dd-mm-aa"))</f>
        <v>#NAME?</v>
      </c>
    </row>
    <row r="605" spans="1:29">
      <c r="A605" s="89">
        <v>46275.515289351853</v>
      </c>
      <c r="B605" s="90" t="s">
        <v>131</v>
      </c>
      <c r="C605" s="90" t="s">
        <v>132</v>
      </c>
      <c r="D605" s="90" t="s">
        <v>133</v>
      </c>
      <c r="E605" s="91">
        <v>46274</v>
      </c>
      <c r="F605" s="92">
        <v>198693</v>
      </c>
      <c r="G605" s="93" t="s">
        <v>2022</v>
      </c>
      <c r="H605" s="92">
        <v>198766</v>
      </c>
      <c r="I605" s="93" t="s">
        <v>2023</v>
      </c>
      <c r="J605" s="90" t="s">
        <v>2024</v>
      </c>
      <c r="K605" s="94"/>
      <c r="L605" s="90" t="s">
        <v>60</v>
      </c>
      <c r="M605" s="94"/>
      <c r="N605" s="94"/>
      <c r="O605" s="94"/>
      <c r="P605" s="94"/>
      <c r="Q605" s="94"/>
      <c r="R605" s="94"/>
      <c r="S605" s="94"/>
      <c r="T605" s="94"/>
      <c r="U605" s="85">
        <f>(Tabela1[[#This Row],[Informe o KM final do dia]]-Tabela1[[#This Row],[Informe o KM inicial do dia]])-Tabela1[[#This Row],[Caso tenha rodado particular alguma parte do trajeto, informe o total de KM a ser deduzido.]]</f>
        <v>73</v>
      </c>
      <c r="V605" s="86">
        <f>IF(Tabela1[[#This Row],[Informe a data]]&lt;DATE(2026,3,16), Tabela1[[#This Row],[KM Rodado]]*1.1, Tabela1[[#This Row],[KM Rodado]]*1.23)</f>
        <v>89.789999999999992</v>
      </c>
      <c r="W605" s="86">
        <f>IFERROR(SUBSTITUTE(Tabela1[[#This Row],[Pedágio]],".",",",1)*1,0)</f>
        <v>0</v>
      </c>
      <c r="X605" s="86">
        <f>IFERROR(SUBSTITUTE(Tabela1[[#This Row],[Estacionamento]],".",",",1)*1,0)</f>
        <v>0</v>
      </c>
      <c r="Y605" s="86">
        <f>IFERROR(SUBSTITUTE(Tabela1[[#This Row],[Despesas Diversas 
(Jantar em viagem, Impressões, Etc)]],".",",",1)*1,0)</f>
        <v>0</v>
      </c>
      <c r="Z605" s="86">
        <f>IFERROR(SUBSTITUTE(Tabela1[[#This Row],[Hospedagem]],".",",",1)*1,0)</f>
        <v>0</v>
      </c>
      <c r="AA605" s="56" t="str">
        <f>IF(DAY(Tabela1[[#This Row],[Informe a data]])&lt;=15,"1ª Quinzena","2ª Quinzena")</f>
        <v>1ª Quinzena</v>
      </c>
      <c r="AB605" s="56" t="str">
        <f>UPPER(TEXT(Tabela1[[#This Row],[Informe a data]],"mmmm"))</f>
        <v>SETEMBRO</v>
      </c>
      <c r="AC605" s="87" t="e">
        <f ca="1">_xlfn.CONCAT(Tabela1[[#This Row],[Selecione o Usuário]]," - ",TEXT(Tabela1[[#This Row],[Informe a data]],"dd-mm-aa"))</f>
        <v>#NAME?</v>
      </c>
    </row>
    <row r="606" spans="1:29">
      <c r="A606" s="49">
        <v>46276.022893518515</v>
      </c>
      <c r="B606" s="50" t="s">
        <v>300</v>
      </c>
      <c r="C606" s="50" t="s">
        <v>250</v>
      </c>
      <c r="D606" s="50" t="s">
        <v>228</v>
      </c>
      <c r="E606" s="51">
        <v>46274</v>
      </c>
      <c r="F606" s="52">
        <v>138585</v>
      </c>
      <c r="G606" s="58" t="s">
        <v>2031</v>
      </c>
      <c r="H606" s="52">
        <v>138807</v>
      </c>
      <c r="I606" s="58" t="s">
        <v>2032</v>
      </c>
      <c r="J606" s="50" t="s">
        <v>2033</v>
      </c>
      <c r="K606" s="53"/>
      <c r="L606" s="50" t="s">
        <v>60</v>
      </c>
      <c r="M606" s="53"/>
      <c r="N606" s="53"/>
      <c r="O606" s="53"/>
      <c r="P606" s="53"/>
      <c r="Q606" s="53"/>
      <c r="R606" s="53"/>
      <c r="S606" s="53"/>
      <c r="T606" s="53"/>
      <c r="U606" s="85">
        <f>(Tabela1[[#This Row],[Informe o KM final do dia]]-Tabela1[[#This Row],[Informe o KM inicial do dia]])-Tabela1[[#This Row],[Caso tenha rodado particular alguma parte do trajeto, informe o total de KM a ser deduzido.]]</f>
        <v>222</v>
      </c>
      <c r="V606" s="86">
        <f>IF(Tabela1[[#This Row],[Informe a data]]&lt;DATE(2026,3,16), Tabela1[[#This Row],[KM Rodado]]*1.1, Tabela1[[#This Row],[KM Rodado]]*1.23)</f>
        <v>273.06</v>
      </c>
      <c r="W606" s="86">
        <f>IFERROR(SUBSTITUTE(Tabela1[[#This Row],[Pedágio]],".",",",1)*1,0)</f>
        <v>0</v>
      </c>
      <c r="X606" s="86">
        <f>IFERROR(SUBSTITUTE(Tabela1[[#This Row],[Estacionamento]],".",",",1)*1,0)</f>
        <v>0</v>
      </c>
      <c r="Y606" s="86">
        <f>IFERROR(SUBSTITUTE(Tabela1[[#This Row],[Despesas Diversas 
(Jantar em viagem, Impressões, Etc)]],".",",",1)*1,0)</f>
        <v>0</v>
      </c>
      <c r="Z606" s="86">
        <f>IFERROR(SUBSTITUTE(Tabela1[[#This Row],[Hospedagem]],".",",",1)*1,0)</f>
        <v>0</v>
      </c>
      <c r="AA606" s="56" t="str">
        <f>IF(DAY(Tabela1[[#This Row],[Informe a data]])&lt;=15,"1ª Quinzena","2ª Quinzena")</f>
        <v>1ª Quinzena</v>
      </c>
      <c r="AB606" s="56" t="str">
        <f>UPPER(TEXT(Tabela1[[#This Row],[Informe a data]],"mmmm"))</f>
        <v>SETEMBRO</v>
      </c>
      <c r="AC606" s="87" t="e">
        <f ca="1">_xlfn.CONCAT(Tabela1[[#This Row],[Selecione o Usuário]]," - ",TEXT(Tabela1[[#This Row],[Informe a data]],"dd-mm-aa"))</f>
        <v>#NAME?</v>
      </c>
    </row>
    <row r="607" spans="1:29">
      <c r="A607" s="89">
        <v>46279.383761574078</v>
      </c>
      <c r="B607" s="90" t="s">
        <v>1260</v>
      </c>
      <c r="C607" s="90" t="s">
        <v>505</v>
      </c>
      <c r="D607" s="90" t="s">
        <v>506</v>
      </c>
      <c r="E607" s="91">
        <v>46274</v>
      </c>
      <c r="F607" s="92">
        <v>110668</v>
      </c>
      <c r="G607" s="93" t="s">
        <v>2051</v>
      </c>
      <c r="H607" s="92">
        <v>110811</v>
      </c>
      <c r="I607" s="93" t="s">
        <v>2052</v>
      </c>
      <c r="J607" s="90" t="s">
        <v>2053</v>
      </c>
      <c r="K607" s="94"/>
      <c r="L607" s="90" t="s">
        <v>61</v>
      </c>
      <c r="M607" s="90" t="s">
        <v>128</v>
      </c>
      <c r="N607" s="90" t="s">
        <v>2054</v>
      </c>
      <c r="O607" s="94"/>
      <c r="P607" s="94"/>
      <c r="Q607" s="94"/>
      <c r="R607" s="94"/>
      <c r="S607" s="94"/>
      <c r="T607" s="94"/>
      <c r="U607" s="85">
        <f>(Tabela1[[#This Row],[Informe o KM final do dia]]-Tabela1[[#This Row],[Informe o KM inicial do dia]])-Tabela1[[#This Row],[Caso tenha rodado particular alguma parte do trajeto, informe o total de KM a ser deduzido.]]</f>
        <v>143</v>
      </c>
      <c r="V607" s="86">
        <f>IF(Tabela1[[#This Row],[Informe a data]]&lt;DATE(2026,3,16), Tabela1[[#This Row],[KM Rodado]]*1.1, Tabela1[[#This Row],[KM Rodado]]*1.23)</f>
        <v>175.89</v>
      </c>
      <c r="W607" s="86">
        <f>IFERROR(SUBSTITUTE(Tabela1[[#This Row],[Pedágio]],".",",",1)*1,0)</f>
        <v>11.4</v>
      </c>
      <c r="X607" s="86">
        <f>IFERROR(SUBSTITUTE(Tabela1[[#This Row],[Estacionamento]],".",",",1)*1,0)</f>
        <v>0</v>
      </c>
      <c r="Y607" s="86">
        <f>IFERROR(SUBSTITUTE(Tabela1[[#This Row],[Despesas Diversas 
(Jantar em viagem, Impressões, Etc)]],".",",",1)*1,0)</f>
        <v>0</v>
      </c>
      <c r="Z607" s="86">
        <f>IFERROR(SUBSTITUTE(Tabela1[[#This Row],[Hospedagem]],".",",",1)*1,0)</f>
        <v>0</v>
      </c>
      <c r="AA607" s="56" t="str">
        <f>IF(DAY(Tabela1[[#This Row],[Informe a data]])&lt;=15,"1ª Quinzena","2ª Quinzena")</f>
        <v>1ª Quinzena</v>
      </c>
      <c r="AB607" s="56" t="str">
        <f>UPPER(TEXT(Tabela1[[#This Row],[Informe a data]],"mmmm"))</f>
        <v>SETEMBRO</v>
      </c>
      <c r="AC607" s="87" t="e">
        <f ca="1">_xlfn.CONCAT(Tabela1[[#This Row],[Selecione o Usuário]]," - ",TEXT(Tabela1[[#This Row],[Informe a data]],"dd-mm-aa"))</f>
        <v>#NAME?</v>
      </c>
    </row>
    <row r="608" spans="1:29">
      <c r="A608" s="49">
        <v>46280.313356481478</v>
      </c>
      <c r="B608" s="50" t="s">
        <v>1634</v>
      </c>
      <c r="C608" s="50" t="s">
        <v>44</v>
      </c>
      <c r="D608" s="50" t="s">
        <v>1636</v>
      </c>
      <c r="E608" s="51">
        <v>46274</v>
      </c>
      <c r="F608" s="52">
        <v>137804</v>
      </c>
      <c r="G608" s="58" t="s">
        <v>2077</v>
      </c>
      <c r="H608" s="52">
        <v>137852</v>
      </c>
      <c r="I608" s="58" t="s">
        <v>2078</v>
      </c>
      <c r="J608" s="50" t="s">
        <v>2079</v>
      </c>
      <c r="K608" s="53"/>
      <c r="L608" s="50" t="s">
        <v>60</v>
      </c>
      <c r="M608" s="53"/>
      <c r="N608" s="53"/>
      <c r="O608" s="53"/>
      <c r="P608" s="53"/>
      <c r="Q608" s="53"/>
      <c r="R608" s="53"/>
      <c r="S608" s="53"/>
      <c r="T608" s="53"/>
      <c r="U608" s="85">
        <f>(Tabela1[[#This Row],[Informe o KM final do dia]]-Tabela1[[#This Row],[Informe o KM inicial do dia]])-Tabela1[[#This Row],[Caso tenha rodado particular alguma parte do trajeto, informe o total de KM a ser deduzido.]]</f>
        <v>48</v>
      </c>
      <c r="V608" s="86">
        <f>IF(Tabela1[[#This Row],[Informe a data]]&lt;DATE(2026,3,16), Tabela1[[#This Row],[KM Rodado]]*1.1, Tabela1[[#This Row],[KM Rodado]]*1.23)</f>
        <v>59.04</v>
      </c>
      <c r="W608" s="86">
        <f>IFERROR(SUBSTITUTE(Tabela1[[#This Row],[Pedágio]],".",",",1)*1,0)</f>
        <v>0</v>
      </c>
      <c r="X608" s="86">
        <f>IFERROR(SUBSTITUTE(Tabela1[[#This Row],[Estacionamento]],".",",",1)*1,0)</f>
        <v>0</v>
      </c>
      <c r="Y608" s="86">
        <f>IFERROR(SUBSTITUTE(Tabela1[[#This Row],[Despesas Diversas 
(Jantar em viagem, Impressões, Etc)]],".",",",1)*1,0)</f>
        <v>0</v>
      </c>
      <c r="Z608" s="86">
        <f>IFERROR(SUBSTITUTE(Tabela1[[#This Row],[Hospedagem]],".",",",1)*1,0)</f>
        <v>0</v>
      </c>
      <c r="AA608" s="56" t="str">
        <f>IF(DAY(Tabela1[[#This Row],[Informe a data]])&lt;=15,"1ª Quinzena","2ª Quinzena")</f>
        <v>1ª Quinzena</v>
      </c>
      <c r="AB608" s="56" t="str">
        <f>UPPER(TEXT(Tabela1[[#This Row],[Informe a data]],"mmmm"))</f>
        <v>SETEMBRO</v>
      </c>
      <c r="AC608" s="87" t="e">
        <f ca="1">_xlfn.CONCAT(Tabela1[[#This Row],[Selecione o Usuário]]," - ",TEXT(Tabela1[[#This Row],[Informe a data]],"dd-mm-aa"))</f>
        <v>#NAME?</v>
      </c>
    </row>
    <row r="609" spans="1:29">
      <c r="A609" s="89">
        <v>46276.026041666664</v>
      </c>
      <c r="B609" s="90" t="s">
        <v>300</v>
      </c>
      <c r="C609" s="90" t="s">
        <v>250</v>
      </c>
      <c r="D609" s="90" t="s">
        <v>228</v>
      </c>
      <c r="E609" s="91">
        <v>46275</v>
      </c>
      <c r="F609" s="92">
        <v>138807</v>
      </c>
      <c r="G609" s="93" t="s">
        <v>2034</v>
      </c>
      <c r="H609" s="92">
        <v>138941</v>
      </c>
      <c r="I609" s="93" t="s">
        <v>2035</v>
      </c>
      <c r="J609" s="90" t="s">
        <v>2036</v>
      </c>
      <c r="K609" s="94"/>
      <c r="L609" s="90" t="s">
        <v>60</v>
      </c>
      <c r="M609" s="94"/>
      <c r="N609" s="94"/>
      <c r="O609" s="94"/>
      <c r="P609" s="94"/>
      <c r="Q609" s="94"/>
      <c r="R609" s="94"/>
      <c r="S609" s="94"/>
      <c r="T609" s="94"/>
      <c r="U609" s="85">
        <f>(Tabela1[[#This Row],[Informe o KM final do dia]]-Tabela1[[#This Row],[Informe o KM inicial do dia]])-Tabela1[[#This Row],[Caso tenha rodado particular alguma parte do trajeto, informe o total de KM a ser deduzido.]]</f>
        <v>134</v>
      </c>
      <c r="V609" s="86">
        <f>IF(Tabela1[[#This Row],[Informe a data]]&lt;DATE(2026,3,16), Tabela1[[#This Row],[KM Rodado]]*1.1, Tabela1[[#This Row],[KM Rodado]]*1.23)</f>
        <v>164.82</v>
      </c>
      <c r="W609" s="86">
        <f>IFERROR(SUBSTITUTE(Tabela1[[#This Row],[Pedágio]],".",",",1)*1,0)</f>
        <v>0</v>
      </c>
      <c r="X609" s="86">
        <f>IFERROR(SUBSTITUTE(Tabela1[[#This Row],[Estacionamento]],".",",",1)*1,0)</f>
        <v>0</v>
      </c>
      <c r="Y609" s="86">
        <f>IFERROR(SUBSTITUTE(Tabela1[[#This Row],[Despesas Diversas 
(Jantar em viagem, Impressões, Etc)]],".",",",1)*1,0)</f>
        <v>0</v>
      </c>
      <c r="Z609" s="86">
        <f>IFERROR(SUBSTITUTE(Tabela1[[#This Row],[Hospedagem]],".",",",1)*1,0)</f>
        <v>0</v>
      </c>
      <c r="AA609" s="56" t="str">
        <f>IF(DAY(Tabela1[[#This Row],[Informe a data]])&lt;=15,"1ª Quinzena","2ª Quinzena")</f>
        <v>1ª Quinzena</v>
      </c>
      <c r="AB609" s="56" t="str">
        <f>UPPER(TEXT(Tabela1[[#This Row],[Informe a data]],"mmmm"))</f>
        <v>SETEMBRO</v>
      </c>
      <c r="AC609" s="87" t="e">
        <f ca="1">_xlfn.CONCAT(Tabela1[[#This Row],[Selecione o Usuário]]," - ",TEXT(Tabela1[[#This Row],[Informe a data]],"dd-mm-aa"))</f>
        <v>#NAME?</v>
      </c>
    </row>
    <row r="610" spans="1:29">
      <c r="A610" s="49">
        <v>46279.38521990741</v>
      </c>
      <c r="B610" s="50" t="s">
        <v>504</v>
      </c>
      <c r="C610" s="50" t="s">
        <v>505</v>
      </c>
      <c r="D610" s="50" t="s">
        <v>506</v>
      </c>
      <c r="E610" s="51">
        <v>46275</v>
      </c>
      <c r="F610" s="52">
        <v>110812</v>
      </c>
      <c r="G610" s="58" t="s">
        <v>2055</v>
      </c>
      <c r="H610" s="52">
        <v>110916</v>
      </c>
      <c r="I610" s="58" t="s">
        <v>2056</v>
      </c>
      <c r="J610" s="50" t="s">
        <v>2057</v>
      </c>
      <c r="K610" s="53"/>
      <c r="L610" s="50" t="s">
        <v>60</v>
      </c>
      <c r="M610" s="53"/>
      <c r="N610" s="53"/>
      <c r="O610" s="53"/>
      <c r="P610" s="53"/>
      <c r="Q610" s="53"/>
      <c r="R610" s="53"/>
      <c r="S610" s="53"/>
      <c r="T610" s="53"/>
      <c r="U610" s="85">
        <f>(Tabela1[[#This Row],[Informe o KM final do dia]]-Tabela1[[#This Row],[Informe o KM inicial do dia]])-Tabela1[[#This Row],[Caso tenha rodado particular alguma parte do trajeto, informe o total de KM a ser deduzido.]]</f>
        <v>104</v>
      </c>
      <c r="V610" s="86">
        <f>IF(Tabela1[[#This Row],[Informe a data]]&lt;DATE(2026,3,16), Tabela1[[#This Row],[KM Rodado]]*1.1, Tabela1[[#This Row],[KM Rodado]]*1.23)</f>
        <v>127.92</v>
      </c>
      <c r="W610" s="86">
        <f>IFERROR(SUBSTITUTE(Tabela1[[#This Row],[Pedágio]],".",",",1)*1,0)</f>
        <v>0</v>
      </c>
      <c r="X610" s="86">
        <f>IFERROR(SUBSTITUTE(Tabela1[[#This Row],[Estacionamento]],".",",",1)*1,0)</f>
        <v>0</v>
      </c>
      <c r="Y610" s="86">
        <f>IFERROR(SUBSTITUTE(Tabela1[[#This Row],[Despesas Diversas 
(Jantar em viagem, Impressões, Etc)]],".",",",1)*1,0)</f>
        <v>0</v>
      </c>
      <c r="Z610" s="86">
        <f>IFERROR(SUBSTITUTE(Tabela1[[#This Row],[Hospedagem]],".",",",1)*1,0)</f>
        <v>0</v>
      </c>
      <c r="AA610" s="56" t="str">
        <f>IF(DAY(Tabela1[[#This Row],[Informe a data]])&lt;=15,"1ª Quinzena","2ª Quinzena")</f>
        <v>1ª Quinzena</v>
      </c>
      <c r="AB610" s="56" t="str">
        <f>UPPER(TEXT(Tabela1[[#This Row],[Informe a data]],"mmmm"))</f>
        <v>SETEMBRO</v>
      </c>
      <c r="AC610" s="87" t="e">
        <f ca="1">_xlfn.CONCAT(Tabela1[[#This Row],[Selecione o Usuário]]," - ",TEXT(Tabela1[[#This Row],[Informe a data]],"dd-mm-aa"))</f>
        <v>#NAME?</v>
      </c>
    </row>
    <row r="611" spans="1:29">
      <c r="A611" s="49">
        <v>46276.809293981481</v>
      </c>
      <c r="B611" s="50" t="s">
        <v>1605</v>
      </c>
      <c r="C611" s="50" t="s">
        <v>1696</v>
      </c>
      <c r="D611" s="50" t="s">
        <v>1606</v>
      </c>
      <c r="E611" s="51">
        <v>46276</v>
      </c>
      <c r="F611" s="52">
        <v>122529</v>
      </c>
      <c r="G611" s="58" t="s">
        <v>2037</v>
      </c>
      <c r="H611" s="52">
        <v>122720</v>
      </c>
      <c r="I611" s="58" t="s">
        <v>2038</v>
      </c>
      <c r="J611" s="50" t="s">
        <v>2039</v>
      </c>
      <c r="K611" s="53"/>
      <c r="L611" s="50" t="s">
        <v>60</v>
      </c>
      <c r="M611" s="53"/>
      <c r="N611" s="53"/>
      <c r="O611" s="53"/>
      <c r="P611" s="53"/>
      <c r="Q611" s="53"/>
      <c r="R611" s="53"/>
      <c r="S611" s="53"/>
      <c r="T611" s="53"/>
      <c r="U611" s="85">
        <f>(Tabela1[[#This Row],[Informe o KM final do dia]]-Tabela1[[#This Row],[Informe o KM inicial do dia]])-Tabela1[[#This Row],[Caso tenha rodado particular alguma parte do trajeto, informe o total de KM a ser deduzido.]]</f>
        <v>191</v>
      </c>
      <c r="V611" s="86">
        <f>IF(Tabela1[[#This Row],[Informe a data]]&lt;DATE(2026,3,16), Tabela1[[#This Row],[KM Rodado]]*1.1, Tabela1[[#This Row],[KM Rodado]]*1.23)</f>
        <v>234.93</v>
      </c>
      <c r="W611" s="86">
        <f>IFERROR(SUBSTITUTE(Tabela1[[#This Row],[Pedágio]],".",",",1)*1,0)</f>
        <v>0</v>
      </c>
      <c r="X611" s="86">
        <f>IFERROR(SUBSTITUTE(Tabela1[[#This Row],[Estacionamento]],".",",",1)*1,0)</f>
        <v>0</v>
      </c>
      <c r="Y611" s="86">
        <f>IFERROR(SUBSTITUTE(Tabela1[[#This Row],[Despesas Diversas 
(Jantar em viagem, Impressões, Etc)]],".",",",1)*1,0)</f>
        <v>0</v>
      </c>
      <c r="Z611" s="86">
        <f>IFERROR(SUBSTITUTE(Tabela1[[#This Row],[Hospedagem]],".",",",1)*1,0)</f>
        <v>0</v>
      </c>
      <c r="AA611" s="56" t="str">
        <f>IF(DAY(Tabela1[[#This Row],[Informe a data]])&lt;=15,"1ª Quinzena","2ª Quinzena")</f>
        <v>1ª Quinzena</v>
      </c>
      <c r="AB611" s="56" t="str">
        <f>UPPER(TEXT(Tabela1[[#This Row],[Informe a data]],"mmmm"))</f>
        <v>SETEMBRO</v>
      </c>
      <c r="AC611" s="87" t="e">
        <f ca="1">_xlfn.CONCAT(Tabela1[[#This Row],[Selecione o Usuário]]," - ",TEXT(Tabela1[[#This Row],[Informe a data]],"dd-mm-aa"))</f>
        <v>#NAME?</v>
      </c>
    </row>
    <row r="612" spans="1:29">
      <c r="A612" s="89">
        <v>46279.360567129632</v>
      </c>
      <c r="B612" s="90" t="s">
        <v>131</v>
      </c>
      <c r="C612" s="90" t="s">
        <v>132</v>
      </c>
      <c r="D612" s="90" t="s">
        <v>133</v>
      </c>
      <c r="E612" s="91">
        <v>46276</v>
      </c>
      <c r="F612" s="92">
        <v>198766</v>
      </c>
      <c r="G612" s="93" t="s">
        <v>2040</v>
      </c>
      <c r="H612" s="92">
        <v>198841</v>
      </c>
      <c r="I612" s="93" t="s">
        <v>2041</v>
      </c>
      <c r="J612" s="90" t="s">
        <v>2042</v>
      </c>
      <c r="K612" s="94"/>
      <c r="L612" s="90" t="s">
        <v>60</v>
      </c>
      <c r="M612" s="94"/>
      <c r="N612" s="94"/>
      <c r="O612" s="94"/>
      <c r="P612" s="94"/>
      <c r="Q612" s="94"/>
      <c r="R612" s="94"/>
      <c r="S612" s="94"/>
      <c r="T612" s="94"/>
      <c r="U612" s="85">
        <f>(Tabela1[[#This Row],[Informe o KM final do dia]]-Tabela1[[#This Row],[Informe o KM inicial do dia]])-Tabela1[[#This Row],[Caso tenha rodado particular alguma parte do trajeto, informe o total de KM a ser deduzido.]]</f>
        <v>75</v>
      </c>
      <c r="V612" s="86">
        <f>IF(Tabela1[[#This Row],[Informe a data]]&lt;DATE(2026,3,16), Tabela1[[#This Row],[KM Rodado]]*1.1, Tabela1[[#This Row],[KM Rodado]]*1.23)</f>
        <v>92.25</v>
      </c>
      <c r="W612" s="86">
        <f>IFERROR(SUBSTITUTE(Tabela1[[#This Row],[Pedágio]],".",",",1)*1,0)</f>
        <v>0</v>
      </c>
      <c r="X612" s="86">
        <f>IFERROR(SUBSTITUTE(Tabela1[[#This Row],[Estacionamento]],".",",",1)*1,0)</f>
        <v>0</v>
      </c>
      <c r="Y612" s="86">
        <f>IFERROR(SUBSTITUTE(Tabela1[[#This Row],[Despesas Diversas 
(Jantar em viagem, Impressões, Etc)]],".",",",1)*1,0)</f>
        <v>0</v>
      </c>
      <c r="Z612" s="86">
        <f>IFERROR(SUBSTITUTE(Tabela1[[#This Row],[Hospedagem]],".",",",1)*1,0)</f>
        <v>0</v>
      </c>
      <c r="AA612" s="56" t="str">
        <f>IF(DAY(Tabela1[[#This Row],[Informe a data]])&lt;=15,"1ª Quinzena","2ª Quinzena")</f>
        <v>1ª Quinzena</v>
      </c>
      <c r="AB612" s="56" t="str">
        <f>UPPER(TEXT(Tabela1[[#This Row],[Informe a data]],"mmmm"))</f>
        <v>SETEMBRO</v>
      </c>
      <c r="AC612" s="87" t="e">
        <f ca="1">_xlfn.CONCAT(Tabela1[[#This Row],[Selecione o Usuário]]," - ",TEXT(Tabela1[[#This Row],[Informe a data]],"dd-mm-aa"))</f>
        <v>#NAME?</v>
      </c>
    </row>
    <row r="613" spans="1:29">
      <c r="A613" s="89">
        <v>46279.444097222222</v>
      </c>
      <c r="B613" s="90" t="s">
        <v>176</v>
      </c>
      <c r="C613" s="90" t="s">
        <v>136</v>
      </c>
      <c r="D613" s="90" t="s">
        <v>2018</v>
      </c>
      <c r="E613" s="91">
        <v>46276</v>
      </c>
      <c r="F613" s="92">
        <v>135511</v>
      </c>
      <c r="G613" s="93" t="s">
        <v>2058</v>
      </c>
      <c r="H613" s="92">
        <v>135555</v>
      </c>
      <c r="I613" s="93" t="s">
        <v>2059</v>
      </c>
      <c r="J613" s="90" t="s">
        <v>2060</v>
      </c>
      <c r="K613" s="94"/>
      <c r="L613" s="90" t="s">
        <v>60</v>
      </c>
      <c r="M613" s="94"/>
      <c r="N613" s="94"/>
      <c r="O613" s="94"/>
      <c r="P613" s="94"/>
      <c r="Q613" s="94"/>
      <c r="R613" s="94"/>
      <c r="S613" s="94"/>
      <c r="T613" s="94"/>
      <c r="U613" s="85">
        <f>(Tabela1[[#This Row],[Informe o KM final do dia]]-Tabela1[[#This Row],[Informe o KM inicial do dia]])-Tabela1[[#This Row],[Caso tenha rodado particular alguma parte do trajeto, informe o total de KM a ser deduzido.]]</f>
        <v>44</v>
      </c>
      <c r="V613" s="86">
        <f>IF(Tabela1[[#This Row],[Informe a data]]&lt;DATE(2026,3,16), Tabela1[[#This Row],[KM Rodado]]*1.1, Tabela1[[#This Row],[KM Rodado]]*1.23)</f>
        <v>54.12</v>
      </c>
      <c r="W613" s="86">
        <f>IFERROR(SUBSTITUTE(Tabela1[[#This Row],[Pedágio]],".",",",1)*1,0)</f>
        <v>0</v>
      </c>
      <c r="X613" s="86">
        <f>IFERROR(SUBSTITUTE(Tabela1[[#This Row],[Estacionamento]],".",",",1)*1,0)</f>
        <v>0</v>
      </c>
      <c r="Y613" s="86">
        <f>IFERROR(SUBSTITUTE(Tabela1[[#This Row],[Despesas Diversas 
(Jantar em viagem, Impressões, Etc)]],".",",",1)*1,0)</f>
        <v>0</v>
      </c>
      <c r="Z613" s="86">
        <f>IFERROR(SUBSTITUTE(Tabela1[[#This Row],[Hospedagem]],".",",",1)*1,0)</f>
        <v>0</v>
      </c>
      <c r="AA613" s="56" t="str">
        <f>IF(DAY(Tabela1[[#This Row],[Informe a data]])&lt;=15,"1ª Quinzena","2ª Quinzena")</f>
        <v>1ª Quinzena</v>
      </c>
      <c r="AB613" s="56" t="str">
        <f>UPPER(TEXT(Tabela1[[#This Row],[Informe a data]],"mmmm"))</f>
        <v>SETEMBRO</v>
      </c>
      <c r="AC613" s="87" t="e">
        <f ca="1">_xlfn.CONCAT(Tabela1[[#This Row],[Selecione o Usuário]]," - ",TEXT(Tabela1[[#This Row],[Informe a data]],"dd-mm-aa"))</f>
        <v>#NAME?</v>
      </c>
    </row>
    <row r="614" spans="1:29">
      <c r="A614" s="49">
        <v>46279.361712962964</v>
      </c>
      <c r="B614" s="50" t="s">
        <v>131</v>
      </c>
      <c r="C614" s="50" t="s">
        <v>132</v>
      </c>
      <c r="D614" s="50" t="s">
        <v>133</v>
      </c>
      <c r="E614" s="51">
        <v>46277</v>
      </c>
      <c r="F614" s="52">
        <v>198841</v>
      </c>
      <c r="G614" s="58" t="s">
        <v>2043</v>
      </c>
      <c r="H614" s="52">
        <v>198876</v>
      </c>
      <c r="I614" s="58" t="s">
        <v>2044</v>
      </c>
      <c r="J614" s="50" t="s">
        <v>2045</v>
      </c>
      <c r="K614" s="53"/>
      <c r="L614" s="50" t="s">
        <v>60</v>
      </c>
      <c r="M614" s="53"/>
      <c r="N614" s="53"/>
      <c r="O614" s="53"/>
      <c r="P614" s="53"/>
      <c r="Q614" s="53"/>
      <c r="R614" s="53"/>
      <c r="S614" s="53"/>
      <c r="T614" s="53"/>
      <c r="U614" s="85">
        <f>(Tabela1[[#This Row],[Informe o KM final do dia]]-Tabela1[[#This Row],[Informe o KM inicial do dia]])-Tabela1[[#This Row],[Caso tenha rodado particular alguma parte do trajeto, informe o total de KM a ser deduzido.]]</f>
        <v>35</v>
      </c>
      <c r="V614" s="86">
        <f>IF(Tabela1[[#This Row],[Informe a data]]&lt;DATE(2026,3,16), Tabela1[[#This Row],[KM Rodado]]*1.1, Tabela1[[#This Row],[KM Rodado]]*1.23)</f>
        <v>43.05</v>
      </c>
      <c r="W614" s="86">
        <f>IFERROR(SUBSTITUTE(Tabela1[[#This Row],[Pedágio]],".",",",1)*1,0)</f>
        <v>0</v>
      </c>
      <c r="X614" s="86">
        <f>IFERROR(SUBSTITUTE(Tabela1[[#This Row],[Estacionamento]],".",",",1)*1,0)</f>
        <v>0</v>
      </c>
      <c r="Y614" s="86">
        <f>IFERROR(SUBSTITUTE(Tabela1[[#This Row],[Despesas Diversas 
(Jantar em viagem, Impressões, Etc)]],".",",",1)*1,0)</f>
        <v>0</v>
      </c>
      <c r="Z614" s="86">
        <f>IFERROR(SUBSTITUTE(Tabela1[[#This Row],[Hospedagem]],".",",",1)*1,0)</f>
        <v>0</v>
      </c>
      <c r="AA614" s="56" t="str">
        <f>IF(DAY(Tabela1[[#This Row],[Informe a data]])&lt;=15,"1ª Quinzena","2ª Quinzena")</f>
        <v>1ª Quinzena</v>
      </c>
      <c r="AB614" s="56" t="str">
        <f>UPPER(TEXT(Tabela1[[#This Row],[Informe a data]],"mmmm"))</f>
        <v>SETEMBRO</v>
      </c>
      <c r="AC614" s="87" t="e">
        <f ca="1">_xlfn.CONCAT(Tabela1[[#This Row],[Selecione o Usuário]]," - ",TEXT(Tabela1[[#This Row],[Informe a data]],"dd-mm-aa"))</f>
        <v>#NAME?</v>
      </c>
    </row>
    <row r="615" spans="1:29">
      <c r="A615" s="89">
        <v>46279.853645833333</v>
      </c>
      <c r="B615" s="90" t="s">
        <v>176</v>
      </c>
      <c r="C615" s="90" t="s">
        <v>136</v>
      </c>
      <c r="D615" s="90" t="s">
        <v>2018</v>
      </c>
      <c r="E615" s="91">
        <v>46279</v>
      </c>
      <c r="F615" s="92">
        <v>135669</v>
      </c>
      <c r="G615" s="93" t="s">
        <v>2061</v>
      </c>
      <c r="H615" s="92">
        <v>135703</v>
      </c>
      <c r="I615" s="93" t="s">
        <v>2062</v>
      </c>
      <c r="J615" s="90" t="s">
        <v>2063</v>
      </c>
      <c r="K615" s="94"/>
      <c r="L615" s="90" t="s">
        <v>60</v>
      </c>
      <c r="M615" s="94"/>
      <c r="N615" s="94"/>
      <c r="O615" s="94"/>
      <c r="P615" s="94"/>
      <c r="Q615" s="94"/>
      <c r="R615" s="94"/>
      <c r="S615" s="94"/>
      <c r="T615" s="94"/>
      <c r="U615" s="85">
        <f>(Tabela1[[#This Row],[Informe o KM final do dia]]-Tabela1[[#This Row],[Informe o KM inicial do dia]])-Tabela1[[#This Row],[Caso tenha rodado particular alguma parte do trajeto, informe o total de KM a ser deduzido.]]</f>
        <v>34</v>
      </c>
      <c r="V615" s="86">
        <f>IF(Tabela1[[#This Row],[Informe a data]]&lt;DATE(2026,3,16), Tabela1[[#This Row],[KM Rodado]]*1.1, Tabela1[[#This Row],[KM Rodado]]*1.23)</f>
        <v>41.82</v>
      </c>
      <c r="W615" s="86">
        <f>IFERROR(SUBSTITUTE(Tabela1[[#This Row],[Pedágio]],".",",",1)*1,0)</f>
        <v>0</v>
      </c>
      <c r="X615" s="86">
        <f>IFERROR(SUBSTITUTE(Tabela1[[#This Row],[Estacionamento]],".",",",1)*1,0)</f>
        <v>0</v>
      </c>
      <c r="Y615" s="86">
        <f>IFERROR(SUBSTITUTE(Tabela1[[#This Row],[Despesas Diversas 
(Jantar em viagem, Impressões, Etc)]],".",",",1)*1,0)</f>
        <v>0</v>
      </c>
      <c r="Z615" s="86">
        <f>IFERROR(SUBSTITUTE(Tabela1[[#This Row],[Hospedagem]],".",",",1)*1,0)</f>
        <v>0</v>
      </c>
      <c r="AA615" s="56" t="str">
        <f>IF(DAY(Tabela1[[#This Row],[Informe a data]])&lt;=15,"1ª Quinzena","2ª Quinzena")</f>
        <v>1ª Quinzena</v>
      </c>
      <c r="AB615" s="56" t="str">
        <f>UPPER(TEXT(Tabela1[[#This Row],[Informe a data]],"mmmm"))</f>
        <v>SETEMBRO</v>
      </c>
      <c r="AC615" s="87" t="e">
        <f ca="1">_xlfn.CONCAT(Tabela1[[#This Row],[Selecione o Usuário]]," - ",TEXT(Tabela1[[#This Row],[Informe a data]],"dd-mm-aa"))</f>
        <v>#NAME?</v>
      </c>
    </row>
    <row r="616" spans="1:29">
      <c r="A616" s="89">
        <v>46280.608958333331</v>
      </c>
      <c r="B616" s="90" t="s">
        <v>2080</v>
      </c>
      <c r="C616" s="90" t="s">
        <v>134</v>
      </c>
      <c r="D616" s="90" t="s">
        <v>209</v>
      </c>
      <c r="E616" s="91">
        <v>46280</v>
      </c>
      <c r="F616" s="92">
        <v>178367</v>
      </c>
      <c r="G616" s="93" t="s">
        <v>2081</v>
      </c>
      <c r="H616" s="92">
        <v>178622</v>
      </c>
      <c r="I616" s="93" t="s">
        <v>2082</v>
      </c>
      <c r="J616" s="90" t="s">
        <v>2083</v>
      </c>
      <c r="K616" s="94"/>
      <c r="L616" s="90" t="s">
        <v>60</v>
      </c>
      <c r="M616" s="94"/>
      <c r="N616" s="94"/>
      <c r="O616" s="94"/>
      <c r="P616" s="94"/>
      <c r="Q616" s="94"/>
      <c r="R616" s="94"/>
      <c r="S616" s="94"/>
      <c r="T616" s="94"/>
      <c r="U616" s="85">
        <f>(Tabela1[[#This Row],[Informe o KM final do dia]]-Tabela1[[#This Row],[Informe o KM inicial do dia]])-Tabela1[[#This Row],[Caso tenha rodado particular alguma parte do trajeto, informe o total de KM a ser deduzido.]]</f>
        <v>255</v>
      </c>
      <c r="V616" s="86">
        <f>IF(Tabela1[[#This Row],[Informe a data]]&lt;DATE(2026,3,16), Tabela1[[#This Row],[KM Rodado]]*1.1, Tabela1[[#This Row],[KM Rodado]]*1.23)</f>
        <v>313.64999999999998</v>
      </c>
      <c r="W616" s="86">
        <f>IFERROR(SUBSTITUTE(Tabela1[[#This Row],[Pedágio]],".",",",1)*1,0)</f>
        <v>0</v>
      </c>
      <c r="X616" s="86">
        <f>IFERROR(SUBSTITUTE(Tabela1[[#This Row],[Estacionamento]],".",",",1)*1,0)</f>
        <v>0</v>
      </c>
      <c r="Y616" s="86">
        <f>IFERROR(SUBSTITUTE(Tabela1[[#This Row],[Despesas Diversas 
(Jantar em viagem, Impressões, Etc)]],".",",",1)*1,0)</f>
        <v>0</v>
      </c>
      <c r="Z616" s="86">
        <f>IFERROR(SUBSTITUTE(Tabela1[[#This Row],[Hospedagem]],".",",",1)*1,0)</f>
        <v>0</v>
      </c>
      <c r="AA616" s="56" t="str">
        <f>IF(DAY(Tabela1[[#This Row],[Informe a data]])&lt;=15,"1ª Quinzena","2ª Quinzena")</f>
        <v>1ª Quinzena</v>
      </c>
      <c r="AB616" s="56" t="str">
        <f>UPPER(TEXT(Tabela1[[#This Row],[Informe a data]],"mmmm"))</f>
        <v>SETEMBRO</v>
      </c>
      <c r="AC616" s="87" t="e">
        <f ca="1">_xlfn.CONCAT(Tabela1[[#This Row],[Selecione o Usuário]]," - ",TEXT(Tabela1[[#This Row],[Informe a data]],"dd-mm-aa"))</f>
        <v>#NAME?</v>
      </c>
    </row>
    <row r="617" spans="1:29">
      <c r="A617" s="49">
        <v>46280.708391203705</v>
      </c>
      <c r="B617" s="50" t="s">
        <v>1260</v>
      </c>
      <c r="C617" s="50" t="s">
        <v>505</v>
      </c>
      <c r="D617" s="50" t="s">
        <v>551</v>
      </c>
      <c r="E617" s="51">
        <v>46280</v>
      </c>
      <c r="F617" s="52">
        <v>110965</v>
      </c>
      <c r="G617" s="58" t="s">
        <v>2084</v>
      </c>
      <c r="H617" s="52">
        <v>111077</v>
      </c>
      <c r="I617" s="58" t="s">
        <v>2085</v>
      </c>
      <c r="J617" s="50" t="s">
        <v>2086</v>
      </c>
      <c r="K617" s="53"/>
      <c r="L617" s="50" t="s">
        <v>60</v>
      </c>
      <c r="M617" s="53"/>
      <c r="N617" s="53"/>
      <c r="O617" s="53"/>
      <c r="P617" s="53"/>
      <c r="Q617" s="53"/>
      <c r="R617" s="53"/>
      <c r="S617" s="53"/>
      <c r="T617" s="53"/>
      <c r="U617" s="85">
        <f>(Tabela1[[#This Row],[Informe o KM final do dia]]-Tabela1[[#This Row],[Informe o KM inicial do dia]])-Tabela1[[#This Row],[Caso tenha rodado particular alguma parte do trajeto, informe o total de KM a ser deduzido.]]</f>
        <v>112</v>
      </c>
      <c r="V617" s="86">
        <f>IF(Tabela1[[#This Row],[Informe a data]]&lt;DATE(2026,3,16), Tabela1[[#This Row],[KM Rodado]]*1.1, Tabela1[[#This Row],[KM Rodado]]*1.23)</f>
        <v>137.76</v>
      </c>
      <c r="W617" s="86">
        <f>IFERROR(SUBSTITUTE(Tabela1[[#This Row],[Pedágio]],".",",",1)*1,0)</f>
        <v>0</v>
      </c>
      <c r="X617" s="86">
        <f>IFERROR(SUBSTITUTE(Tabela1[[#This Row],[Estacionamento]],".",",",1)*1,0)</f>
        <v>0</v>
      </c>
      <c r="Y617" s="86">
        <f>IFERROR(SUBSTITUTE(Tabela1[[#This Row],[Despesas Diversas 
(Jantar em viagem, Impressões, Etc)]],".",",",1)*1,0)</f>
        <v>0</v>
      </c>
      <c r="Z617" s="86">
        <f>IFERROR(SUBSTITUTE(Tabela1[[#This Row],[Hospedagem]],".",",",1)*1,0)</f>
        <v>0</v>
      </c>
      <c r="AA617" s="56" t="str">
        <f>IF(DAY(Tabela1[[#This Row],[Informe a data]])&lt;=15,"1ª Quinzena","2ª Quinzena")</f>
        <v>1ª Quinzena</v>
      </c>
      <c r="AB617" s="56" t="str">
        <f>UPPER(TEXT(Tabela1[[#This Row],[Informe a data]],"mmmm"))</f>
        <v>SETEMBRO</v>
      </c>
      <c r="AC617" s="87" t="e">
        <f ca="1">_xlfn.CONCAT(Tabela1[[#This Row],[Selecione o Usuário]]," - ",TEXT(Tabela1[[#This Row],[Informe a data]],"dd-mm-aa"))</f>
        <v>#NAME?</v>
      </c>
    </row>
    <row r="618" spans="1:29">
      <c r="A618" s="89">
        <v>46280.806967592594</v>
      </c>
      <c r="B618" s="90" t="s">
        <v>131</v>
      </c>
      <c r="C618" s="90" t="s">
        <v>132</v>
      </c>
      <c r="D618" s="90" t="s">
        <v>133</v>
      </c>
      <c r="E618" s="91">
        <v>46280</v>
      </c>
      <c r="F618" s="92">
        <v>198901</v>
      </c>
      <c r="G618" s="93" t="s">
        <v>2087</v>
      </c>
      <c r="H618" s="92">
        <v>198910</v>
      </c>
      <c r="I618" s="93" t="s">
        <v>2088</v>
      </c>
      <c r="J618" s="90" t="s">
        <v>2089</v>
      </c>
      <c r="K618" s="94"/>
      <c r="L618" s="90" t="s">
        <v>60</v>
      </c>
      <c r="M618" s="94"/>
      <c r="N618" s="94"/>
      <c r="O618" s="94"/>
      <c r="P618" s="94"/>
      <c r="Q618" s="94"/>
      <c r="R618" s="94"/>
      <c r="S618" s="94"/>
      <c r="T618" s="94"/>
      <c r="U618" s="85">
        <f>(Tabela1[[#This Row],[Informe o KM final do dia]]-Tabela1[[#This Row],[Informe o KM inicial do dia]])-Tabela1[[#This Row],[Caso tenha rodado particular alguma parte do trajeto, informe o total de KM a ser deduzido.]]</f>
        <v>9</v>
      </c>
      <c r="V618" s="86">
        <f>IF(Tabela1[[#This Row],[Informe a data]]&lt;DATE(2026,3,16), Tabela1[[#This Row],[KM Rodado]]*1.1, Tabela1[[#This Row],[KM Rodado]]*1.23)</f>
        <v>11.07</v>
      </c>
      <c r="W618" s="86">
        <f>IFERROR(SUBSTITUTE(Tabela1[[#This Row],[Pedágio]],".",",",1)*1,0)</f>
        <v>0</v>
      </c>
      <c r="X618" s="86">
        <f>IFERROR(SUBSTITUTE(Tabela1[[#This Row],[Estacionamento]],".",",",1)*1,0)</f>
        <v>0</v>
      </c>
      <c r="Y618" s="86">
        <f>IFERROR(SUBSTITUTE(Tabela1[[#This Row],[Despesas Diversas 
(Jantar em viagem, Impressões, Etc)]],".",",",1)*1,0)</f>
        <v>0</v>
      </c>
      <c r="Z618" s="86">
        <f>IFERROR(SUBSTITUTE(Tabela1[[#This Row],[Hospedagem]],".",",",1)*1,0)</f>
        <v>0</v>
      </c>
      <c r="AA618" s="56" t="str">
        <f>IF(DAY(Tabela1[[#This Row],[Informe a data]])&lt;=15,"1ª Quinzena","2ª Quinzena")</f>
        <v>1ª Quinzena</v>
      </c>
      <c r="AB618" s="56" t="str">
        <f>UPPER(TEXT(Tabela1[[#This Row],[Informe a data]],"mmmm"))</f>
        <v>SETEMBRO</v>
      </c>
      <c r="AC618" s="87" t="e">
        <f ca="1">_xlfn.CONCAT(Tabela1[[#This Row],[Selecione o Usuário]]," - ",TEXT(Tabela1[[#This Row],[Informe a data]],"dd-mm-aa"))</f>
        <v>#NAME?</v>
      </c>
    </row>
    <row r="619" spans="1:29">
      <c r="A619" s="49">
        <v>46280.873796296299</v>
      </c>
      <c r="B619" s="50" t="s">
        <v>1605</v>
      </c>
      <c r="C619" s="50" t="s">
        <v>1696</v>
      </c>
      <c r="D619" s="50" t="s">
        <v>1606</v>
      </c>
      <c r="E619" s="51">
        <v>46280</v>
      </c>
      <c r="F619" s="52">
        <v>122796</v>
      </c>
      <c r="G619" s="58" t="s">
        <v>2090</v>
      </c>
      <c r="H619" s="52">
        <v>122859</v>
      </c>
      <c r="I619" s="58" t="s">
        <v>2091</v>
      </c>
      <c r="J619" s="50" t="s">
        <v>2092</v>
      </c>
      <c r="K619" s="53"/>
      <c r="L619" s="50" t="s">
        <v>60</v>
      </c>
      <c r="M619" s="53"/>
      <c r="N619" s="53"/>
      <c r="O619" s="53"/>
      <c r="P619" s="53"/>
      <c r="Q619" s="53"/>
      <c r="R619" s="53"/>
      <c r="S619" s="53"/>
      <c r="T619" s="53"/>
      <c r="U619" s="85">
        <f>(Tabela1[[#This Row],[Informe o KM final do dia]]-Tabela1[[#This Row],[Informe o KM inicial do dia]])-Tabela1[[#This Row],[Caso tenha rodado particular alguma parte do trajeto, informe o total de KM a ser deduzido.]]</f>
        <v>63</v>
      </c>
      <c r="V619" s="86">
        <f>IF(Tabela1[[#This Row],[Informe a data]]&lt;DATE(2026,3,16), Tabela1[[#This Row],[KM Rodado]]*1.1, Tabela1[[#This Row],[KM Rodado]]*1.23)</f>
        <v>77.489999999999995</v>
      </c>
      <c r="W619" s="86">
        <f>IFERROR(SUBSTITUTE(Tabela1[[#This Row],[Pedágio]],".",",",1)*1,0)</f>
        <v>0</v>
      </c>
      <c r="X619" s="86">
        <f>IFERROR(SUBSTITUTE(Tabela1[[#This Row],[Estacionamento]],".",",",1)*1,0)</f>
        <v>0</v>
      </c>
      <c r="Y619" s="86">
        <f>IFERROR(SUBSTITUTE(Tabela1[[#This Row],[Despesas Diversas 
(Jantar em viagem, Impressões, Etc)]],".",",",1)*1,0)</f>
        <v>0</v>
      </c>
      <c r="Z619" s="86">
        <f>IFERROR(SUBSTITUTE(Tabela1[[#This Row],[Hospedagem]],".",",",1)*1,0)</f>
        <v>0</v>
      </c>
      <c r="AA619" s="56" t="str">
        <f>IF(DAY(Tabela1[[#This Row],[Informe a data]])&lt;=15,"1ª Quinzena","2ª Quinzena")</f>
        <v>1ª Quinzena</v>
      </c>
      <c r="AB619" s="56" t="str">
        <f>UPPER(TEXT(Tabela1[[#This Row],[Informe a data]],"mmmm"))</f>
        <v>SETEMBRO</v>
      </c>
      <c r="AC619" s="87" t="e">
        <f ca="1">_xlfn.CONCAT(Tabela1[[#This Row],[Selecione o Usuário]]," - ",TEXT(Tabela1[[#This Row],[Informe a data]],"dd-mm-aa"))</f>
        <v>#NAME?</v>
      </c>
    </row>
    <row r="620" spans="1:29">
      <c r="A620" s="113">
        <v>46280.906770833331</v>
      </c>
      <c r="B620" s="114" t="s">
        <v>2093</v>
      </c>
      <c r="C620" s="114" t="s">
        <v>44</v>
      </c>
      <c r="D620" s="114" t="s">
        <v>1636</v>
      </c>
      <c r="E620" s="115">
        <v>46280</v>
      </c>
      <c r="F620" s="116">
        <v>138221</v>
      </c>
      <c r="G620" s="117" t="s">
        <v>2094</v>
      </c>
      <c r="H620" s="116">
        <v>138309</v>
      </c>
      <c r="I620" s="117" t="s">
        <v>2095</v>
      </c>
      <c r="J620" s="114" t="s">
        <v>2096</v>
      </c>
      <c r="K620" s="118"/>
      <c r="L620" s="114" t="s">
        <v>60</v>
      </c>
      <c r="M620" s="118"/>
      <c r="N620" s="118"/>
      <c r="O620" s="118"/>
      <c r="P620" s="118"/>
      <c r="Q620" s="118"/>
      <c r="R620" s="118"/>
      <c r="S620" s="118"/>
      <c r="T620" s="118"/>
      <c r="U620" s="95">
        <f>(Tabela1[[#This Row],[Informe o KM final do dia]]-Tabela1[[#This Row],[Informe o KM inicial do dia]])-Tabela1[[#This Row],[Caso tenha rodado particular alguma parte do trajeto, informe o total de KM a ser deduzido.]]</f>
        <v>88</v>
      </c>
      <c r="V620" s="97">
        <f>IF(Tabela1[[#This Row],[Informe a data]]&lt;DATE(2026,3,16), Tabela1[[#This Row],[KM Rodado]]*1.1, Tabela1[[#This Row],[KM Rodado]]*1.23)</f>
        <v>108.24</v>
      </c>
      <c r="W620" s="97">
        <f>IFERROR(SUBSTITUTE(Tabela1[[#This Row],[Pedágio]],".",",",1)*1,0)</f>
        <v>0</v>
      </c>
      <c r="X620" s="97">
        <f>IFERROR(SUBSTITUTE(Tabela1[[#This Row],[Estacionamento]],".",",",1)*1,0)</f>
        <v>0</v>
      </c>
      <c r="Y620" s="97">
        <f>IFERROR(SUBSTITUTE(Tabela1[[#This Row],[Despesas Diversas 
(Jantar em viagem, Impressões, Etc)]],".",",",1)*1,0)</f>
        <v>0</v>
      </c>
      <c r="Z620" s="97">
        <f>IFERROR(SUBSTITUTE(Tabela1[[#This Row],[Hospedagem]],".",",",1)*1,0)</f>
        <v>0</v>
      </c>
      <c r="AA620" s="98" t="str">
        <f>IF(DAY(Tabela1[[#This Row],[Informe a data]])&lt;=15,"1ª Quinzena","2ª Quinzena")</f>
        <v>1ª Quinzena</v>
      </c>
      <c r="AB620" s="98" t="str">
        <f>UPPER(TEXT(Tabela1[[#This Row],[Informe a data]],"mmmm"))</f>
        <v>SETEMBRO</v>
      </c>
      <c r="AC620" s="99" t="e">
        <f ca="1">_xlfn.CONCAT(Tabela1[[#This Row],[Selecione o Usuário]]," - ",TEXT(Tabela1[[#This Row],[Informe a data]],"dd-mm-aa"))</f>
        <v>#NAME?</v>
      </c>
    </row>
  </sheetData>
  <conditionalFormatting sqref="AC2:AC620">
    <cfRule type="duplicateValues" dxfId="67" priority="34"/>
  </conditionalFormatting>
  <hyperlinks>
    <hyperlink ref="G67" r:id="rId1"/>
    <hyperlink ref="I67" r:id="rId2"/>
    <hyperlink ref="R67" r:id="rId3"/>
    <hyperlink ref="G70" r:id="rId4"/>
    <hyperlink ref="I70" r:id="rId5"/>
    <hyperlink ref="G69" r:id="rId6"/>
    <hyperlink ref="I69" r:id="rId7"/>
    <hyperlink ref="N69" r:id="rId8"/>
    <hyperlink ref="R69" r:id="rId9"/>
    <hyperlink ref="G71" r:id="rId10"/>
    <hyperlink ref="I71" r:id="rId11"/>
    <hyperlink ref="G72" r:id="rId12"/>
    <hyperlink ref="I72" r:id="rId13"/>
    <hyperlink ref="P72" r:id="rId14"/>
    <hyperlink ref="G73" r:id="rId15"/>
    <hyperlink ref="I73" r:id="rId16"/>
    <hyperlink ref="G74" r:id="rId17"/>
    <hyperlink ref="I74" r:id="rId18"/>
    <hyperlink ref="G75" r:id="rId19"/>
    <hyperlink ref="I75" r:id="rId20"/>
    <hyperlink ref="R75" r:id="rId21"/>
    <hyperlink ref="G77" r:id="rId22"/>
    <hyperlink ref="I77" r:id="rId23"/>
    <hyperlink ref="G81" r:id="rId24"/>
    <hyperlink ref="I81" r:id="rId25"/>
    <hyperlink ref="N81" r:id="rId26"/>
    <hyperlink ref="R81" r:id="rId27"/>
    <hyperlink ref="G82" r:id="rId28"/>
    <hyperlink ref="I82" r:id="rId29"/>
    <hyperlink ref="G79" r:id="rId30"/>
    <hyperlink ref="I79" r:id="rId31"/>
    <hyperlink ref="G84" r:id="rId32"/>
    <hyperlink ref="I84" r:id="rId33"/>
    <hyperlink ref="N84" r:id="rId34"/>
    <hyperlink ref="P84" r:id="rId35"/>
    <hyperlink ref="R84" r:id="rId36"/>
    <hyperlink ref="G88" r:id="rId37"/>
    <hyperlink ref="I88" r:id="rId38"/>
    <hyperlink ref="N88" r:id="rId39"/>
    <hyperlink ref="P88" r:id="rId40"/>
    <hyperlink ref="G85" r:id="rId41"/>
    <hyperlink ref="I85" r:id="rId42"/>
    <hyperlink ref="R85" r:id="rId43"/>
    <hyperlink ref="G92" r:id="rId44"/>
    <hyperlink ref="I92" r:id="rId45"/>
    <hyperlink ref="G86" r:id="rId46"/>
    <hyperlink ref="I86" r:id="rId47"/>
    <hyperlink ref="G90" r:id="rId48"/>
    <hyperlink ref="I90" r:id="rId49"/>
    <hyperlink ref="G94" r:id="rId50"/>
    <hyperlink ref="I94" r:id="rId51"/>
    <hyperlink ref="N94" r:id="rId52"/>
    <hyperlink ref="G76" r:id="rId53"/>
    <hyperlink ref="I76" r:id="rId54"/>
    <hyperlink ref="G91" r:id="rId55"/>
    <hyperlink ref="I91" r:id="rId56"/>
    <hyperlink ref="G93" r:id="rId57"/>
    <hyperlink ref="I93" r:id="rId58"/>
    <hyperlink ref="G98" r:id="rId59"/>
    <hyperlink ref="I98" r:id="rId60"/>
    <hyperlink ref="G96" r:id="rId61"/>
    <hyperlink ref="I96" r:id="rId62"/>
    <hyperlink ref="G95" r:id="rId63"/>
    <hyperlink ref="I95" r:id="rId64"/>
    <hyperlink ref="G99" r:id="rId65"/>
    <hyperlink ref="I99" r:id="rId66"/>
    <hyperlink ref="G103" r:id="rId67"/>
    <hyperlink ref="I103" r:id="rId68"/>
    <hyperlink ref="G97" r:id="rId69"/>
    <hyperlink ref="I97" r:id="rId70"/>
    <hyperlink ref="G102" r:id="rId71"/>
    <hyperlink ref="I102" r:id="rId72"/>
    <hyperlink ref="G100" r:id="rId73"/>
    <hyperlink ref="I100" r:id="rId74"/>
    <hyperlink ref="G109" r:id="rId75"/>
    <hyperlink ref="I109" r:id="rId76"/>
    <hyperlink ref="G108" r:id="rId77"/>
    <hyperlink ref="I108" r:id="rId78"/>
    <hyperlink ref="G110" r:id="rId79"/>
    <hyperlink ref="I110" r:id="rId80"/>
    <hyperlink ref="G114" r:id="rId81"/>
    <hyperlink ref="I114" r:id="rId82"/>
    <hyperlink ref="G111" r:id="rId83"/>
    <hyperlink ref="I111" r:id="rId84"/>
    <hyperlink ref="G112" r:id="rId85"/>
    <hyperlink ref="I112" r:id="rId86"/>
    <hyperlink ref="G113" r:id="rId87"/>
    <hyperlink ref="I113" r:id="rId88"/>
    <hyperlink ref="G122" r:id="rId89"/>
    <hyperlink ref="I122" r:id="rId90"/>
    <hyperlink ref="G119" r:id="rId91"/>
    <hyperlink ref="I119" r:id="rId92"/>
    <hyperlink ref="G121" r:id="rId93"/>
    <hyperlink ref="I121" r:id="rId94"/>
    <hyperlink ref="G117" r:id="rId95"/>
    <hyperlink ref="I117" r:id="rId96"/>
    <hyperlink ref="N117" r:id="rId97"/>
    <hyperlink ref="G123" r:id="rId98"/>
    <hyperlink ref="I123" r:id="rId99"/>
    <hyperlink ref="G120" r:id="rId100"/>
    <hyperlink ref="I120" r:id="rId101"/>
    <hyperlink ref="G124" r:id="rId102"/>
    <hyperlink ref="I124" r:id="rId103"/>
    <hyperlink ref="G125" r:id="rId104"/>
    <hyperlink ref="I125" r:id="rId105"/>
    <hyperlink ref="G129" r:id="rId106"/>
    <hyperlink ref="I129" r:id="rId107"/>
    <hyperlink ref="G128" r:id="rId108"/>
    <hyperlink ref="I128" r:id="rId109"/>
    <hyperlink ref="G127" r:id="rId110"/>
    <hyperlink ref="I127" r:id="rId111"/>
    <hyperlink ref="G136" r:id="rId112"/>
    <hyperlink ref="I136" r:id="rId113"/>
    <hyperlink ref="G137" r:id="rId114"/>
    <hyperlink ref="I137" r:id="rId115"/>
    <hyperlink ref="G133" r:id="rId116"/>
    <hyperlink ref="I133" r:id="rId117"/>
    <hyperlink ref="N133" r:id="rId118"/>
    <hyperlink ref="G132" r:id="rId119"/>
    <hyperlink ref="I132" r:id="rId120"/>
    <hyperlink ref="G135" r:id="rId121"/>
    <hyperlink ref="I135" r:id="rId122"/>
    <hyperlink ref="G140" r:id="rId123"/>
    <hyperlink ref="I140" r:id="rId124"/>
    <hyperlink ref="G141" r:id="rId125"/>
    <hyperlink ref="I141" r:id="rId126"/>
    <hyperlink ref="G138" r:id="rId127"/>
    <hyperlink ref="I138" r:id="rId128"/>
    <hyperlink ref="G139" r:id="rId129"/>
    <hyperlink ref="I139" r:id="rId130"/>
    <hyperlink ref="G146" r:id="rId131"/>
    <hyperlink ref="I146" r:id="rId132"/>
    <hyperlink ref="G144" r:id="rId133"/>
    <hyperlink ref="I144" r:id="rId134"/>
    <hyperlink ref="G145" r:id="rId135"/>
    <hyperlink ref="I145" r:id="rId136"/>
    <hyperlink ref="G148" r:id="rId137"/>
    <hyperlink ref="I148" r:id="rId138"/>
    <hyperlink ref="G147" r:id="rId139"/>
    <hyperlink ref="I147" r:id="rId140"/>
    <hyperlink ref="G149" r:id="rId141"/>
    <hyperlink ref="I149" r:id="rId142"/>
    <hyperlink ref="G152" r:id="rId143"/>
    <hyperlink ref="I152" r:id="rId144"/>
    <hyperlink ref="G157" r:id="rId145"/>
    <hyperlink ref="I157" r:id="rId146"/>
    <hyperlink ref="G159" r:id="rId147"/>
    <hyperlink ref="I159" r:id="rId148"/>
    <hyperlink ref="G151" r:id="rId149"/>
    <hyperlink ref="I151" r:id="rId150"/>
    <hyperlink ref="P151" r:id="rId151"/>
    <hyperlink ref="R151" r:id="rId152"/>
    <hyperlink ref="G153" r:id="rId153"/>
    <hyperlink ref="I153" r:id="rId154"/>
    <hyperlink ref="G156" r:id="rId155"/>
    <hyperlink ref="I156" r:id="rId156"/>
    <hyperlink ref="G162" r:id="rId157"/>
    <hyperlink ref="I162" r:id="rId158"/>
    <hyperlink ref="G166" r:id="rId159"/>
    <hyperlink ref="I166" r:id="rId160"/>
    <hyperlink ref="G164" r:id="rId161"/>
    <hyperlink ref="I164" r:id="rId162"/>
    <hyperlink ref="P164" r:id="rId163"/>
    <hyperlink ref="G160" r:id="rId164"/>
    <hyperlink ref="I160" r:id="rId165"/>
    <hyperlink ref="G150" r:id="rId166"/>
    <hyperlink ref="I150" r:id="rId167"/>
    <hyperlink ref="G155" r:id="rId168"/>
    <hyperlink ref="I155" r:id="rId169"/>
    <hyperlink ref="R155" r:id="rId170"/>
    <hyperlink ref="G161" r:id="rId171"/>
    <hyperlink ref="I161" r:id="rId172"/>
    <hyperlink ref="G165" r:id="rId173"/>
    <hyperlink ref="I165" r:id="rId174"/>
    <hyperlink ref="G163" r:id="rId175"/>
    <hyperlink ref="I163" r:id="rId176"/>
    <hyperlink ref="G169" r:id="rId177"/>
    <hyperlink ref="I169" r:id="rId178"/>
    <hyperlink ref="G168" r:id="rId179"/>
    <hyperlink ref="I168" r:id="rId180"/>
    <hyperlink ref="G167" r:id="rId181"/>
    <hyperlink ref="I167" r:id="rId182"/>
    <hyperlink ref="G173" r:id="rId183"/>
    <hyperlink ref="I173" r:id="rId184"/>
    <hyperlink ref="G171" r:id="rId185"/>
    <hyperlink ref="I171" r:id="rId186"/>
    <hyperlink ref="G176" r:id="rId187"/>
    <hyperlink ref="I176" r:id="rId188"/>
    <hyperlink ref="N176" r:id="rId189"/>
    <hyperlink ref="P176" r:id="rId190"/>
    <hyperlink ref="G177" r:id="rId191"/>
    <hyperlink ref="I177" r:id="rId192"/>
    <hyperlink ref="G180" r:id="rId193"/>
    <hyperlink ref="I180" r:id="rId194"/>
    <hyperlink ref="G185" r:id="rId195"/>
    <hyperlink ref="I185" r:id="rId196"/>
    <hyperlink ref="G182" r:id="rId197"/>
    <hyperlink ref="I182" r:id="rId198"/>
    <hyperlink ref="P182" r:id="rId199"/>
    <hyperlink ref="G187" r:id="rId200"/>
    <hyperlink ref="I187" r:id="rId201"/>
    <hyperlink ref="N187" r:id="rId202"/>
    <hyperlink ref="G170" r:id="rId203"/>
    <hyperlink ref="I170" r:id="rId204"/>
    <hyperlink ref="G172" r:id="rId205"/>
    <hyperlink ref="I172" r:id="rId206"/>
    <hyperlink ref="G178" r:id="rId207"/>
    <hyperlink ref="I178" r:id="rId208"/>
    <hyperlink ref="G183" r:id="rId209"/>
    <hyperlink ref="I183" r:id="rId210"/>
    <hyperlink ref="G188" r:id="rId211"/>
    <hyperlink ref="I188" r:id="rId212"/>
    <hyperlink ref="G191" r:id="rId213"/>
    <hyperlink ref="I191" r:id="rId214"/>
    <hyperlink ref="G190" r:id="rId215"/>
    <hyperlink ref="I190" r:id="rId216"/>
    <hyperlink ref="G192" r:id="rId217"/>
    <hyperlink ref="I192" r:id="rId218"/>
    <hyperlink ref="G174" r:id="rId219"/>
    <hyperlink ref="I174" r:id="rId220"/>
    <hyperlink ref="G179" r:id="rId221"/>
    <hyperlink ref="I179" r:id="rId222"/>
    <hyperlink ref="G184" r:id="rId223"/>
    <hyperlink ref="I184" r:id="rId224"/>
    <hyperlink ref="G189" r:id="rId225"/>
    <hyperlink ref="I189" r:id="rId226"/>
    <hyperlink ref="G195" r:id="rId227"/>
    <hyperlink ref="I195" r:id="rId228"/>
    <hyperlink ref="R195" r:id="rId229"/>
    <hyperlink ref="G194" r:id="rId230"/>
    <hyperlink ref="I194" r:id="rId231"/>
    <hyperlink ref="G197" r:id="rId232"/>
    <hyperlink ref="I197" r:id="rId233"/>
    <hyperlink ref="G199" r:id="rId234"/>
    <hyperlink ref="I199" r:id="rId235"/>
    <hyperlink ref="G198" r:id="rId236"/>
    <hyperlink ref="I198" r:id="rId237"/>
    <hyperlink ref="R198" r:id="rId238"/>
    <hyperlink ref="G200" r:id="rId239"/>
    <hyperlink ref="I200" r:id="rId240"/>
    <hyperlink ref="P200" r:id="rId241"/>
    <hyperlink ref="I204" r:id="rId242"/>
    <hyperlink ref="G202" r:id="rId243"/>
    <hyperlink ref="I202" r:id="rId244"/>
    <hyperlink ref="G201" r:id="rId245"/>
    <hyperlink ref="I201" r:id="rId246"/>
    <hyperlink ref="G205" r:id="rId247"/>
    <hyperlink ref="I205" r:id="rId248"/>
    <hyperlink ref="G206" r:id="rId249"/>
    <hyperlink ref="I206" r:id="rId250"/>
    <hyperlink ref="G207" r:id="rId251"/>
    <hyperlink ref="I207" r:id="rId252"/>
    <hyperlink ref="G209" r:id="rId253"/>
    <hyperlink ref="I209" r:id="rId254"/>
    <hyperlink ref="G210" r:id="rId255"/>
    <hyperlink ref="I210" r:id="rId256"/>
    <hyperlink ref="G211" r:id="rId257"/>
    <hyperlink ref="I211" r:id="rId258"/>
    <hyperlink ref="P213" r:id="rId259"/>
    <hyperlink ref="G214" r:id="rId260"/>
    <hyperlink ref="I214" r:id="rId261"/>
    <hyperlink ref="G216" r:id="rId262"/>
    <hyperlink ref="I216" r:id="rId263"/>
    <hyperlink ref="G218" r:id="rId264"/>
    <hyperlink ref="I218" r:id="rId265"/>
    <hyperlink ref="N218" r:id="rId266"/>
    <hyperlink ref="G219" r:id="rId267"/>
    <hyperlink ref="I219" r:id="rId268"/>
    <hyperlink ref="G221" r:id="rId269"/>
    <hyperlink ref="I221" r:id="rId270"/>
    <hyperlink ref="G220" r:id="rId271"/>
    <hyperlink ref="I220" r:id="rId272"/>
    <hyperlink ref="G224" r:id="rId273"/>
    <hyperlink ref="I224" r:id="rId274"/>
    <hyperlink ref="G225" r:id="rId275"/>
    <hyperlink ref="I225" r:id="rId276"/>
    <hyperlink ref="G229" r:id="rId277"/>
    <hyperlink ref="I229" r:id="rId278"/>
    <hyperlink ref="G228" r:id="rId279"/>
    <hyperlink ref="I228" r:id="rId280"/>
    <hyperlink ref="P228" r:id="rId281"/>
    <hyperlink ref="G231" r:id="rId282"/>
    <hyperlink ref="I231" r:id="rId283"/>
    <hyperlink ref="G230" r:id="rId284"/>
    <hyperlink ref="I230" r:id="rId285"/>
    <hyperlink ref="G233" r:id="rId286"/>
    <hyperlink ref="I233" r:id="rId287"/>
    <hyperlink ref="R233" r:id="rId288"/>
    <hyperlink ref="G238" r:id="rId289"/>
    <hyperlink ref="I238" r:id="rId290"/>
    <hyperlink ref="G237" r:id="rId291"/>
    <hyperlink ref="I237" r:id="rId292"/>
    <hyperlink ref="G203" r:id="rId293"/>
    <hyperlink ref="I203" r:id="rId294"/>
    <hyperlink ref="G212" r:id="rId295"/>
    <hyperlink ref="I212" r:id="rId296"/>
    <hyperlink ref="G222" r:id="rId297"/>
    <hyperlink ref="I222" r:id="rId298"/>
    <hyperlink ref="G226" r:id="rId299"/>
    <hyperlink ref="I226" r:id="rId300"/>
    <hyperlink ref="G234" r:id="rId301"/>
    <hyperlink ref="I234" r:id="rId302"/>
    <hyperlink ref="G242" r:id="rId303"/>
    <hyperlink ref="I242" r:id="rId304"/>
    <hyperlink ref="G239" r:id="rId305"/>
    <hyperlink ref="I239" r:id="rId306"/>
    <hyperlink ref="G243" r:id="rId307"/>
    <hyperlink ref="I243" r:id="rId308"/>
    <hyperlink ref="G241" r:id="rId309"/>
    <hyperlink ref="I241" r:id="rId310"/>
    <hyperlink ref="R241" r:id="rId311"/>
    <hyperlink ref="G247" r:id="rId312"/>
    <hyperlink ref="I247" r:id="rId313"/>
    <hyperlink ref="G245" r:id="rId314"/>
    <hyperlink ref="I245" r:id="rId315"/>
    <hyperlink ref="G244" r:id="rId316"/>
    <hyperlink ref="I244" r:id="rId317"/>
    <hyperlink ref="N244" r:id="rId318"/>
    <hyperlink ref="G250" r:id="rId319"/>
    <hyperlink ref="I250" r:id="rId320"/>
    <hyperlink ref="G253" r:id="rId321"/>
    <hyperlink ref="I253" r:id="rId322"/>
    <hyperlink ref="G254" r:id="rId323"/>
    <hyperlink ref="I254" r:id="rId324"/>
    <hyperlink ref="G258" r:id="rId325"/>
    <hyperlink ref="I258" r:id="rId326"/>
    <hyperlink ref="G257" r:id="rId327"/>
    <hyperlink ref="I257" r:id="rId328"/>
    <hyperlink ref="G262" r:id="rId329"/>
    <hyperlink ref="I262" r:id="rId330"/>
    <hyperlink ref="R262" r:id="rId331"/>
    <hyperlink ref="G246" r:id="rId332"/>
    <hyperlink ref="I246" r:id="rId333"/>
    <hyperlink ref="G251" r:id="rId334"/>
    <hyperlink ref="I251" r:id="rId335"/>
    <hyperlink ref="G255" r:id="rId336"/>
    <hyperlink ref="I255" r:id="rId337"/>
    <hyperlink ref="G259" r:id="rId338"/>
    <hyperlink ref="I259" r:id="rId339"/>
    <hyperlink ref="G263" r:id="rId340"/>
    <hyperlink ref="I263" r:id="rId341"/>
    <hyperlink ref="G268" r:id="rId342"/>
    <hyperlink ref="I268" r:id="rId343"/>
    <hyperlink ref="G267" r:id="rId344"/>
    <hyperlink ref="I267" r:id="rId345"/>
    <hyperlink ref="G266" r:id="rId346"/>
    <hyperlink ref="I266" r:id="rId347"/>
    <hyperlink ref="G269" r:id="rId348"/>
    <hyperlink ref="I269" r:id="rId349"/>
    <hyperlink ref="G274" r:id="rId350"/>
    <hyperlink ref="I274" r:id="rId351"/>
    <hyperlink ref="G272" r:id="rId352"/>
    <hyperlink ref="I272" r:id="rId353"/>
    <hyperlink ref="G276" r:id="rId354"/>
    <hyperlink ref="I276" r:id="rId355"/>
    <hyperlink ref="G273" r:id="rId356"/>
    <hyperlink ref="I273" r:id="rId357"/>
    <hyperlink ref="G277" r:id="rId358"/>
    <hyperlink ref="I277" r:id="rId359"/>
    <hyperlink ref="G281" r:id="rId360"/>
    <hyperlink ref="I281" r:id="rId361"/>
    <hyperlink ref="G280" r:id="rId362"/>
    <hyperlink ref="I280" r:id="rId363"/>
    <hyperlink ref="G279" r:id="rId364"/>
    <hyperlink ref="I279" r:id="rId365"/>
    <hyperlink ref="N279" r:id="rId366"/>
    <hyperlink ref="P279" r:id="rId367"/>
    <hyperlink ref="R279" r:id="rId368"/>
    <hyperlink ref="G248" r:id="rId369"/>
    <hyperlink ref="I248" r:id="rId370"/>
    <hyperlink ref="G260" r:id="rId371"/>
    <hyperlink ref="I260" r:id="rId372"/>
    <hyperlink ref="G270" r:id="rId373"/>
    <hyperlink ref="I270" r:id="rId374"/>
    <hyperlink ref="G282" r:id="rId375"/>
    <hyperlink ref="I282" r:id="rId376"/>
    <hyperlink ref="G287" r:id="rId377"/>
    <hyperlink ref="I287" r:id="rId378"/>
    <hyperlink ref="G284" r:id="rId379"/>
    <hyperlink ref="I284" r:id="rId380"/>
    <hyperlink ref="N284" r:id="rId381"/>
    <hyperlink ref="G286" r:id="rId382"/>
    <hyperlink ref="I286" r:id="rId383"/>
    <hyperlink ref="G290" r:id="rId384"/>
    <hyperlink ref="I290" r:id="rId385"/>
    <hyperlink ref="R290" r:id="rId386"/>
    <hyperlink ref="G285" r:id="rId387"/>
    <hyperlink ref="I285" r:id="rId388"/>
    <hyperlink ref="G294" r:id="rId389"/>
    <hyperlink ref="I294" r:id="rId390"/>
    <hyperlink ref="G293" r:id="rId391"/>
    <hyperlink ref="I293" r:id="rId392"/>
    <hyperlink ref="G292" r:id="rId393"/>
    <hyperlink ref="I292" r:id="rId394"/>
    <hyperlink ref="R292" r:id="rId395"/>
    <hyperlink ref="G299" r:id="rId396"/>
    <hyperlink ref="I299" r:id="rId397"/>
    <hyperlink ref="G289" r:id="rId398"/>
    <hyperlink ref="I289" r:id="rId399"/>
    <hyperlink ref="G291" r:id="rId400"/>
    <hyperlink ref="I291" r:id="rId401"/>
    <hyperlink ref="G301" r:id="rId402"/>
    <hyperlink ref="I301" r:id="rId403"/>
    <hyperlink ref="G302" r:id="rId404"/>
    <hyperlink ref="I302" r:id="rId405"/>
    <hyperlink ref="G305" r:id="rId406"/>
    <hyperlink ref="I305" r:id="rId407"/>
    <hyperlink ref="G306" r:id="rId408"/>
    <hyperlink ref="I306" r:id="rId409"/>
    <hyperlink ref="G304" r:id="rId410"/>
    <hyperlink ref="I304" r:id="rId411"/>
    <hyperlink ref="G308" r:id="rId412"/>
    <hyperlink ref="I308" r:id="rId413"/>
    <hyperlink ref="R308" r:id="rId414"/>
    <hyperlink ref="G295" r:id="rId415"/>
    <hyperlink ref="I295" r:id="rId416"/>
    <hyperlink ref="G298" r:id="rId417"/>
    <hyperlink ref="I298" r:id="rId418"/>
    <hyperlink ref="G300" r:id="rId419"/>
    <hyperlink ref="I300" r:id="rId420"/>
    <hyperlink ref="G310" r:id="rId421"/>
    <hyperlink ref="I310" r:id="rId422"/>
    <hyperlink ref="G311" r:id="rId423"/>
    <hyperlink ref="I311" r:id="rId424"/>
    <hyperlink ref="G309" r:id="rId425"/>
    <hyperlink ref="I309" r:id="rId426"/>
    <hyperlink ref="G312" r:id="rId427"/>
    <hyperlink ref="I312" r:id="rId428"/>
    <hyperlink ref="G313" r:id="rId429"/>
    <hyperlink ref="I313" r:id="rId430"/>
    <hyperlink ref="G316" r:id="rId431"/>
    <hyperlink ref="I316" r:id="rId432"/>
    <hyperlink ref="G317" r:id="rId433"/>
    <hyperlink ref="I317" r:id="rId434"/>
    <hyperlink ref="G319" r:id="rId435"/>
    <hyperlink ref="I319" r:id="rId436"/>
    <hyperlink ref="G320" r:id="rId437"/>
    <hyperlink ref="I320" r:id="rId438"/>
    <hyperlink ref="P322" r:id="rId439"/>
    <hyperlink ref="G324" r:id="rId440"/>
    <hyperlink ref="I324" r:id="rId441"/>
    <hyperlink ref="G323" r:id="rId442"/>
    <hyperlink ref="I323" r:id="rId443"/>
    <hyperlink ref="G325" r:id="rId444"/>
    <hyperlink ref="I325" r:id="rId445"/>
    <hyperlink ref="G329" r:id="rId446"/>
    <hyperlink ref="I329" r:id="rId447"/>
    <hyperlink ref="G332" r:id="rId448"/>
    <hyperlink ref="I332" r:id="rId449"/>
    <hyperlink ref="G334" r:id="rId450"/>
    <hyperlink ref="I334" r:id="rId451"/>
    <hyperlink ref="G338" r:id="rId452"/>
    <hyperlink ref="I338" r:id="rId453"/>
    <hyperlink ref="G336" r:id="rId454"/>
    <hyperlink ref="I336" r:id="rId455"/>
    <hyperlink ref="G335" r:id="rId456"/>
    <hyperlink ref="I335" r:id="rId457"/>
    <hyperlink ref="G339" r:id="rId458"/>
    <hyperlink ref="I339" r:id="rId459"/>
    <hyperlink ref="G342" r:id="rId460"/>
    <hyperlink ref="I342" r:id="rId461"/>
    <hyperlink ref="G344" r:id="rId462"/>
    <hyperlink ref="I344" r:id="rId463"/>
    <hyperlink ref="G348" r:id="rId464"/>
    <hyperlink ref="I348" r:id="rId465"/>
    <hyperlink ref="G352" r:id="rId466"/>
    <hyperlink ref="I352" r:id="rId467"/>
    <hyperlink ref="G357" r:id="rId468"/>
    <hyperlink ref="I357" r:id="rId469"/>
    <hyperlink ref="R357" r:id="rId470"/>
    <hyperlink ref="G355" r:id="rId471"/>
    <hyperlink ref="I355" r:id="rId472"/>
    <hyperlink ref="G360" r:id="rId473"/>
    <hyperlink ref="I360" r:id="rId474"/>
    <hyperlink ref="P360" r:id="rId475"/>
    <hyperlink ref="G363" r:id="rId476"/>
    <hyperlink ref="I363" r:id="rId477"/>
    <hyperlink ref="G365" r:id="rId478"/>
    <hyperlink ref="I365" r:id="rId479"/>
    <hyperlink ref="P365" r:id="rId480"/>
    <hyperlink ref="G368" r:id="rId481"/>
    <hyperlink ref="I368" r:id="rId482"/>
    <hyperlink ref="G354" r:id="rId483"/>
    <hyperlink ref="I354" r:id="rId484"/>
    <hyperlink ref="G356" r:id="rId485"/>
    <hyperlink ref="I356" r:id="rId486"/>
    <hyperlink ref="G362" r:id="rId487"/>
    <hyperlink ref="I362" r:id="rId488"/>
    <hyperlink ref="G366" r:id="rId489"/>
    <hyperlink ref="I366" r:id="rId490"/>
    <hyperlink ref="G369" r:id="rId491"/>
    <hyperlink ref="I369" r:id="rId492"/>
    <hyperlink ref="G371" r:id="rId493"/>
    <hyperlink ref="I371" r:id="rId494"/>
    <hyperlink ref="G374" r:id="rId495"/>
    <hyperlink ref="I374" r:id="rId496"/>
    <hyperlink ref="G375" r:id="rId497"/>
    <hyperlink ref="I375" r:id="rId498"/>
    <hyperlink ref="G370" r:id="rId499"/>
    <hyperlink ref="I370" r:id="rId500"/>
    <hyperlink ref="G377" r:id="rId501"/>
    <hyperlink ref="I377" r:id="rId502"/>
    <hyperlink ref="G380" r:id="rId503"/>
    <hyperlink ref="I380" r:id="rId504"/>
    <hyperlink ref="G358" r:id="rId505"/>
    <hyperlink ref="I358" r:id="rId506"/>
    <hyperlink ref="G361" r:id="rId507"/>
    <hyperlink ref="I361" r:id="rId508"/>
    <hyperlink ref="G367" r:id="rId509"/>
    <hyperlink ref="I367" r:id="rId510"/>
    <hyperlink ref="G372" r:id="rId511"/>
    <hyperlink ref="I372" r:id="rId512"/>
    <hyperlink ref="G378" r:id="rId513"/>
    <hyperlink ref="I378" r:id="rId514"/>
    <hyperlink ref="G379" r:id="rId515"/>
    <hyperlink ref="I379" r:id="rId516"/>
    <hyperlink ref="G387" r:id="rId517"/>
    <hyperlink ref="I387" r:id="rId518"/>
    <hyperlink ref="G386" r:id="rId519"/>
    <hyperlink ref="I386" r:id="rId520"/>
    <hyperlink ref="G392" r:id="rId521"/>
    <hyperlink ref="I392" r:id="rId522"/>
    <hyperlink ref="N392" r:id="rId523"/>
    <hyperlink ref="G397" r:id="rId524"/>
    <hyperlink ref="I397" r:id="rId525"/>
    <hyperlink ref="G384" r:id="rId526"/>
    <hyperlink ref="I384" r:id="rId527"/>
    <hyperlink ref="G393" r:id="rId528"/>
    <hyperlink ref="I393" r:id="rId529"/>
    <hyperlink ref="G398" r:id="rId530"/>
    <hyperlink ref="I398" r:id="rId531"/>
    <hyperlink ref="G388" r:id="rId532"/>
    <hyperlink ref="I388" r:id="rId533"/>
    <hyperlink ref="G401" r:id="rId534"/>
    <hyperlink ref="I401" r:id="rId535"/>
    <hyperlink ref="G400" r:id="rId536"/>
    <hyperlink ref="I400" r:id="rId537"/>
    <hyperlink ref="G404" r:id="rId538"/>
    <hyperlink ref="I404" r:id="rId539"/>
    <hyperlink ref="G411" r:id="rId540"/>
    <hyperlink ref="I411" r:id="rId541"/>
    <hyperlink ref="G410" r:id="rId542"/>
    <hyperlink ref="I410" r:id="rId543"/>
    <hyperlink ref="G405" r:id="rId544"/>
    <hyperlink ref="I405" r:id="rId545"/>
    <hyperlink ref="G412" r:id="rId546"/>
    <hyperlink ref="I412" r:id="rId547"/>
    <hyperlink ref="G416" r:id="rId548"/>
    <hyperlink ref="I416" r:id="rId549"/>
    <hyperlink ref="G406" r:id="rId550"/>
    <hyperlink ref="I406" r:id="rId551"/>
    <hyperlink ref="P406" r:id="rId552"/>
    <hyperlink ref="G413" r:id="rId553"/>
    <hyperlink ref="I413" r:id="rId554"/>
    <hyperlink ref="G417" r:id="rId555"/>
    <hyperlink ref="I417" r:id="rId556"/>
    <hyperlink ref="G415" r:id="rId557"/>
    <hyperlink ref="I415" r:id="rId558"/>
    <hyperlink ref="R415" r:id="rId559"/>
    <hyperlink ref="G409" r:id="rId560"/>
    <hyperlink ref="I409" r:id="rId561"/>
    <hyperlink ref="G420" r:id="rId562"/>
    <hyperlink ref="I420" r:id="rId563"/>
    <hyperlink ref="G389" r:id="rId564"/>
    <hyperlink ref="I389" r:id="rId565"/>
    <hyperlink ref="G394" r:id="rId566"/>
    <hyperlink ref="I394" r:id="rId567"/>
    <hyperlink ref="G407" r:id="rId568"/>
    <hyperlink ref="I407" r:id="rId569"/>
    <hyperlink ref="G418" r:id="rId570"/>
    <hyperlink ref="I418" r:id="rId571"/>
    <hyperlink ref="G421" r:id="rId572"/>
    <hyperlink ref="I421" r:id="rId573"/>
    <hyperlink ref="G423" r:id="rId574"/>
    <hyperlink ref="I423" r:id="rId575"/>
    <hyperlink ref="G424" r:id="rId576"/>
    <hyperlink ref="I424" r:id="rId577"/>
    <hyperlink ref="G422" r:id="rId578"/>
    <hyperlink ref="I422" r:id="rId579"/>
    <hyperlink ref="G428" r:id="rId580"/>
    <hyperlink ref="I428" r:id="rId581"/>
    <hyperlink ref="G427" r:id="rId582"/>
    <hyperlink ref="I427" r:id="rId583"/>
    <hyperlink ref="G426" r:id="rId584"/>
    <hyperlink ref="I426" r:id="rId585"/>
    <hyperlink ref="R426" r:id="rId586"/>
    <hyperlink ref="G425" r:id="rId587"/>
    <hyperlink ref="I425" r:id="rId588"/>
    <hyperlink ref="G429" r:id="rId589"/>
    <hyperlink ref="I429" r:id="rId590"/>
    <hyperlink ref="G430" r:id="rId591"/>
    <hyperlink ref="I430" r:id="rId592"/>
    <hyperlink ref="G431" r:id="rId593"/>
    <hyperlink ref="I431" r:id="rId594"/>
    <hyperlink ref="G433" r:id="rId595"/>
    <hyperlink ref="I433" r:id="rId596"/>
    <hyperlink ref="G434" r:id="rId597"/>
    <hyperlink ref="I434" r:id="rId598"/>
    <hyperlink ref="G437" r:id="rId599"/>
    <hyperlink ref="I437" r:id="rId600"/>
    <hyperlink ref="G439" r:id="rId601"/>
    <hyperlink ref="I439" r:id="rId602"/>
    <hyperlink ref="G441" r:id="rId603"/>
    <hyperlink ref="I441" r:id="rId604"/>
    <hyperlink ref="G435" r:id="rId605"/>
    <hyperlink ref="I435" r:id="rId606"/>
    <hyperlink ref="G438" r:id="rId607"/>
    <hyperlink ref="I438" r:id="rId608"/>
    <hyperlink ref="G440" r:id="rId609"/>
    <hyperlink ref="I440" r:id="rId610"/>
    <hyperlink ref="G442" r:id="rId611"/>
    <hyperlink ref="I442" r:id="rId612"/>
    <hyperlink ref="G445" r:id="rId613"/>
    <hyperlink ref="I445" r:id="rId614"/>
    <hyperlink ref="G444" r:id="rId615"/>
    <hyperlink ref="I444" r:id="rId616"/>
    <hyperlink ref="G432" r:id="rId617"/>
    <hyperlink ref="I432" r:id="rId618"/>
    <hyperlink ref="G446" r:id="rId619"/>
    <hyperlink ref="I446" r:id="rId620"/>
    <hyperlink ref="G436" r:id="rId621"/>
    <hyperlink ref="I436" r:id="rId622"/>
    <hyperlink ref="G449" r:id="rId623"/>
    <hyperlink ref="I449" r:id="rId624"/>
    <hyperlink ref="G448" r:id="rId625"/>
    <hyperlink ref="I448" r:id="rId626"/>
    <hyperlink ref="R448" r:id="rId627"/>
    <hyperlink ref="G453" r:id="rId628"/>
    <hyperlink ref="I453" r:id="rId629"/>
    <hyperlink ref="G452" r:id="rId630"/>
    <hyperlink ref="I452" r:id="rId631"/>
    <hyperlink ref="G447" r:id="rId632"/>
    <hyperlink ref="I447" r:id="rId633"/>
    <hyperlink ref="G455" r:id="rId634"/>
    <hyperlink ref="I455" r:id="rId635"/>
    <hyperlink ref="G459" r:id="rId636"/>
    <hyperlink ref="G456" r:id="rId637"/>
    <hyperlink ref="I456" r:id="rId638"/>
    <hyperlink ref="N456" r:id="rId639"/>
    <hyperlink ref="G463" r:id="rId640"/>
    <hyperlink ref="I463" r:id="rId641"/>
    <hyperlink ref="G457" r:id="rId642"/>
    <hyperlink ref="I457" r:id="rId643"/>
    <hyperlink ref="G464" r:id="rId644"/>
    <hyperlink ref="I464" r:id="rId645"/>
    <hyperlink ref="R464" r:id="rId646"/>
    <hyperlink ref="G465" r:id="rId647"/>
    <hyperlink ref="I465" r:id="rId648"/>
    <hyperlink ref="G468" r:id="rId649"/>
    <hyperlink ref="I468" r:id="rId650"/>
    <hyperlink ref="G472" r:id="rId651"/>
    <hyperlink ref="I472" r:id="rId652"/>
    <hyperlink ref="G471" r:id="rId653"/>
    <hyperlink ref="I471" r:id="rId654"/>
    <hyperlink ref="G475" r:id="rId655"/>
    <hyperlink ref="I475" r:id="rId656"/>
    <hyperlink ref="R475" r:id="rId657"/>
    <hyperlink ref="G461" r:id="rId658"/>
    <hyperlink ref="I461" r:id="rId659"/>
    <hyperlink ref="G476" r:id="rId660"/>
    <hyperlink ref="I476" r:id="rId661"/>
    <hyperlink ref="G450" r:id="rId662"/>
    <hyperlink ref="I450" r:id="rId663"/>
    <hyperlink ref="G454" r:id="rId664"/>
    <hyperlink ref="I454" r:id="rId665"/>
    <hyperlink ref="G460" r:id="rId666"/>
    <hyperlink ref="I460" r:id="rId667"/>
    <hyperlink ref="G466" r:id="rId668"/>
    <hyperlink ref="I466" r:id="rId669"/>
    <hyperlink ref="G470" r:id="rId670"/>
    <hyperlink ref="I470" r:id="rId671"/>
    <hyperlink ref="G473" r:id="rId672"/>
    <hyperlink ref="I473" r:id="rId673"/>
    <hyperlink ref="G469" r:id="rId674"/>
    <hyperlink ref="I469" r:id="rId675"/>
    <hyperlink ref="G478" r:id="rId676"/>
    <hyperlink ref="I478" r:id="rId677"/>
    <hyperlink ref="G480" r:id="rId678"/>
    <hyperlink ref="I480" r:id="rId679"/>
    <hyperlink ref="G483" r:id="rId680"/>
    <hyperlink ref="I483" r:id="rId681"/>
    <hyperlink ref="G482" r:id="rId682"/>
    <hyperlink ref="I482" r:id="rId683"/>
    <hyperlink ref="G486" r:id="rId684"/>
    <hyperlink ref="I486" r:id="rId685"/>
    <hyperlink ref="P486" r:id="rId686"/>
    <hyperlink ref="G467" r:id="rId687"/>
    <hyperlink ref="I467" r:id="rId688"/>
    <hyperlink ref="G477" r:id="rId689"/>
    <hyperlink ref="I477" r:id="rId690"/>
    <hyperlink ref="G479" r:id="rId691"/>
    <hyperlink ref="I479" r:id="rId692"/>
    <hyperlink ref="G485" r:id="rId693"/>
    <hyperlink ref="I485" r:id="rId694"/>
    <hyperlink ref="G487" r:id="rId695"/>
    <hyperlink ref="I487" r:id="rId696"/>
    <hyperlink ref="G451" r:id="rId697"/>
    <hyperlink ref="I451" r:id="rId698"/>
    <hyperlink ref="G462" r:id="rId699"/>
    <hyperlink ref="I462" r:id="rId700"/>
    <hyperlink ref="G474" r:id="rId701"/>
    <hyperlink ref="I474" r:id="rId702"/>
    <hyperlink ref="G484" r:id="rId703"/>
    <hyperlink ref="I484" r:id="rId704"/>
    <hyperlink ref="G458" r:id="rId705"/>
    <hyperlink ref="I458" r:id="rId706"/>
    <hyperlink ref="G481" r:id="rId707"/>
    <hyperlink ref="I481" r:id="rId708"/>
    <hyperlink ref="G490" r:id="rId709"/>
    <hyperlink ref="I490" r:id="rId710"/>
    <hyperlink ref="G488" r:id="rId711"/>
    <hyperlink ref="I488" r:id="rId712"/>
    <hyperlink ref="N488" r:id="rId713"/>
    <hyperlink ref="P488" r:id="rId714"/>
    <hyperlink ref="G489" r:id="rId715"/>
    <hyperlink ref="I489" r:id="rId716"/>
    <hyperlink ref="G491" r:id="rId717"/>
    <hyperlink ref="I491" r:id="rId718"/>
    <hyperlink ref="G493" r:id="rId719"/>
    <hyperlink ref="I493" r:id="rId720"/>
    <hyperlink ref="G494" r:id="rId721"/>
    <hyperlink ref="I494" r:id="rId722"/>
    <hyperlink ref="G492" r:id="rId723"/>
    <hyperlink ref="I492" r:id="rId724"/>
    <hyperlink ref="G495" r:id="rId725"/>
    <hyperlink ref="I495" r:id="rId726"/>
    <hyperlink ref="G496" r:id="rId727"/>
    <hyperlink ref="I496" r:id="rId728"/>
    <hyperlink ref="G497" r:id="rId729"/>
    <hyperlink ref="I497" r:id="rId730"/>
    <hyperlink ref="P497" r:id="rId731"/>
    <hyperlink ref="G498" r:id="rId732"/>
    <hyperlink ref="I498" r:id="rId733"/>
    <hyperlink ref="G500" r:id="rId734"/>
    <hyperlink ref="I500" r:id="rId735"/>
    <hyperlink ref="G499" r:id="rId736"/>
    <hyperlink ref="I499" r:id="rId737"/>
    <hyperlink ref="G501" r:id="rId738"/>
    <hyperlink ref="I501" r:id="rId739"/>
    <hyperlink ref="G502" r:id="rId740"/>
    <hyperlink ref="I502" r:id="rId741"/>
    <hyperlink ref="G504" r:id="rId742"/>
    <hyperlink ref="I504" r:id="rId743"/>
    <hyperlink ref="G503" r:id="rId744"/>
    <hyperlink ref="I503" r:id="rId745"/>
    <hyperlink ref="P503" r:id="rId746"/>
    <hyperlink ref="G506" r:id="rId747"/>
    <hyperlink ref="I506" r:id="rId748"/>
    <hyperlink ref="G505" r:id="rId749"/>
    <hyperlink ref="I505" r:id="rId750"/>
    <hyperlink ref="P505" r:id="rId751"/>
    <hyperlink ref="R505" r:id="rId752"/>
    <hyperlink ref="G509" r:id="rId753"/>
    <hyperlink ref="I509" r:id="rId754"/>
    <hyperlink ref="G507" r:id="rId755"/>
    <hyperlink ref="I507" r:id="rId756"/>
    <hyperlink ref="P507" r:id="rId757"/>
    <hyperlink ref="G508" r:id="rId758"/>
    <hyperlink ref="I508" r:id="rId759"/>
    <hyperlink ref="G510" r:id="rId760"/>
    <hyperlink ref="I510" r:id="rId761"/>
    <hyperlink ref="G511" r:id="rId762"/>
    <hyperlink ref="I511" r:id="rId763"/>
    <hyperlink ref="R511" r:id="rId764"/>
    <hyperlink ref="G512" r:id="rId765"/>
    <hyperlink ref="I512" r:id="rId766"/>
    <hyperlink ref="G513" r:id="rId767"/>
    <hyperlink ref="I513" r:id="rId768"/>
    <hyperlink ref="G514" r:id="rId769"/>
    <hyperlink ref="I514" r:id="rId770"/>
    <hyperlink ref="G517" r:id="rId771"/>
    <hyperlink ref="I517" r:id="rId772"/>
    <hyperlink ref="G515" r:id="rId773"/>
    <hyperlink ref="I515" r:id="rId774"/>
    <hyperlink ref="G520" r:id="rId775"/>
    <hyperlink ref="I520" r:id="rId776"/>
    <hyperlink ref="G518" r:id="rId777"/>
    <hyperlink ref="I518" r:id="rId778"/>
    <hyperlink ref="G516" r:id="rId779"/>
    <hyperlink ref="I516" r:id="rId780"/>
    <hyperlink ref="G519" r:id="rId781"/>
    <hyperlink ref="I519" r:id="rId782"/>
    <hyperlink ref="G522" r:id="rId783"/>
    <hyperlink ref="I522" r:id="rId784"/>
    <hyperlink ref="G521" r:id="rId785"/>
    <hyperlink ref="I521" r:id="rId786"/>
    <hyperlink ref="G523" r:id="rId787"/>
    <hyperlink ref="I523" r:id="rId788"/>
    <hyperlink ref="G524" r:id="rId789"/>
    <hyperlink ref="I524" r:id="rId790"/>
    <hyperlink ref="G525" r:id="rId791"/>
    <hyperlink ref="I525" r:id="rId792"/>
    <hyperlink ref="G526" r:id="rId793"/>
    <hyperlink ref="I526" r:id="rId794"/>
    <hyperlink ref="G528" r:id="rId795"/>
    <hyperlink ref="I528" r:id="rId796"/>
    <hyperlink ref="R528" r:id="rId797"/>
    <hyperlink ref="G529" r:id="rId798"/>
    <hyperlink ref="I529" r:id="rId799"/>
    <hyperlink ref="G530" r:id="rId800"/>
    <hyperlink ref="I530" r:id="rId801"/>
    <hyperlink ref="N530" r:id="rId802"/>
    <hyperlink ref="G533" r:id="rId803"/>
    <hyperlink ref="I533" r:id="rId804"/>
    <hyperlink ref="G534" r:id="rId805"/>
    <hyperlink ref="I534" r:id="rId806"/>
    <hyperlink ref="G535" r:id="rId807"/>
    <hyperlink ref="I535" r:id="rId808"/>
    <hyperlink ref="G536" r:id="rId809"/>
    <hyperlink ref="I536" r:id="rId810"/>
    <hyperlink ref="G539" r:id="rId811"/>
    <hyperlink ref="I539" r:id="rId812"/>
    <hyperlink ref="G540" r:id="rId813"/>
    <hyperlink ref="I540" r:id="rId814"/>
    <hyperlink ref="G543" r:id="rId815"/>
    <hyperlink ref="I543" r:id="rId816"/>
    <hyperlink ref="G544" r:id="rId817"/>
    <hyperlink ref="I544" r:id="rId818"/>
    <hyperlink ref="R544" r:id="rId819"/>
    <hyperlink ref="G548" r:id="rId820"/>
    <hyperlink ref="I548" r:id="rId821"/>
    <hyperlink ref="R548" r:id="rId822"/>
    <hyperlink ref="G549" r:id="rId823"/>
    <hyperlink ref="I549" r:id="rId824"/>
    <hyperlink ref="G552" r:id="rId825"/>
    <hyperlink ref="I552" r:id="rId826"/>
    <hyperlink ref="G553" r:id="rId827"/>
    <hyperlink ref="I553" r:id="rId828"/>
    <hyperlink ref="P553" r:id="rId829"/>
    <hyperlink ref="R553" r:id="rId830"/>
    <hyperlink ref="G554" r:id="rId831"/>
    <hyperlink ref="I554" r:id="rId832"/>
    <hyperlink ref="G547" r:id="rId833"/>
    <hyperlink ref="I547" r:id="rId834"/>
    <hyperlink ref="G555" r:id="rId835"/>
    <hyperlink ref="I555" r:id="rId836"/>
    <hyperlink ref="G531" r:id="rId837"/>
    <hyperlink ref="I531" r:id="rId838"/>
    <hyperlink ref="G537" r:id="rId839"/>
    <hyperlink ref="I537" r:id="rId840"/>
    <hyperlink ref="G527" r:id="rId841"/>
    <hyperlink ref="I527" r:id="rId842"/>
    <hyperlink ref="G541" r:id="rId843"/>
    <hyperlink ref="I541" r:id="rId844"/>
    <hyperlink ref="G550" r:id="rId845"/>
    <hyperlink ref="I550" r:id="rId846"/>
    <hyperlink ref="G557" r:id="rId847"/>
    <hyperlink ref="I557" r:id="rId848"/>
    <hyperlink ref="G538" r:id="rId849"/>
    <hyperlink ref="I538" r:id="rId850"/>
    <hyperlink ref="G542" r:id="rId851"/>
    <hyperlink ref="I542" r:id="rId852"/>
    <hyperlink ref="G545" r:id="rId853"/>
    <hyperlink ref="I545" r:id="rId854"/>
    <hyperlink ref="G532" r:id="rId855"/>
    <hyperlink ref="I532" r:id="rId856"/>
    <hyperlink ref="G546" r:id="rId857"/>
    <hyperlink ref="I546" r:id="rId858"/>
    <hyperlink ref="G551" r:id="rId859"/>
    <hyperlink ref="I551" r:id="rId860"/>
    <hyperlink ref="G556" r:id="rId861"/>
    <hyperlink ref="I556" r:id="rId862"/>
    <hyperlink ref="G559" r:id="rId863"/>
    <hyperlink ref="I559" r:id="rId864"/>
    <hyperlink ref="R559" r:id="rId865"/>
    <hyperlink ref="G560" r:id="rId866"/>
    <hyperlink ref="I560" r:id="rId867"/>
    <hyperlink ref="G563" r:id="rId868"/>
    <hyperlink ref="I563" r:id="rId869"/>
    <hyperlink ref="G564" r:id="rId870"/>
    <hyperlink ref="I564" r:id="rId871"/>
    <hyperlink ref="G567" r:id="rId872"/>
    <hyperlink ref="I567" r:id="rId873"/>
    <hyperlink ref="N567" r:id="rId874"/>
    <hyperlink ref="G570" r:id="rId875"/>
    <hyperlink ref="I570" r:id="rId876"/>
    <hyperlink ref="G571" r:id="rId877"/>
    <hyperlink ref="I571" r:id="rId878"/>
    <hyperlink ref="G572" r:id="rId879"/>
    <hyperlink ref="I572" r:id="rId880"/>
    <hyperlink ref="G576" r:id="rId881"/>
    <hyperlink ref="I576" r:id="rId882"/>
    <hyperlink ref="G573" r:id="rId883"/>
    <hyperlink ref="I573" r:id="rId884"/>
    <hyperlink ref="R573" r:id="rId885"/>
    <hyperlink ref="G577" r:id="rId886"/>
    <hyperlink ref="I577" r:id="rId887"/>
    <hyperlink ref="G578" r:id="rId888"/>
    <hyperlink ref="I578" r:id="rId889"/>
    <hyperlink ref="G580" r:id="rId890"/>
    <hyperlink ref="I580" r:id="rId891"/>
    <hyperlink ref="G584" r:id="rId892"/>
    <hyperlink ref="I584" r:id="rId893"/>
    <hyperlink ref="G558" r:id="rId894"/>
    <hyperlink ref="I558" r:id="rId895"/>
    <hyperlink ref="G561" r:id="rId896"/>
    <hyperlink ref="I561" r:id="rId897"/>
    <hyperlink ref="G565" r:id="rId898"/>
    <hyperlink ref="I565" r:id="rId899"/>
    <hyperlink ref="R565" r:id="rId900"/>
    <hyperlink ref="G574" r:id="rId901"/>
    <hyperlink ref="I574" r:id="rId902"/>
    <hyperlink ref="G579" r:id="rId903"/>
    <hyperlink ref="I579" r:id="rId904"/>
    <hyperlink ref="G581" r:id="rId905"/>
    <hyperlink ref="I581" r:id="rId906"/>
    <hyperlink ref="G568" r:id="rId907"/>
    <hyperlink ref="I568" r:id="rId908"/>
    <hyperlink ref="G575" r:id="rId909"/>
    <hyperlink ref="I575" r:id="rId910"/>
    <hyperlink ref="G582" r:id="rId911"/>
    <hyperlink ref="I582" r:id="rId912"/>
    <hyperlink ref="G562" r:id="rId913"/>
    <hyperlink ref="I562" r:id="rId914"/>
    <hyperlink ref="G566" r:id="rId915"/>
    <hyperlink ref="I566" r:id="rId916"/>
    <hyperlink ref="G569" r:id="rId917"/>
    <hyperlink ref="I569" r:id="rId918"/>
    <hyperlink ref="G583" r:id="rId919"/>
    <hyperlink ref="I583" r:id="rId920"/>
    <hyperlink ref="G585" r:id="rId921"/>
    <hyperlink ref="I585" r:id="rId922"/>
    <hyperlink ref="R585" r:id="rId923"/>
    <hyperlink ref="G586" r:id="rId924"/>
    <hyperlink ref="I586" r:id="rId925"/>
    <hyperlink ref="G589" r:id="rId926"/>
    <hyperlink ref="I589" r:id="rId927"/>
    <hyperlink ref="R589" r:id="rId928"/>
    <hyperlink ref="G590" r:id="rId929"/>
    <hyperlink ref="I590" r:id="rId930"/>
    <hyperlink ref="G593" r:id="rId931"/>
    <hyperlink ref="I593" r:id="rId932"/>
    <hyperlink ref="G595" r:id="rId933"/>
    <hyperlink ref="I595" r:id="rId934"/>
    <hyperlink ref="G596" r:id="rId935"/>
    <hyperlink ref="I596" r:id="rId936"/>
    <hyperlink ref="G598" r:id="rId937"/>
    <hyperlink ref="I598" r:id="rId938"/>
    <hyperlink ref="N598" r:id="rId939"/>
    <hyperlink ref="R598" r:id="rId940"/>
    <hyperlink ref="G599" r:id="rId941"/>
    <hyperlink ref="I599" r:id="rId942"/>
    <hyperlink ref="G600" r:id="rId943"/>
    <hyperlink ref="I600" r:id="rId944"/>
    <hyperlink ref="G603" r:id="rId945"/>
    <hyperlink ref="I603" r:id="rId946"/>
    <hyperlink ref="N603" r:id="rId947"/>
    <hyperlink ref="G604" r:id="rId948"/>
    <hyperlink ref="I604" r:id="rId949"/>
    <hyperlink ref="G605" r:id="rId950"/>
    <hyperlink ref="I605" r:id="rId951"/>
    <hyperlink ref="G587" r:id="rId952"/>
    <hyperlink ref="I587" r:id="rId953"/>
    <hyperlink ref="G591" r:id="rId954"/>
    <hyperlink ref="I591" r:id="rId955"/>
    <hyperlink ref="G606" r:id="rId956"/>
    <hyperlink ref="I606" r:id="rId957"/>
    <hyperlink ref="G609" r:id="rId958"/>
    <hyperlink ref="I609" r:id="rId959"/>
    <hyperlink ref="G611" r:id="rId960"/>
    <hyperlink ref="I611" r:id="rId961"/>
    <hyperlink ref="G612" r:id="rId962"/>
    <hyperlink ref="I612" r:id="rId963"/>
    <hyperlink ref="G614" r:id="rId964"/>
    <hyperlink ref="I614" r:id="rId965"/>
    <hyperlink ref="G588" r:id="rId966"/>
    <hyperlink ref="I588" r:id="rId967"/>
    <hyperlink ref="G601" r:id="rId968"/>
    <hyperlink ref="I601" r:id="rId969"/>
    <hyperlink ref="G607" r:id="rId970"/>
    <hyperlink ref="I607" r:id="rId971"/>
    <hyperlink ref="G610" r:id="rId972"/>
    <hyperlink ref="I610" r:id="rId973"/>
    <hyperlink ref="G613" r:id="rId974"/>
    <hyperlink ref="I613" r:id="rId975"/>
    <hyperlink ref="G615" r:id="rId976"/>
    <hyperlink ref="I615" r:id="rId977"/>
    <hyperlink ref="G592" r:id="rId978"/>
    <hyperlink ref="I592" r:id="rId979"/>
    <hyperlink ref="N592" r:id="rId980"/>
    <hyperlink ref="G594" r:id="rId981"/>
    <hyperlink ref="I594" r:id="rId982"/>
    <hyperlink ref="G597" r:id="rId983"/>
    <hyperlink ref="I597" r:id="rId984"/>
    <hyperlink ref="G602" r:id="rId985"/>
    <hyperlink ref="I602" r:id="rId986"/>
    <hyperlink ref="G608" r:id="rId987"/>
    <hyperlink ref="I608" r:id="rId988"/>
    <hyperlink ref="G616" r:id="rId989"/>
    <hyperlink ref="I616" r:id="rId990"/>
    <hyperlink ref="G617" r:id="rId991"/>
    <hyperlink ref="I617" r:id="rId992"/>
    <hyperlink ref="G618" r:id="rId993"/>
    <hyperlink ref="I618" r:id="rId994"/>
    <hyperlink ref="G619" r:id="rId995"/>
    <hyperlink ref="I619" r:id="rId996"/>
    <hyperlink ref="G620" r:id="rId997"/>
    <hyperlink ref="I620" r:id="rId998"/>
  </hyperlinks>
  <pageMargins left="0.511811024" right="0.511811024" top="0.78740157499999996" bottom="0.78740157499999996" header="0.31496062000000002" footer="0.31496062000000002"/>
  <pageSetup paperSize="9" orientation="portrait" r:id="rId999"/>
  <drawing r:id="rId1000"/>
  <tableParts count="1">
    <tablePart r:id="rId1001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100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8"/>
  </sheetPr>
  <dimension ref="A3:H89"/>
  <sheetViews>
    <sheetView showGridLines="0" workbookViewId="0">
      <pane ySplit="3" topLeftCell="A83" activePane="bottomLeft" state="frozen"/>
      <selection pane="bottomLeft" activeCell="D107" sqref="D107:D108"/>
    </sheetView>
  </sheetViews>
  <sheetFormatPr defaultRowHeight="13.8"/>
  <cols>
    <col min="1" max="1" width="16.09765625" bestFit="1" customWidth="1"/>
    <col min="2" max="2" width="31.19921875" bestFit="1" customWidth="1"/>
    <col min="3" max="3" width="13" bestFit="1" customWidth="1"/>
    <col min="4" max="4" width="12" bestFit="1" customWidth="1"/>
    <col min="5" max="5" width="19.19921875" bestFit="1" customWidth="1"/>
    <col min="6" max="6" width="12.59765625" bestFit="1" customWidth="1"/>
    <col min="7" max="7" width="16.59765625" bestFit="1" customWidth="1"/>
    <col min="8" max="8" width="13" bestFit="1" customWidth="1"/>
  </cols>
  <sheetData>
    <row r="3" spans="1:8">
      <c r="A3" s="3" t="s">
        <v>56</v>
      </c>
      <c r="B3" s="3" t="s">
        <v>70</v>
      </c>
      <c r="C3" t="s">
        <v>32</v>
      </c>
      <c r="D3" t="s">
        <v>33</v>
      </c>
      <c r="E3" t="s">
        <v>35</v>
      </c>
      <c r="F3" t="s">
        <v>34</v>
      </c>
      <c r="G3" t="s">
        <v>36</v>
      </c>
      <c r="H3" s="14" t="s">
        <v>67</v>
      </c>
    </row>
    <row r="4" spans="1:8" hidden="1">
      <c r="A4" t="s">
        <v>167</v>
      </c>
      <c r="B4" t="s">
        <v>24</v>
      </c>
      <c r="C4" s="4">
        <v>0</v>
      </c>
      <c r="D4" s="4">
        <v>0</v>
      </c>
      <c r="E4" s="4">
        <v>0</v>
      </c>
      <c r="F4" s="4">
        <v>179.49</v>
      </c>
      <c r="G4" s="4">
        <v>0</v>
      </c>
      <c r="H4" s="16">
        <v>179.49</v>
      </c>
    </row>
    <row r="5" spans="1:8" hidden="1">
      <c r="A5" t="s">
        <v>167</v>
      </c>
      <c r="B5" t="s">
        <v>227</v>
      </c>
      <c r="C5" s="4">
        <v>586.30000000000007</v>
      </c>
      <c r="D5" s="4">
        <v>0</v>
      </c>
      <c r="E5" s="4">
        <v>0</v>
      </c>
      <c r="F5" s="4">
        <v>16.2</v>
      </c>
      <c r="G5" s="4">
        <v>0</v>
      </c>
      <c r="H5" s="16">
        <v>602.50000000000011</v>
      </c>
    </row>
    <row r="6" spans="1:8" hidden="1">
      <c r="A6" t="s">
        <v>167</v>
      </c>
      <c r="B6" t="s">
        <v>132</v>
      </c>
      <c r="C6" s="4">
        <v>2167.0000000000005</v>
      </c>
      <c r="D6" s="4">
        <v>43.8</v>
      </c>
      <c r="E6" s="4">
        <v>58</v>
      </c>
      <c r="F6" s="4">
        <v>71</v>
      </c>
      <c r="G6" s="4">
        <v>413.45</v>
      </c>
      <c r="H6" s="16">
        <v>2753.2500000000005</v>
      </c>
    </row>
    <row r="7" spans="1:8" hidden="1">
      <c r="A7" t="s">
        <v>167</v>
      </c>
      <c r="B7" t="s">
        <v>134</v>
      </c>
      <c r="C7" s="4">
        <v>1635.7000000000003</v>
      </c>
      <c r="D7" s="4">
        <v>0</v>
      </c>
      <c r="E7" s="4">
        <v>0</v>
      </c>
      <c r="F7" s="4">
        <v>0</v>
      </c>
      <c r="G7" s="4">
        <v>219.94</v>
      </c>
      <c r="H7" s="16">
        <v>1855.6400000000003</v>
      </c>
    </row>
    <row r="8" spans="1:8" hidden="1">
      <c r="A8" t="s">
        <v>167</v>
      </c>
      <c r="B8" t="s">
        <v>135</v>
      </c>
      <c r="C8" s="4">
        <v>471.90000000000003</v>
      </c>
      <c r="D8" s="4">
        <v>0</v>
      </c>
      <c r="E8" s="4">
        <v>0</v>
      </c>
      <c r="F8" s="4">
        <v>0</v>
      </c>
      <c r="G8" s="4">
        <v>0</v>
      </c>
      <c r="H8" s="16">
        <v>471.90000000000003</v>
      </c>
    </row>
    <row r="9" spans="1:8" hidden="1">
      <c r="A9" t="s">
        <v>167</v>
      </c>
      <c r="B9" t="s">
        <v>136</v>
      </c>
      <c r="C9" s="4">
        <v>1423.4</v>
      </c>
      <c r="D9" s="4">
        <v>0</v>
      </c>
      <c r="E9" s="4">
        <v>0</v>
      </c>
      <c r="F9" s="4">
        <v>0</v>
      </c>
      <c r="G9" s="4">
        <v>0</v>
      </c>
      <c r="H9" s="16">
        <v>1423.4</v>
      </c>
    </row>
    <row r="10" spans="1:8" hidden="1">
      <c r="A10" t="s">
        <v>167</v>
      </c>
      <c r="B10" t="s">
        <v>139</v>
      </c>
      <c r="C10" s="4">
        <v>129.80000000000001</v>
      </c>
      <c r="D10" s="4">
        <v>0</v>
      </c>
      <c r="E10" s="4">
        <v>0</v>
      </c>
      <c r="F10" s="4">
        <v>0</v>
      </c>
      <c r="G10" s="4">
        <v>0</v>
      </c>
      <c r="H10" s="16">
        <v>129.80000000000001</v>
      </c>
    </row>
    <row r="11" spans="1:8" hidden="1">
      <c r="A11" t="s">
        <v>167</v>
      </c>
      <c r="B11" t="s">
        <v>141</v>
      </c>
      <c r="C11" s="4">
        <v>1108.8</v>
      </c>
      <c r="D11" s="4">
        <v>0</v>
      </c>
      <c r="E11" s="4">
        <v>0</v>
      </c>
      <c r="F11" s="4">
        <v>0</v>
      </c>
      <c r="G11" s="4">
        <v>0</v>
      </c>
      <c r="H11" s="16">
        <v>1108.8</v>
      </c>
    </row>
    <row r="12" spans="1:8" hidden="1">
      <c r="A12" t="s">
        <v>167</v>
      </c>
      <c r="B12" t="s">
        <v>250</v>
      </c>
      <c r="C12" s="4">
        <v>1080.2</v>
      </c>
      <c r="D12" s="4">
        <v>0</v>
      </c>
      <c r="E12" s="4">
        <v>0</v>
      </c>
      <c r="F12" s="4">
        <v>9</v>
      </c>
      <c r="G12" s="4">
        <v>0</v>
      </c>
      <c r="H12" s="16">
        <v>1089.2</v>
      </c>
    </row>
    <row r="13" spans="1:8" hidden="1">
      <c r="A13" t="s">
        <v>1054</v>
      </c>
      <c r="C13" s="4">
        <v>8603.1000000000022</v>
      </c>
      <c r="D13" s="4">
        <v>43.8</v>
      </c>
      <c r="E13" s="4">
        <v>58</v>
      </c>
      <c r="F13" s="4">
        <v>275.69</v>
      </c>
      <c r="G13" s="4">
        <v>633.39</v>
      </c>
      <c r="H13" s="4">
        <v>9613.98</v>
      </c>
    </row>
    <row r="14" spans="1:8" hidden="1">
      <c r="A14" t="s">
        <v>251</v>
      </c>
      <c r="B14" t="s">
        <v>626</v>
      </c>
      <c r="C14" s="4">
        <v>264</v>
      </c>
      <c r="D14" s="4">
        <v>0</v>
      </c>
      <c r="E14" s="4">
        <v>0</v>
      </c>
      <c r="F14" s="4">
        <v>0</v>
      </c>
      <c r="G14" s="4">
        <v>0</v>
      </c>
      <c r="H14" s="16">
        <v>264</v>
      </c>
    </row>
    <row r="15" spans="1:8" hidden="1">
      <c r="A15" t="s">
        <v>251</v>
      </c>
      <c r="B15" t="s">
        <v>132</v>
      </c>
      <c r="C15" s="4">
        <v>2333.1000000000004</v>
      </c>
      <c r="D15" s="4">
        <v>78.000000000000014</v>
      </c>
      <c r="E15" s="4">
        <v>75</v>
      </c>
      <c r="F15" s="4">
        <v>202.56</v>
      </c>
      <c r="G15" s="4">
        <v>537.54</v>
      </c>
      <c r="H15" s="16">
        <v>3226.2000000000003</v>
      </c>
    </row>
    <row r="16" spans="1:8" hidden="1">
      <c r="A16" t="s">
        <v>251</v>
      </c>
      <c r="B16" t="s">
        <v>134</v>
      </c>
      <c r="C16" s="4">
        <v>1774.3000000000002</v>
      </c>
      <c r="D16" s="4">
        <v>0</v>
      </c>
      <c r="E16" s="4">
        <v>0</v>
      </c>
      <c r="F16" s="4">
        <v>0</v>
      </c>
      <c r="G16" s="4">
        <v>0</v>
      </c>
      <c r="H16" s="16">
        <v>1774.3000000000002</v>
      </c>
    </row>
    <row r="17" spans="1:8" hidden="1">
      <c r="A17" t="s">
        <v>251</v>
      </c>
      <c r="B17" t="s">
        <v>136</v>
      </c>
      <c r="C17" s="4">
        <v>834.90000000000009</v>
      </c>
      <c r="D17" s="4">
        <v>0</v>
      </c>
      <c r="E17" s="4">
        <v>0</v>
      </c>
      <c r="F17" s="4">
        <v>0</v>
      </c>
      <c r="G17" s="4">
        <v>0</v>
      </c>
      <c r="H17" s="16">
        <v>834.90000000000009</v>
      </c>
    </row>
    <row r="18" spans="1:8" hidden="1">
      <c r="A18" t="s">
        <v>251</v>
      </c>
      <c r="B18" t="s">
        <v>141</v>
      </c>
      <c r="C18" s="4">
        <v>2047.1000000000004</v>
      </c>
      <c r="D18" s="4">
        <v>0</v>
      </c>
      <c r="E18" s="4">
        <v>0</v>
      </c>
      <c r="F18" s="4">
        <v>0</v>
      </c>
      <c r="G18" s="4">
        <v>0</v>
      </c>
      <c r="H18" s="16">
        <v>2047.1000000000004</v>
      </c>
    </row>
    <row r="19" spans="1:8" hidden="1">
      <c r="A19" t="s">
        <v>251</v>
      </c>
      <c r="B19" t="s">
        <v>250</v>
      </c>
      <c r="C19" s="4">
        <v>1449.8000000000002</v>
      </c>
      <c r="D19" s="4">
        <v>0</v>
      </c>
      <c r="E19" s="4">
        <v>0</v>
      </c>
      <c r="F19" s="4">
        <v>17.5</v>
      </c>
      <c r="G19" s="4">
        <v>0</v>
      </c>
      <c r="H19" s="16">
        <v>1467.3000000000002</v>
      </c>
    </row>
    <row r="20" spans="1:8" hidden="1">
      <c r="A20" t="s">
        <v>251</v>
      </c>
      <c r="B20" t="s">
        <v>470</v>
      </c>
      <c r="C20" s="4">
        <v>1111.0000000000002</v>
      </c>
      <c r="D20" s="4">
        <v>0</v>
      </c>
      <c r="E20" s="4">
        <v>0</v>
      </c>
      <c r="F20" s="4">
        <v>0</v>
      </c>
      <c r="G20" s="4">
        <v>0</v>
      </c>
      <c r="H20" s="16">
        <v>1111.0000000000002</v>
      </c>
    </row>
    <row r="21" spans="1:8" hidden="1">
      <c r="A21" t="s">
        <v>251</v>
      </c>
      <c r="B21" t="s">
        <v>498</v>
      </c>
      <c r="C21" s="4">
        <v>216.7</v>
      </c>
      <c r="D21" s="4">
        <v>5.7</v>
      </c>
      <c r="E21" s="4">
        <v>0</v>
      </c>
      <c r="F21" s="4">
        <v>0</v>
      </c>
      <c r="G21" s="4">
        <v>0</v>
      </c>
      <c r="H21" s="16">
        <v>222.39999999999998</v>
      </c>
    </row>
    <row r="22" spans="1:8" hidden="1">
      <c r="A22" t="s">
        <v>251</v>
      </c>
      <c r="B22" t="s">
        <v>505</v>
      </c>
      <c r="C22" s="4">
        <v>799.7</v>
      </c>
      <c r="D22" s="4">
        <v>0</v>
      </c>
      <c r="E22" s="4">
        <v>0</v>
      </c>
      <c r="F22" s="4">
        <v>0</v>
      </c>
      <c r="G22" s="4">
        <v>0</v>
      </c>
      <c r="H22" s="16">
        <v>799.7</v>
      </c>
    </row>
    <row r="23" spans="1:8" hidden="1">
      <c r="A23" t="s">
        <v>1055</v>
      </c>
      <c r="C23" s="4">
        <v>10830.600000000002</v>
      </c>
      <c r="D23" s="4">
        <v>83.700000000000017</v>
      </c>
      <c r="E23" s="4">
        <v>75</v>
      </c>
      <c r="F23" s="4">
        <v>220.06</v>
      </c>
      <c r="G23" s="4">
        <v>537.54</v>
      </c>
      <c r="H23" s="4">
        <v>11746.900000000001</v>
      </c>
    </row>
    <row r="24" spans="1:8" hidden="1">
      <c r="A24" t="s">
        <v>252</v>
      </c>
      <c r="B24" t="s">
        <v>132</v>
      </c>
      <c r="C24" s="4">
        <v>1773.15</v>
      </c>
      <c r="D24" s="4">
        <v>50.4</v>
      </c>
      <c r="E24" s="4">
        <v>85</v>
      </c>
      <c r="F24" s="4">
        <v>48.72</v>
      </c>
      <c r="G24" s="4">
        <v>0</v>
      </c>
      <c r="H24" s="16">
        <v>1957.2700000000002</v>
      </c>
    </row>
    <row r="25" spans="1:8" hidden="1">
      <c r="A25" t="s">
        <v>252</v>
      </c>
      <c r="B25" t="s">
        <v>134</v>
      </c>
      <c r="C25" s="4">
        <v>1407.1299999999999</v>
      </c>
      <c r="D25" s="4">
        <v>0</v>
      </c>
      <c r="E25" s="4">
        <v>0</v>
      </c>
      <c r="F25" s="4">
        <v>0</v>
      </c>
      <c r="G25" s="4">
        <v>0</v>
      </c>
      <c r="H25" s="16">
        <v>1407.1299999999999</v>
      </c>
    </row>
    <row r="26" spans="1:8" hidden="1">
      <c r="A26" t="s">
        <v>252</v>
      </c>
      <c r="B26" t="s">
        <v>136</v>
      </c>
      <c r="C26" s="4">
        <v>1549.24</v>
      </c>
      <c r="D26" s="4">
        <v>0</v>
      </c>
      <c r="E26" s="4">
        <v>0</v>
      </c>
      <c r="F26" s="4">
        <v>0</v>
      </c>
      <c r="G26" s="4">
        <v>0</v>
      </c>
      <c r="H26" s="16">
        <v>1549.24</v>
      </c>
    </row>
    <row r="27" spans="1:8" hidden="1">
      <c r="A27" t="s">
        <v>252</v>
      </c>
      <c r="B27" t="s">
        <v>141</v>
      </c>
      <c r="C27" s="4">
        <v>1510.92</v>
      </c>
      <c r="D27" s="4">
        <v>0</v>
      </c>
      <c r="E27" s="4">
        <v>25</v>
      </c>
      <c r="F27" s="4">
        <v>0</v>
      </c>
      <c r="G27" s="4">
        <v>0</v>
      </c>
      <c r="H27" s="16">
        <v>1535.92</v>
      </c>
    </row>
    <row r="28" spans="1:8" hidden="1">
      <c r="A28" t="s">
        <v>252</v>
      </c>
      <c r="B28" t="s">
        <v>250</v>
      </c>
      <c r="C28" s="4">
        <v>1670.27</v>
      </c>
      <c r="D28" s="4">
        <v>0</v>
      </c>
      <c r="E28" s="4">
        <v>8</v>
      </c>
      <c r="F28" s="4">
        <v>31.45</v>
      </c>
      <c r="G28" s="4">
        <v>0</v>
      </c>
      <c r="H28" s="16">
        <v>1709.72</v>
      </c>
    </row>
    <row r="29" spans="1:8" hidden="1">
      <c r="A29" t="s">
        <v>252</v>
      </c>
      <c r="B29" t="s">
        <v>470</v>
      </c>
      <c r="C29" s="4">
        <v>1127.7</v>
      </c>
      <c r="D29" s="4">
        <v>0</v>
      </c>
      <c r="E29" s="4">
        <v>0</v>
      </c>
      <c r="F29" s="4">
        <v>0</v>
      </c>
      <c r="G29" s="4">
        <v>0</v>
      </c>
      <c r="H29" s="16">
        <v>1127.7</v>
      </c>
    </row>
    <row r="30" spans="1:8" hidden="1">
      <c r="A30" t="s">
        <v>252</v>
      </c>
      <c r="B30" t="s">
        <v>498</v>
      </c>
      <c r="C30" s="4">
        <v>1448.84</v>
      </c>
      <c r="D30" s="4">
        <v>47.6</v>
      </c>
      <c r="E30" s="4">
        <v>20</v>
      </c>
      <c r="F30" s="4">
        <v>0</v>
      </c>
      <c r="G30" s="4">
        <v>0</v>
      </c>
      <c r="H30" s="16">
        <v>1516.4399999999998</v>
      </c>
    </row>
    <row r="31" spans="1:8" hidden="1">
      <c r="A31" t="s">
        <v>252</v>
      </c>
      <c r="B31" t="s">
        <v>505</v>
      </c>
      <c r="C31" s="4">
        <v>1358.5900000000004</v>
      </c>
      <c r="D31" s="4">
        <v>0</v>
      </c>
      <c r="E31" s="4">
        <v>0</v>
      </c>
      <c r="F31" s="4">
        <v>240.7</v>
      </c>
      <c r="G31" s="4">
        <v>0</v>
      </c>
      <c r="H31" s="16">
        <v>1599.2900000000004</v>
      </c>
    </row>
    <row r="32" spans="1:8" hidden="1">
      <c r="A32" t="s">
        <v>1056</v>
      </c>
      <c r="C32" s="4">
        <v>11845.84</v>
      </c>
      <c r="D32" s="4">
        <v>98</v>
      </c>
      <c r="E32" s="4">
        <v>138</v>
      </c>
      <c r="F32" s="4">
        <v>320.87</v>
      </c>
      <c r="G32" s="4">
        <v>0</v>
      </c>
      <c r="H32" s="4">
        <v>12402.710000000006</v>
      </c>
    </row>
    <row r="33" spans="1:8" hidden="1">
      <c r="A33" t="s">
        <v>253</v>
      </c>
      <c r="B33" t="s">
        <v>132</v>
      </c>
      <c r="C33" s="4">
        <v>1741.68</v>
      </c>
      <c r="D33" s="4">
        <v>43.8</v>
      </c>
      <c r="E33" s="4">
        <v>58</v>
      </c>
      <c r="F33" s="4">
        <v>110.83</v>
      </c>
      <c r="G33" s="4">
        <v>0</v>
      </c>
      <c r="H33" s="16">
        <v>1954.31</v>
      </c>
    </row>
    <row r="34" spans="1:8" hidden="1">
      <c r="A34" t="s">
        <v>253</v>
      </c>
      <c r="B34" t="s">
        <v>134</v>
      </c>
      <c r="C34" s="4">
        <v>1324.71</v>
      </c>
      <c r="D34" s="4">
        <v>0</v>
      </c>
      <c r="E34" s="4">
        <v>0</v>
      </c>
      <c r="F34" s="4">
        <v>0</v>
      </c>
      <c r="G34" s="4">
        <v>0</v>
      </c>
      <c r="H34" s="16">
        <v>1324.71</v>
      </c>
    </row>
    <row r="35" spans="1:8" hidden="1">
      <c r="A35" t="s">
        <v>253</v>
      </c>
      <c r="B35" t="s">
        <v>136</v>
      </c>
      <c r="C35" s="4">
        <v>1332.09</v>
      </c>
      <c r="D35" s="4">
        <v>0</v>
      </c>
      <c r="E35" s="4">
        <v>0</v>
      </c>
      <c r="F35" s="4">
        <v>0</v>
      </c>
      <c r="G35" s="4">
        <v>0</v>
      </c>
      <c r="H35" s="16">
        <v>1332.09</v>
      </c>
    </row>
    <row r="36" spans="1:8" hidden="1">
      <c r="A36" t="s">
        <v>253</v>
      </c>
      <c r="B36" t="s">
        <v>141</v>
      </c>
      <c r="C36" s="4">
        <v>568.26</v>
      </c>
      <c r="D36" s="4">
        <v>0</v>
      </c>
      <c r="E36" s="4">
        <v>0</v>
      </c>
      <c r="F36" s="4">
        <v>0</v>
      </c>
      <c r="G36" s="4">
        <v>0</v>
      </c>
      <c r="H36" s="16">
        <v>568.26</v>
      </c>
    </row>
    <row r="37" spans="1:8" hidden="1">
      <c r="A37" t="s">
        <v>253</v>
      </c>
      <c r="B37" t="s">
        <v>250</v>
      </c>
      <c r="C37" s="4">
        <v>1201.71</v>
      </c>
      <c r="D37" s="4">
        <v>0</v>
      </c>
      <c r="E37" s="4">
        <v>0</v>
      </c>
      <c r="F37" s="4">
        <v>20.75</v>
      </c>
      <c r="G37" s="4">
        <v>0</v>
      </c>
      <c r="H37" s="16">
        <v>1222.46</v>
      </c>
    </row>
    <row r="38" spans="1:8" hidden="1">
      <c r="A38" t="s">
        <v>253</v>
      </c>
      <c r="B38" t="s">
        <v>470</v>
      </c>
      <c r="C38" s="4">
        <v>630.99</v>
      </c>
      <c r="D38" s="4">
        <v>0</v>
      </c>
      <c r="E38" s="4">
        <v>0</v>
      </c>
      <c r="F38" s="4">
        <v>0</v>
      </c>
      <c r="G38" s="4">
        <v>0</v>
      </c>
      <c r="H38" s="16">
        <v>630.99</v>
      </c>
    </row>
    <row r="39" spans="1:8" hidden="1">
      <c r="A39" t="s">
        <v>253</v>
      </c>
      <c r="B39" t="s">
        <v>498</v>
      </c>
      <c r="C39" s="4">
        <v>1185.72</v>
      </c>
      <c r="D39" s="4">
        <v>0</v>
      </c>
      <c r="E39" s="4">
        <v>0</v>
      </c>
      <c r="F39" s="4">
        <v>0</v>
      </c>
      <c r="G39" s="4">
        <v>0</v>
      </c>
      <c r="H39" s="16">
        <v>1185.72</v>
      </c>
    </row>
    <row r="40" spans="1:8" hidden="1">
      <c r="A40" t="s">
        <v>253</v>
      </c>
      <c r="B40" t="s">
        <v>505</v>
      </c>
      <c r="C40" s="4">
        <v>1308.7200000000003</v>
      </c>
      <c r="D40" s="4">
        <v>0</v>
      </c>
      <c r="E40" s="4">
        <v>0</v>
      </c>
      <c r="F40" s="4">
        <v>40</v>
      </c>
      <c r="G40" s="4">
        <v>0</v>
      </c>
      <c r="H40" s="16">
        <v>1348.7200000000003</v>
      </c>
    </row>
    <row r="41" spans="1:8" hidden="1">
      <c r="A41" t="s">
        <v>1053</v>
      </c>
      <c r="C41" s="4">
        <v>9293.880000000001</v>
      </c>
      <c r="D41" s="4">
        <v>43.8</v>
      </c>
      <c r="E41" s="4">
        <v>58</v>
      </c>
      <c r="F41" s="4">
        <v>171.57999999999998</v>
      </c>
      <c r="G41" s="4">
        <v>0</v>
      </c>
      <c r="H41" s="4">
        <v>9567.2600000000039</v>
      </c>
    </row>
    <row r="42" spans="1:8" hidden="1">
      <c r="A42" t="s">
        <v>254</v>
      </c>
      <c r="B42" t="s">
        <v>132</v>
      </c>
      <c r="C42" s="4">
        <v>692.49</v>
      </c>
      <c r="D42" s="4">
        <v>0</v>
      </c>
      <c r="E42" s="4">
        <v>40</v>
      </c>
      <c r="F42" s="4">
        <v>0</v>
      </c>
      <c r="G42" s="4">
        <v>0</v>
      </c>
      <c r="H42" s="16">
        <v>732.49</v>
      </c>
    </row>
    <row r="43" spans="1:8" hidden="1">
      <c r="A43" t="s">
        <v>254</v>
      </c>
      <c r="B43" t="s">
        <v>134</v>
      </c>
      <c r="C43" s="4">
        <v>1356.6899999999998</v>
      </c>
      <c r="D43" s="4">
        <v>0</v>
      </c>
      <c r="E43" s="4">
        <v>0</v>
      </c>
      <c r="F43" s="4">
        <v>0</v>
      </c>
      <c r="G43" s="4">
        <v>0</v>
      </c>
      <c r="H43" s="16">
        <v>1356.6899999999998</v>
      </c>
    </row>
    <row r="44" spans="1:8" hidden="1">
      <c r="A44" t="s">
        <v>254</v>
      </c>
      <c r="B44" t="s">
        <v>136</v>
      </c>
      <c r="C44" s="4">
        <v>1350.5400000000002</v>
      </c>
      <c r="D44" s="4">
        <v>0</v>
      </c>
      <c r="E44" s="4">
        <v>0</v>
      </c>
      <c r="F44" s="4">
        <v>0</v>
      </c>
      <c r="G44" s="4">
        <v>0</v>
      </c>
      <c r="H44" s="16">
        <v>1350.5400000000002</v>
      </c>
    </row>
    <row r="45" spans="1:8" hidden="1">
      <c r="A45" t="s">
        <v>254</v>
      </c>
      <c r="B45" t="s">
        <v>141</v>
      </c>
      <c r="C45" s="4">
        <v>790.88999999999987</v>
      </c>
      <c r="D45" s="4">
        <v>0</v>
      </c>
      <c r="E45" s="4">
        <v>18</v>
      </c>
      <c r="F45" s="4">
        <v>0</v>
      </c>
      <c r="G45" s="4">
        <v>0</v>
      </c>
      <c r="H45" s="16">
        <v>808.88999999999987</v>
      </c>
    </row>
    <row r="46" spans="1:8" hidden="1">
      <c r="A46" t="s">
        <v>254</v>
      </c>
      <c r="B46" t="s">
        <v>250</v>
      </c>
      <c r="C46" s="4">
        <v>1407.12</v>
      </c>
      <c r="D46" s="4">
        <v>0</v>
      </c>
      <c r="E46" s="4">
        <v>0</v>
      </c>
      <c r="F46" s="4">
        <v>21.7</v>
      </c>
      <c r="G46" s="4">
        <v>0</v>
      </c>
      <c r="H46" s="16">
        <v>1428.82</v>
      </c>
    </row>
    <row r="47" spans="1:8" hidden="1">
      <c r="A47" t="s">
        <v>254</v>
      </c>
      <c r="B47" t="s">
        <v>470</v>
      </c>
      <c r="C47" s="4">
        <v>1241.0699999999997</v>
      </c>
      <c r="D47" s="4">
        <v>0</v>
      </c>
      <c r="E47" s="4">
        <v>0</v>
      </c>
      <c r="F47" s="4">
        <v>0</v>
      </c>
      <c r="G47" s="4">
        <v>0</v>
      </c>
      <c r="H47" s="16">
        <v>1241.0699999999997</v>
      </c>
    </row>
    <row r="48" spans="1:8" hidden="1">
      <c r="A48" t="s">
        <v>254</v>
      </c>
      <c r="B48" t="s">
        <v>498</v>
      </c>
      <c r="C48" s="4">
        <v>731.85</v>
      </c>
      <c r="D48" s="4">
        <v>23.4</v>
      </c>
      <c r="E48" s="4">
        <v>0</v>
      </c>
      <c r="F48" s="4">
        <v>0</v>
      </c>
      <c r="G48" s="4">
        <v>0</v>
      </c>
      <c r="H48" s="16">
        <v>755.25</v>
      </c>
    </row>
    <row r="49" spans="1:8" hidden="1">
      <c r="A49" t="s">
        <v>254</v>
      </c>
      <c r="B49" t="s">
        <v>505</v>
      </c>
      <c r="C49" s="4">
        <v>1227.54</v>
      </c>
      <c r="D49" s="4">
        <v>0</v>
      </c>
      <c r="E49" s="4">
        <v>0</v>
      </c>
      <c r="F49" s="4">
        <v>0</v>
      </c>
      <c r="G49" s="4">
        <v>0</v>
      </c>
      <c r="H49" s="16">
        <v>1227.54</v>
      </c>
    </row>
    <row r="50" spans="1:8" hidden="1">
      <c r="A50" t="s">
        <v>1232</v>
      </c>
      <c r="C50" s="4">
        <v>8798.19</v>
      </c>
      <c r="D50" s="4">
        <v>23.4</v>
      </c>
      <c r="E50" s="4">
        <v>58</v>
      </c>
      <c r="F50" s="4">
        <v>21.7</v>
      </c>
      <c r="G50" s="4">
        <v>0</v>
      </c>
      <c r="H50" s="4">
        <v>8901.2900000000009</v>
      </c>
    </row>
    <row r="51" spans="1:8" hidden="1">
      <c r="A51" t="s">
        <v>255</v>
      </c>
      <c r="B51" t="s">
        <v>626</v>
      </c>
      <c r="C51" s="4">
        <v>448.95</v>
      </c>
      <c r="D51" s="4">
        <v>0</v>
      </c>
      <c r="E51" s="4">
        <v>0</v>
      </c>
      <c r="F51" s="4">
        <v>0</v>
      </c>
      <c r="G51" s="4">
        <v>0</v>
      </c>
      <c r="H51" s="16">
        <v>448.95</v>
      </c>
    </row>
    <row r="52" spans="1:8" hidden="1">
      <c r="A52" t="s">
        <v>255</v>
      </c>
      <c r="B52" t="s">
        <v>132</v>
      </c>
      <c r="C52" s="4">
        <v>1860.9899999999998</v>
      </c>
      <c r="D52" s="4">
        <v>46.8</v>
      </c>
      <c r="E52" s="4">
        <v>0</v>
      </c>
      <c r="F52" s="4">
        <v>89.66</v>
      </c>
      <c r="G52" s="4">
        <v>0</v>
      </c>
      <c r="H52" s="16">
        <v>1997.4499999999998</v>
      </c>
    </row>
    <row r="53" spans="1:8" hidden="1">
      <c r="A53" t="s">
        <v>255</v>
      </c>
      <c r="B53" t="s">
        <v>134</v>
      </c>
      <c r="C53" s="4">
        <v>1515.36</v>
      </c>
      <c r="D53" s="4">
        <v>0</v>
      </c>
      <c r="E53" s="4">
        <v>0</v>
      </c>
      <c r="F53" s="4">
        <v>0</v>
      </c>
      <c r="G53" s="4">
        <v>0</v>
      </c>
      <c r="H53" s="16">
        <v>1515.36</v>
      </c>
    </row>
    <row r="54" spans="1:8" hidden="1">
      <c r="A54" t="s">
        <v>255</v>
      </c>
      <c r="B54" t="s">
        <v>136</v>
      </c>
      <c r="C54" s="4">
        <v>1483.38</v>
      </c>
      <c r="D54" s="4">
        <v>0</v>
      </c>
      <c r="E54" s="4">
        <v>0</v>
      </c>
      <c r="F54" s="4">
        <v>0</v>
      </c>
      <c r="G54" s="4">
        <v>0</v>
      </c>
      <c r="H54" s="16">
        <v>1483.38</v>
      </c>
    </row>
    <row r="55" spans="1:8" hidden="1">
      <c r="A55" t="s">
        <v>255</v>
      </c>
      <c r="B55" t="s">
        <v>141</v>
      </c>
      <c r="C55" s="4">
        <v>805.65</v>
      </c>
      <c r="D55" s="4">
        <v>0</v>
      </c>
      <c r="E55" s="4">
        <v>0</v>
      </c>
      <c r="F55" s="4">
        <v>0</v>
      </c>
      <c r="G55" s="4">
        <v>0</v>
      </c>
      <c r="H55" s="16">
        <v>805.65</v>
      </c>
    </row>
    <row r="56" spans="1:8" hidden="1">
      <c r="A56" t="s">
        <v>255</v>
      </c>
      <c r="B56" t="s">
        <v>250</v>
      </c>
      <c r="C56" s="4">
        <v>1169.73</v>
      </c>
      <c r="D56" s="4">
        <v>0</v>
      </c>
      <c r="E56" s="4">
        <v>15</v>
      </c>
      <c r="F56" s="4">
        <v>1.5</v>
      </c>
      <c r="G56" s="4">
        <v>0</v>
      </c>
      <c r="H56" s="16">
        <v>1186.23</v>
      </c>
    </row>
    <row r="57" spans="1:8" hidden="1">
      <c r="A57" t="s">
        <v>255</v>
      </c>
      <c r="B57" t="s">
        <v>470</v>
      </c>
      <c r="C57" s="4">
        <v>498.15</v>
      </c>
      <c r="D57" s="4">
        <v>0</v>
      </c>
      <c r="E57" s="4">
        <v>0</v>
      </c>
      <c r="F57" s="4">
        <v>0</v>
      </c>
      <c r="G57" s="4">
        <v>0</v>
      </c>
      <c r="H57" s="16">
        <v>498.15</v>
      </c>
    </row>
    <row r="58" spans="1:8" hidden="1">
      <c r="A58" t="s">
        <v>255</v>
      </c>
      <c r="B58" t="s">
        <v>498</v>
      </c>
      <c r="C58" s="4">
        <v>511.68</v>
      </c>
      <c r="D58" s="4">
        <v>20.8</v>
      </c>
      <c r="E58" s="4">
        <v>0</v>
      </c>
      <c r="F58" s="4">
        <v>0</v>
      </c>
      <c r="G58" s="4">
        <v>0</v>
      </c>
      <c r="H58" s="16">
        <v>532.48</v>
      </c>
    </row>
    <row r="59" spans="1:8" hidden="1">
      <c r="A59" t="s">
        <v>255</v>
      </c>
      <c r="B59" t="s">
        <v>505</v>
      </c>
      <c r="C59" s="4">
        <v>1164.81</v>
      </c>
      <c r="D59" s="4">
        <v>0</v>
      </c>
      <c r="E59" s="4">
        <v>0</v>
      </c>
      <c r="F59" s="4">
        <v>0</v>
      </c>
      <c r="G59" s="4">
        <v>0</v>
      </c>
      <c r="H59" s="16">
        <v>1164.81</v>
      </c>
    </row>
    <row r="60" spans="1:8" hidden="1">
      <c r="A60" t="s">
        <v>1420</v>
      </c>
      <c r="C60" s="4">
        <v>9458.6999999999989</v>
      </c>
      <c r="D60" s="4">
        <v>67.599999999999994</v>
      </c>
      <c r="E60" s="4">
        <v>15</v>
      </c>
      <c r="F60" s="4">
        <v>91.16</v>
      </c>
      <c r="G60" s="4">
        <v>0</v>
      </c>
      <c r="H60" s="4">
        <v>9632.4600000000046</v>
      </c>
    </row>
    <row r="61" spans="1:8" hidden="1">
      <c r="A61" t="s">
        <v>256</v>
      </c>
      <c r="B61" t="s">
        <v>1635</v>
      </c>
      <c r="C61" s="4">
        <v>943.41000000000008</v>
      </c>
      <c r="D61" s="4">
        <v>0</v>
      </c>
      <c r="E61" s="4">
        <v>79</v>
      </c>
      <c r="F61" s="4">
        <v>26.85</v>
      </c>
      <c r="G61" s="4">
        <v>0</v>
      </c>
      <c r="H61" s="16">
        <v>1049.26</v>
      </c>
    </row>
    <row r="62" spans="1:8" hidden="1">
      <c r="A62" t="s">
        <v>256</v>
      </c>
      <c r="B62" t="s">
        <v>626</v>
      </c>
      <c r="C62" s="4">
        <v>226.32</v>
      </c>
      <c r="D62" s="4">
        <v>0</v>
      </c>
      <c r="E62" s="4">
        <v>0</v>
      </c>
      <c r="F62" s="4">
        <v>0</v>
      </c>
      <c r="G62" s="4">
        <v>0</v>
      </c>
      <c r="H62" s="16">
        <v>226.32</v>
      </c>
    </row>
    <row r="63" spans="1:8" hidden="1">
      <c r="A63" t="s">
        <v>256</v>
      </c>
      <c r="B63" t="s">
        <v>132</v>
      </c>
      <c r="C63" s="4">
        <v>1702.3199999999997</v>
      </c>
      <c r="D63" s="4">
        <v>29.099999999999998</v>
      </c>
      <c r="E63" s="4">
        <v>94</v>
      </c>
      <c r="F63" s="4">
        <v>250.59999999999997</v>
      </c>
      <c r="G63" s="4">
        <v>0</v>
      </c>
      <c r="H63" s="16">
        <v>2076.0199999999995</v>
      </c>
    </row>
    <row r="64" spans="1:8" hidden="1">
      <c r="A64" t="s">
        <v>256</v>
      </c>
      <c r="B64" t="s">
        <v>134</v>
      </c>
      <c r="C64" s="4">
        <v>1115.6100000000001</v>
      </c>
      <c r="D64" s="4">
        <v>0</v>
      </c>
      <c r="E64" s="4">
        <v>0</v>
      </c>
      <c r="F64" s="4">
        <v>0</v>
      </c>
      <c r="G64" s="4">
        <v>0</v>
      </c>
      <c r="H64" s="16">
        <v>1115.6100000000001</v>
      </c>
    </row>
    <row r="65" spans="1:8" hidden="1">
      <c r="A65" t="s">
        <v>256</v>
      </c>
      <c r="B65" t="s">
        <v>136</v>
      </c>
      <c r="C65" s="4">
        <v>1536.27</v>
      </c>
      <c r="D65" s="4">
        <v>0</v>
      </c>
      <c r="E65" s="4">
        <v>0</v>
      </c>
      <c r="F65" s="4">
        <v>0</v>
      </c>
      <c r="G65" s="4">
        <v>0</v>
      </c>
      <c r="H65" s="16">
        <v>1536.27</v>
      </c>
    </row>
    <row r="66" spans="1:8" hidden="1">
      <c r="A66" t="s">
        <v>256</v>
      </c>
      <c r="B66" t="s">
        <v>250</v>
      </c>
      <c r="C66" s="4">
        <v>1119.3</v>
      </c>
      <c r="D66" s="4">
        <v>0</v>
      </c>
      <c r="E66" s="4">
        <v>0</v>
      </c>
      <c r="F66" s="4">
        <v>66.2</v>
      </c>
      <c r="G66" s="4">
        <v>0</v>
      </c>
      <c r="H66" s="16">
        <v>1185.5</v>
      </c>
    </row>
    <row r="67" spans="1:8" hidden="1">
      <c r="A67" t="s">
        <v>256</v>
      </c>
      <c r="B67" t="s">
        <v>498</v>
      </c>
      <c r="C67" s="4">
        <v>999.99</v>
      </c>
      <c r="D67" s="4">
        <v>31.200000000000003</v>
      </c>
      <c r="E67" s="4">
        <v>0</v>
      </c>
      <c r="F67" s="4">
        <v>0</v>
      </c>
      <c r="G67" s="4">
        <v>0</v>
      </c>
      <c r="H67" s="16">
        <v>1031.19</v>
      </c>
    </row>
    <row r="68" spans="1:8" hidden="1">
      <c r="A68" t="s">
        <v>256</v>
      </c>
      <c r="B68" t="s">
        <v>505</v>
      </c>
      <c r="C68" s="4">
        <v>1511.67</v>
      </c>
      <c r="D68" s="4">
        <v>11.4</v>
      </c>
      <c r="E68" s="4">
        <v>18</v>
      </c>
      <c r="F68" s="4">
        <v>0</v>
      </c>
      <c r="G68" s="4">
        <v>0</v>
      </c>
      <c r="H68" s="16">
        <v>1541.0700000000002</v>
      </c>
    </row>
    <row r="69" spans="1:8" hidden="1">
      <c r="A69" t="s">
        <v>256</v>
      </c>
      <c r="B69" t="s">
        <v>1696</v>
      </c>
      <c r="C69" s="4">
        <v>1170.96</v>
      </c>
      <c r="D69" s="4">
        <v>0</v>
      </c>
      <c r="E69" s="4">
        <v>0</v>
      </c>
      <c r="F69" s="4">
        <v>0</v>
      </c>
      <c r="G69" s="4">
        <v>0</v>
      </c>
      <c r="H69" s="16">
        <v>1170.96</v>
      </c>
    </row>
    <row r="70" spans="1:8" hidden="1">
      <c r="A70" t="s">
        <v>1643</v>
      </c>
      <c r="C70" s="4">
        <v>10325.849999999999</v>
      </c>
      <c r="D70" s="4">
        <v>71.7</v>
      </c>
      <c r="E70" s="4">
        <v>191</v>
      </c>
      <c r="F70" s="4">
        <v>343.65</v>
      </c>
      <c r="G70" s="4">
        <v>0</v>
      </c>
      <c r="H70" s="4">
        <v>10932.200000000003</v>
      </c>
    </row>
    <row r="71" spans="1:8" hidden="1">
      <c r="A71" t="s">
        <v>257</v>
      </c>
      <c r="B71" t="s">
        <v>1635</v>
      </c>
      <c r="C71" s="4">
        <v>1040.5800000000002</v>
      </c>
      <c r="D71" s="4">
        <v>0</v>
      </c>
      <c r="E71" s="4">
        <v>0</v>
      </c>
      <c r="F71" s="4">
        <v>0</v>
      </c>
      <c r="G71" s="4">
        <v>0</v>
      </c>
      <c r="H71" s="16">
        <v>1040.5800000000002</v>
      </c>
    </row>
    <row r="72" spans="1:8" hidden="1">
      <c r="A72" t="s">
        <v>257</v>
      </c>
      <c r="B72" t="s">
        <v>132</v>
      </c>
      <c r="C72" s="4">
        <v>2169.7199999999998</v>
      </c>
      <c r="D72" s="4">
        <v>43.4</v>
      </c>
      <c r="E72" s="4">
        <v>20</v>
      </c>
      <c r="F72" s="4">
        <v>164.39999999999998</v>
      </c>
      <c r="G72" s="4">
        <v>0</v>
      </c>
      <c r="H72" s="16">
        <v>2397.52</v>
      </c>
    </row>
    <row r="73" spans="1:8" hidden="1">
      <c r="A73" t="s">
        <v>257</v>
      </c>
      <c r="B73" t="s">
        <v>134</v>
      </c>
      <c r="C73" s="4">
        <v>2129.13</v>
      </c>
      <c r="D73" s="4">
        <v>0</v>
      </c>
      <c r="E73" s="4">
        <v>0</v>
      </c>
      <c r="F73" s="4">
        <v>0</v>
      </c>
      <c r="G73" s="4">
        <v>0</v>
      </c>
      <c r="H73" s="16">
        <v>2129.13</v>
      </c>
    </row>
    <row r="74" spans="1:8" hidden="1">
      <c r="A74" t="s">
        <v>257</v>
      </c>
      <c r="B74" t="s">
        <v>136</v>
      </c>
      <c r="C74" s="4">
        <v>1346.8500000000001</v>
      </c>
      <c r="D74" s="4">
        <v>0</v>
      </c>
      <c r="E74" s="4">
        <v>0</v>
      </c>
      <c r="F74" s="4">
        <v>0</v>
      </c>
      <c r="G74" s="4">
        <v>0</v>
      </c>
      <c r="H74" s="16">
        <v>1346.8500000000001</v>
      </c>
    </row>
    <row r="75" spans="1:8" hidden="1">
      <c r="A75" t="s">
        <v>257</v>
      </c>
      <c r="B75" t="s">
        <v>250</v>
      </c>
      <c r="C75" s="4">
        <v>305.03999999999996</v>
      </c>
      <c r="D75" s="4">
        <v>0</v>
      </c>
      <c r="E75" s="4">
        <v>0</v>
      </c>
      <c r="F75" s="4">
        <v>0</v>
      </c>
      <c r="G75" s="4">
        <v>0</v>
      </c>
      <c r="H75" s="16">
        <v>305.03999999999996</v>
      </c>
    </row>
    <row r="76" spans="1:8" hidden="1">
      <c r="A76" t="s">
        <v>257</v>
      </c>
      <c r="B76" t="s">
        <v>498</v>
      </c>
      <c r="C76" s="4">
        <v>940.95</v>
      </c>
      <c r="D76" s="4">
        <v>31.200000000000003</v>
      </c>
      <c r="E76" s="4">
        <v>0</v>
      </c>
      <c r="F76" s="4">
        <v>0</v>
      </c>
      <c r="G76" s="4">
        <v>0</v>
      </c>
      <c r="H76" s="16">
        <v>972.15000000000009</v>
      </c>
    </row>
    <row r="77" spans="1:8" hidden="1">
      <c r="A77" t="s">
        <v>257</v>
      </c>
      <c r="B77" t="s">
        <v>505</v>
      </c>
      <c r="C77" s="4">
        <v>1135.29</v>
      </c>
      <c r="D77" s="4">
        <v>11.4</v>
      </c>
      <c r="E77" s="4">
        <v>0</v>
      </c>
      <c r="F77" s="4">
        <v>96.6</v>
      </c>
      <c r="G77" s="4">
        <v>0</v>
      </c>
      <c r="H77" s="16">
        <v>1243.29</v>
      </c>
    </row>
    <row r="78" spans="1:8" hidden="1">
      <c r="A78" t="s">
        <v>257</v>
      </c>
      <c r="B78" t="s">
        <v>1696</v>
      </c>
      <c r="C78" s="4">
        <v>1190.6399999999999</v>
      </c>
      <c r="D78" s="4">
        <v>0</v>
      </c>
      <c r="E78" s="4">
        <v>0</v>
      </c>
      <c r="F78" s="4">
        <v>0</v>
      </c>
      <c r="G78" s="4">
        <v>0</v>
      </c>
      <c r="H78" s="16">
        <v>1190.6399999999999</v>
      </c>
    </row>
    <row r="79" spans="1:8" hidden="1">
      <c r="A79" t="s">
        <v>1886</v>
      </c>
      <c r="C79" s="4">
        <v>10258.200000000001</v>
      </c>
      <c r="D79" s="4">
        <v>86</v>
      </c>
      <c r="E79" s="4">
        <v>20</v>
      </c>
      <c r="F79" s="4">
        <v>261</v>
      </c>
      <c r="G79" s="4">
        <v>0</v>
      </c>
      <c r="H79" s="4">
        <v>10625.199999999999</v>
      </c>
    </row>
    <row r="80" spans="1:8">
      <c r="A80" t="s">
        <v>258</v>
      </c>
      <c r="B80" t="s">
        <v>1635</v>
      </c>
      <c r="C80" s="4">
        <v>763.82999999999993</v>
      </c>
      <c r="D80" s="4">
        <v>5.7</v>
      </c>
      <c r="E80" s="4">
        <v>0</v>
      </c>
      <c r="F80" s="4">
        <v>0</v>
      </c>
      <c r="G80" s="4">
        <v>0</v>
      </c>
      <c r="H80" s="16">
        <v>769.53</v>
      </c>
    </row>
    <row r="81" spans="1:8">
      <c r="A81" t="s">
        <v>258</v>
      </c>
      <c r="B81" t="s">
        <v>132</v>
      </c>
      <c r="C81" s="4">
        <v>999.9899999999999</v>
      </c>
      <c r="D81" s="4">
        <v>28.5</v>
      </c>
      <c r="E81" s="4">
        <v>0</v>
      </c>
      <c r="F81" s="4">
        <v>43</v>
      </c>
      <c r="G81" s="4">
        <v>0</v>
      </c>
      <c r="H81" s="16">
        <v>1071.4899999999998</v>
      </c>
    </row>
    <row r="82" spans="1:8">
      <c r="A82" t="s">
        <v>258</v>
      </c>
      <c r="B82" t="s">
        <v>134</v>
      </c>
      <c r="C82" s="4">
        <v>313.64999999999998</v>
      </c>
      <c r="D82" s="4">
        <v>0</v>
      </c>
      <c r="E82" s="4">
        <v>0</v>
      </c>
      <c r="F82" s="4">
        <v>0</v>
      </c>
      <c r="G82" s="4">
        <v>0</v>
      </c>
      <c r="H82" s="16">
        <v>313.64999999999998</v>
      </c>
    </row>
    <row r="83" spans="1:8">
      <c r="A83" t="s">
        <v>258</v>
      </c>
      <c r="B83" t="s">
        <v>136</v>
      </c>
      <c r="C83" s="4">
        <v>321.02999999999997</v>
      </c>
      <c r="D83" s="4">
        <v>0</v>
      </c>
      <c r="E83" s="4">
        <v>0</v>
      </c>
      <c r="F83" s="4">
        <v>0</v>
      </c>
      <c r="G83" s="4">
        <v>0</v>
      </c>
      <c r="H83" s="16">
        <v>321.02999999999997</v>
      </c>
    </row>
    <row r="84" spans="1:8">
      <c r="A84" t="s">
        <v>258</v>
      </c>
      <c r="B84" t="s">
        <v>250</v>
      </c>
      <c r="C84" s="4">
        <v>687.56999999999994</v>
      </c>
      <c r="D84" s="4">
        <v>0</v>
      </c>
      <c r="E84" s="4">
        <v>0</v>
      </c>
      <c r="F84" s="4">
        <v>0</v>
      </c>
      <c r="G84" s="4">
        <v>0</v>
      </c>
      <c r="H84" s="16">
        <v>687.56999999999994</v>
      </c>
    </row>
    <row r="85" spans="1:8">
      <c r="A85" t="s">
        <v>258</v>
      </c>
      <c r="B85" t="s">
        <v>498</v>
      </c>
      <c r="C85" s="4">
        <v>977.84999999999991</v>
      </c>
      <c r="D85" s="4">
        <v>33.799999999999997</v>
      </c>
      <c r="E85" s="4">
        <v>0</v>
      </c>
      <c r="F85" s="4">
        <v>0</v>
      </c>
      <c r="G85" s="4">
        <v>0</v>
      </c>
      <c r="H85" s="16">
        <v>1011.6499999999999</v>
      </c>
    </row>
    <row r="86" spans="1:8">
      <c r="A86" t="s">
        <v>258</v>
      </c>
      <c r="B86" t="s">
        <v>505</v>
      </c>
      <c r="C86" s="4">
        <v>626.06999999999994</v>
      </c>
      <c r="D86" s="4">
        <v>11.4</v>
      </c>
      <c r="E86" s="4">
        <v>0</v>
      </c>
      <c r="F86" s="4">
        <v>0</v>
      </c>
      <c r="G86" s="4">
        <v>0</v>
      </c>
      <c r="H86" s="16">
        <v>637.46999999999991</v>
      </c>
    </row>
    <row r="87" spans="1:8">
      <c r="A87" t="s">
        <v>258</v>
      </c>
      <c r="B87" t="s">
        <v>1696</v>
      </c>
      <c r="C87" s="4">
        <v>755.22</v>
      </c>
      <c r="D87" s="4">
        <v>0</v>
      </c>
      <c r="E87" s="4">
        <v>0</v>
      </c>
      <c r="F87" s="4">
        <v>0</v>
      </c>
      <c r="G87" s="4">
        <v>0</v>
      </c>
      <c r="H87" s="16">
        <v>755.22</v>
      </c>
    </row>
    <row r="88" spans="1:8">
      <c r="A88" t="s">
        <v>2097</v>
      </c>
      <c r="C88" s="4">
        <v>5445.21</v>
      </c>
      <c r="D88" s="4">
        <v>79.400000000000006</v>
      </c>
      <c r="E88" s="4">
        <v>0</v>
      </c>
      <c r="F88" s="4">
        <v>43</v>
      </c>
      <c r="G88" s="4">
        <v>0</v>
      </c>
      <c r="H88" s="4">
        <v>5567.6100000000006</v>
      </c>
    </row>
    <row r="89" spans="1:8" hidden="1">
      <c r="A89" t="s">
        <v>31</v>
      </c>
      <c r="C89" s="4">
        <v>84859.570000000036</v>
      </c>
      <c r="D89" s="4">
        <v>597.4</v>
      </c>
      <c r="E89" s="4">
        <v>613</v>
      </c>
      <c r="F89" s="4">
        <v>1748.71</v>
      </c>
      <c r="G89" s="4">
        <v>1170.9299999999998</v>
      </c>
      <c r="H89" s="15">
        <v>88989.609999999957</v>
      </c>
    </row>
  </sheetData>
  <autoFilter ref="A3:H89">
    <filterColumn colId="0">
      <filters>
        <filter val="SETEMBRO"/>
        <filter val="SETEMBRO Total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8"/>
  </sheetPr>
  <dimension ref="B2:R47"/>
  <sheetViews>
    <sheetView showGridLines="0" tabSelected="1" topLeftCell="B1" workbookViewId="0">
      <selection activeCell="K22" sqref="B4:K22"/>
    </sheetView>
  </sheetViews>
  <sheetFormatPr defaultRowHeight="13.8"/>
  <cols>
    <col min="2" max="2" width="38.8984375" bestFit="1" customWidth="1"/>
    <col min="3" max="4" width="13.296875" customWidth="1"/>
    <col min="5" max="5" width="13.296875" customWidth="1" collapsed="1"/>
    <col min="6" max="10" width="13.296875" customWidth="1"/>
    <col min="11" max="11" width="14.3984375" customWidth="1"/>
    <col min="12" max="12" width="13.296875" customWidth="1" collapsed="1"/>
    <col min="13" max="13" width="13.296875" customWidth="1"/>
    <col min="14" max="14" width="14.3984375" bestFit="1" customWidth="1"/>
    <col min="15" max="15" width="12.296875" bestFit="1" customWidth="1"/>
    <col min="17" max="17" width="13.296875" bestFit="1" customWidth="1"/>
  </cols>
  <sheetData>
    <row r="2" spans="2:18">
      <c r="B2" s="19" t="s">
        <v>59</v>
      </c>
    </row>
    <row r="4" spans="2:18">
      <c r="B4" t="s">
        <v>0</v>
      </c>
      <c r="C4" t="s">
        <v>167</v>
      </c>
      <c r="D4" t="s">
        <v>251</v>
      </c>
      <c r="E4" t="s">
        <v>252</v>
      </c>
      <c r="F4" t="s">
        <v>253</v>
      </c>
      <c r="G4" t="s">
        <v>254</v>
      </c>
      <c r="H4" t="s">
        <v>255</v>
      </c>
      <c r="I4" t="s">
        <v>256</v>
      </c>
      <c r="J4" t="s">
        <v>257</v>
      </c>
      <c r="K4" t="s">
        <v>258</v>
      </c>
      <c r="L4" t="s">
        <v>259</v>
      </c>
      <c r="M4" t="s">
        <v>260</v>
      </c>
      <c r="N4" t="s">
        <v>146</v>
      </c>
    </row>
    <row r="5" spans="2:18">
      <c r="B5" t="s">
        <v>132</v>
      </c>
      <c r="C5" s="82">
        <v>1250</v>
      </c>
      <c r="D5" s="82">
        <v>1500</v>
      </c>
      <c r="E5" s="82">
        <v>1500</v>
      </c>
      <c r="F5" s="82">
        <v>1200</v>
      </c>
      <c r="G5" s="82">
        <v>600</v>
      </c>
      <c r="H5" s="82">
        <v>1200</v>
      </c>
      <c r="I5" s="82">
        <v>1200</v>
      </c>
      <c r="J5" s="82">
        <v>1200</v>
      </c>
      <c r="K5" s="82">
        <v>1200</v>
      </c>
      <c r="L5" s="82"/>
      <c r="M5" s="82"/>
      <c r="N5" s="82"/>
      <c r="Q5">
        <v>1500</v>
      </c>
      <c r="R5" t="s">
        <v>263</v>
      </c>
    </row>
    <row r="6" spans="2:18">
      <c r="B6" t="s">
        <v>134</v>
      </c>
      <c r="C6" s="82">
        <v>1500</v>
      </c>
      <c r="D6" s="82">
        <v>1500</v>
      </c>
      <c r="E6" s="82">
        <v>1500</v>
      </c>
      <c r="F6" s="82">
        <v>1200</v>
      </c>
      <c r="G6" s="82">
        <v>1200</v>
      </c>
      <c r="H6" s="82">
        <v>1200</v>
      </c>
      <c r="I6" s="82">
        <v>1200</v>
      </c>
      <c r="J6" s="82">
        <v>1200</v>
      </c>
      <c r="K6" s="82">
        <v>1200</v>
      </c>
      <c r="L6" s="82"/>
      <c r="M6" s="82"/>
      <c r="N6" s="82"/>
      <c r="Q6" s="88">
        <v>15</v>
      </c>
      <c r="R6" t="s">
        <v>264</v>
      </c>
    </row>
    <row r="7" spans="2:18">
      <c r="B7" t="s">
        <v>250</v>
      </c>
      <c r="C7" s="82">
        <v>750</v>
      </c>
      <c r="D7" s="82">
        <v>1500</v>
      </c>
      <c r="E7" s="82">
        <v>1500</v>
      </c>
      <c r="F7" s="82">
        <v>1200</v>
      </c>
      <c r="G7" s="82">
        <v>1200</v>
      </c>
      <c r="H7" s="82">
        <v>1200</v>
      </c>
      <c r="I7" s="82">
        <v>1200</v>
      </c>
      <c r="J7" s="82">
        <v>1200</v>
      </c>
      <c r="K7" s="82">
        <v>440</v>
      </c>
      <c r="L7" s="82"/>
      <c r="M7" s="82"/>
      <c r="N7" s="82"/>
      <c r="Q7">
        <f>(Q5/30)*Q6</f>
        <v>750</v>
      </c>
      <c r="R7" t="s">
        <v>265</v>
      </c>
    </row>
    <row r="8" spans="2:18">
      <c r="B8" t="s">
        <v>1696</v>
      </c>
      <c r="C8" s="82"/>
      <c r="D8" s="82"/>
      <c r="E8" s="82"/>
      <c r="F8" s="82"/>
      <c r="G8" s="82"/>
      <c r="H8" s="82"/>
      <c r="I8" s="82">
        <v>1200</v>
      </c>
      <c r="J8" s="82">
        <v>1200</v>
      </c>
      <c r="K8" s="82">
        <v>1200</v>
      </c>
      <c r="L8" s="82"/>
      <c r="M8" s="82"/>
      <c r="N8" s="82"/>
    </row>
    <row r="9" spans="2:18" ht="14.4" customHeight="1">
      <c r="B9" t="s">
        <v>136</v>
      </c>
      <c r="C9" s="82">
        <v>1500</v>
      </c>
      <c r="D9" s="82">
        <v>1500</v>
      </c>
      <c r="E9" s="82">
        <v>1500</v>
      </c>
      <c r="F9" s="82">
        <v>1200</v>
      </c>
      <c r="G9" s="82">
        <v>1200</v>
      </c>
      <c r="H9" s="82">
        <v>1200</v>
      </c>
      <c r="I9" s="82">
        <v>1200</v>
      </c>
      <c r="J9" s="82">
        <v>1200</v>
      </c>
      <c r="K9" s="82">
        <v>1200</v>
      </c>
      <c r="L9" s="82"/>
      <c r="M9" s="82"/>
      <c r="N9" s="82"/>
    </row>
    <row r="10" spans="2:18">
      <c r="B10" t="s">
        <v>498</v>
      </c>
      <c r="C10" s="82"/>
      <c r="D10" s="82">
        <v>1125</v>
      </c>
      <c r="E10" s="82">
        <v>1500</v>
      </c>
      <c r="F10" s="82">
        <v>1200</v>
      </c>
      <c r="G10" s="82">
        <v>1200</v>
      </c>
      <c r="H10" s="82">
        <v>1200</v>
      </c>
      <c r="I10" s="82">
        <v>1200</v>
      </c>
      <c r="J10" s="82">
        <v>1200</v>
      </c>
      <c r="K10" s="82">
        <v>1200</v>
      </c>
      <c r="L10" s="82"/>
      <c r="M10" s="82"/>
      <c r="N10" s="82"/>
    </row>
    <row r="11" spans="2:18">
      <c r="B11" t="s">
        <v>505</v>
      </c>
      <c r="C11" s="82"/>
      <c r="D11" s="82">
        <v>1285</v>
      </c>
      <c r="E11" s="82">
        <v>1500</v>
      </c>
      <c r="F11" s="82">
        <v>1200</v>
      </c>
      <c r="G11" s="82">
        <v>1200</v>
      </c>
      <c r="H11" s="82">
        <v>1200</v>
      </c>
      <c r="I11" s="82">
        <v>1200</v>
      </c>
      <c r="J11" s="82">
        <v>1200</v>
      </c>
      <c r="K11" s="82">
        <v>1200</v>
      </c>
      <c r="L11" s="82"/>
      <c r="M11" s="82"/>
      <c r="N11" s="82"/>
    </row>
    <row r="12" spans="2:18">
      <c r="B12" t="s">
        <v>44</v>
      </c>
      <c r="C12" s="82"/>
      <c r="D12" s="82"/>
      <c r="E12" s="82"/>
      <c r="F12" s="82"/>
      <c r="G12" s="82"/>
      <c r="H12" s="82">
        <v>720</v>
      </c>
      <c r="I12" s="82">
        <v>1200</v>
      </c>
      <c r="J12" s="82">
        <v>1200</v>
      </c>
      <c r="K12" s="82">
        <v>1200</v>
      </c>
      <c r="L12" s="82"/>
      <c r="M12" s="82"/>
      <c r="N12" s="82"/>
    </row>
    <row r="13" spans="2:18">
      <c r="B13" s="81" t="s">
        <v>262</v>
      </c>
      <c r="C13" s="82">
        <v>0</v>
      </c>
      <c r="D13" s="82">
        <v>0</v>
      </c>
      <c r="E13" s="82">
        <v>0</v>
      </c>
      <c r="F13" s="82"/>
      <c r="G13" s="82"/>
      <c r="H13" s="82"/>
      <c r="I13" s="82"/>
      <c r="J13" s="82"/>
      <c r="K13" s="82"/>
      <c r="L13" s="82"/>
      <c r="M13" s="82"/>
      <c r="N13" s="82"/>
    </row>
    <row r="14" spans="2:18">
      <c r="B14" s="80" t="s">
        <v>141</v>
      </c>
      <c r="C14" s="82">
        <v>1500</v>
      </c>
      <c r="D14" s="82">
        <v>1500</v>
      </c>
      <c r="E14" s="82">
        <v>1500</v>
      </c>
      <c r="F14" s="82">
        <v>1200</v>
      </c>
      <c r="G14" s="82">
        <v>1200</v>
      </c>
      <c r="H14" s="82">
        <v>480</v>
      </c>
      <c r="I14" s="82"/>
      <c r="J14" s="82"/>
      <c r="K14" s="82"/>
      <c r="L14" s="82"/>
      <c r="M14" s="82"/>
      <c r="N14" s="82"/>
    </row>
    <row r="15" spans="2:18">
      <c r="B15" s="80" t="s">
        <v>470</v>
      </c>
      <c r="C15" s="82"/>
      <c r="D15" s="82">
        <v>1400</v>
      </c>
      <c r="E15" s="82">
        <v>1500</v>
      </c>
      <c r="F15" s="82">
        <v>1200</v>
      </c>
      <c r="G15" s="82">
        <v>1200</v>
      </c>
      <c r="H15" s="82">
        <v>440</v>
      </c>
      <c r="I15" s="82"/>
      <c r="J15" s="82"/>
      <c r="K15" s="82"/>
      <c r="L15" s="82"/>
      <c r="M15" s="82"/>
      <c r="N15" s="82"/>
    </row>
    <row r="16" spans="2:18">
      <c r="B16" s="80" t="s">
        <v>135</v>
      </c>
      <c r="C16" s="82">
        <v>1350</v>
      </c>
      <c r="D16" s="82">
        <v>0</v>
      </c>
      <c r="E16" s="82"/>
      <c r="F16" s="82"/>
      <c r="G16" s="82"/>
      <c r="H16" s="82"/>
      <c r="I16" s="82"/>
      <c r="J16" s="82"/>
      <c r="K16" s="82"/>
      <c r="L16" s="82"/>
      <c r="M16" s="82"/>
      <c r="N16" s="82"/>
      <c r="Q16" s="74"/>
    </row>
    <row r="17" spans="2:17">
      <c r="B17" s="80" t="s">
        <v>139</v>
      </c>
      <c r="C17" s="82">
        <v>400</v>
      </c>
      <c r="D17" s="82">
        <v>0</v>
      </c>
      <c r="E17" s="82"/>
      <c r="F17" s="82"/>
      <c r="G17" s="82"/>
      <c r="H17" s="82"/>
      <c r="I17" s="82"/>
      <c r="J17" s="82"/>
      <c r="K17" s="82"/>
      <c r="L17" s="82"/>
      <c r="M17" s="82"/>
      <c r="N17" s="82"/>
      <c r="Q17" s="74"/>
    </row>
    <row r="18" spans="2:17" hidden="1"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Q18" s="74"/>
    </row>
    <row r="19" spans="2:17" hidden="1"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Q19" s="74"/>
    </row>
    <row r="20" spans="2:17" hidden="1"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Q20" s="74"/>
    </row>
    <row r="21" spans="2:17" hidden="1"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Q21" s="74"/>
    </row>
    <row r="22" spans="2:17">
      <c r="B22" t="s">
        <v>77</v>
      </c>
      <c r="C22" s="9">
        <f>SUM(Tabela44[JANEIRO])</f>
        <v>8250</v>
      </c>
      <c r="D22" s="9">
        <f>SUM(Tabela44[FEVEREIRO])</f>
        <v>11310</v>
      </c>
      <c r="E22" s="9">
        <f>SUM(Tabela44[MARÇO])</f>
        <v>12000</v>
      </c>
      <c r="F22" s="9">
        <f>SUM(Tabela44[ABRIL])</f>
        <v>9600</v>
      </c>
      <c r="G22" s="9">
        <f>SUM(Tabela44[MAIO])</f>
        <v>9000</v>
      </c>
      <c r="H22" s="9">
        <f>SUM(Tabela44[JUNHO])</f>
        <v>8840</v>
      </c>
      <c r="I22" s="9">
        <f>SUM(Tabela44[JULHO])</f>
        <v>9600</v>
      </c>
      <c r="J22" s="9">
        <f>SUM(Tabela44[AGOSTO])</f>
        <v>9600</v>
      </c>
      <c r="K22" s="9">
        <f>SUM(Tabela44[SETEMBRO])</f>
        <v>8840</v>
      </c>
      <c r="L22" s="9">
        <f>SUM(Tabela44[OUTUBRO])</f>
        <v>0</v>
      </c>
      <c r="M22" s="9">
        <f>SUM(Tabela44[NOVEMBRO])</f>
        <v>0</v>
      </c>
      <c r="N22" s="9">
        <f>SUM(Tabela44[DEZEMBRO])</f>
        <v>0</v>
      </c>
      <c r="Q22" s="74"/>
    </row>
    <row r="23" spans="2:17">
      <c r="Q23" s="74"/>
    </row>
    <row r="24" spans="2:17">
      <c r="B24" s="20" t="s">
        <v>58</v>
      </c>
    </row>
    <row r="26" spans="2:17">
      <c r="B26" s="40" t="s">
        <v>63</v>
      </c>
      <c r="C26" s="41">
        <f>Tabela44[[#Totals],[JANEIRO]]</f>
        <v>8250</v>
      </c>
      <c r="D26" s="41">
        <f>Tabela44[[#Totals],[FEVEREIRO]]</f>
        <v>11310</v>
      </c>
      <c r="E26" s="41">
        <f>Tabela44[[#Totals],[MARÇO]]</f>
        <v>12000</v>
      </c>
      <c r="F26" s="41">
        <f>Tabela44[[#Totals],[ABRIL]]</f>
        <v>9600</v>
      </c>
      <c r="G26" s="41">
        <f>Tabela44[[#Totals],[MAIO]]</f>
        <v>9000</v>
      </c>
      <c r="H26" s="41">
        <f>Tabela44[[#Totals],[JUNHO]]</f>
        <v>8840</v>
      </c>
      <c r="I26" s="41">
        <f>Tabela44[[#Totals],[JULHO]]</f>
        <v>9600</v>
      </c>
      <c r="J26" s="41">
        <f>Tabela44[[#Totals],[AGOSTO]]</f>
        <v>9600</v>
      </c>
      <c r="K26" s="41">
        <f>Tabela44[[#Totals],[SETEMBRO]]</f>
        <v>8840</v>
      </c>
      <c r="L26" s="41">
        <f>Tabela44[[#Totals],[OUTUBRO]]</f>
        <v>0</v>
      </c>
      <c r="M26" s="41">
        <f>Tabela44[[#Totals],[NOVEMBRO]]</f>
        <v>0</v>
      </c>
    </row>
    <row r="27" spans="2:17">
      <c r="B27" t="s">
        <v>0</v>
      </c>
      <c r="C27" t="s">
        <v>167</v>
      </c>
      <c r="D27" t="s">
        <v>251</v>
      </c>
      <c r="E27" t="s">
        <v>252</v>
      </c>
      <c r="F27" t="s">
        <v>253</v>
      </c>
      <c r="G27" t="s">
        <v>254</v>
      </c>
      <c r="H27" t="s">
        <v>255</v>
      </c>
      <c r="I27" t="s">
        <v>256</v>
      </c>
      <c r="J27" t="s">
        <v>257</v>
      </c>
      <c r="K27" t="s">
        <v>258</v>
      </c>
      <c r="L27" t="s">
        <v>259</v>
      </c>
      <c r="M27" t="s">
        <v>260</v>
      </c>
      <c r="N27" t="s">
        <v>146</v>
      </c>
    </row>
    <row r="28" spans="2:17">
      <c r="B28" t="s">
        <v>132</v>
      </c>
      <c r="C28" s="9">
        <f>SUMIFS('Consolidado gerencial'!$H:$H,'Consolidado gerencial'!$B:$B,$B28,'Consolidado gerencial'!$A:$A,C$27)</f>
        <v>2753.2500000000005</v>
      </c>
      <c r="D28" s="9">
        <f>SUMIFS('Consolidado gerencial'!$H:$H,'Consolidado gerencial'!$B:$B,$B28,'Consolidado gerencial'!$A:$A,D$27)</f>
        <v>3226.2000000000003</v>
      </c>
      <c r="E28" s="9">
        <f>SUMIFS('Consolidado gerencial'!$H:$H,'Consolidado gerencial'!$B:$B,$B28,'Consolidado gerencial'!$A:$A,E$27)</f>
        <v>1957.2700000000002</v>
      </c>
      <c r="F28" s="9">
        <f>SUMIFS('Consolidado gerencial'!$H:$H,'Consolidado gerencial'!$B:$B,$B28,'Consolidado gerencial'!$A:$A,F$27)</f>
        <v>1954.31</v>
      </c>
      <c r="G28" s="9">
        <f>SUMIFS('Consolidado gerencial'!$H:$H,'Consolidado gerencial'!$B:$B,$B28,'Consolidado gerencial'!$A:$A,G$27)</f>
        <v>732.49</v>
      </c>
      <c r="H28" s="9">
        <f>SUMIFS('Consolidado gerencial'!$H:$H,'Consolidado gerencial'!$B:$B,$B28,'Consolidado gerencial'!$A:$A,H$27)</f>
        <v>1997.4499999999998</v>
      </c>
      <c r="I28" s="9">
        <f>SUMIFS('Consolidado gerencial'!$H:$H,'Consolidado gerencial'!$B:$B,$B28,'Consolidado gerencial'!$A:$A,I$27)</f>
        <v>2076.0199999999995</v>
      </c>
      <c r="J28" s="9">
        <f>SUMIFS('Consolidado gerencial'!$H:$H,'Consolidado gerencial'!$B:$B,$B28,'Consolidado gerencial'!$A:$A,J$27)</f>
        <v>2397.52</v>
      </c>
      <c r="K28" s="9">
        <f>SUMIFS('Consolidado gerencial'!$H:$H,'Consolidado gerencial'!$B:$B,$B28,'Consolidado gerencial'!$A:$A,K$27)</f>
        <v>1071.4899999999998</v>
      </c>
      <c r="L28" s="9">
        <f>SUMIFS('Consolidado gerencial'!$H:$H,'Consolidado gerencial'!$B:$B,$B28,'Consolidado gerencial'!$A:$A,L$27)</f>
        <v>0</v>
      </c>
      <c r="M28" s="9">
        <f>SUMIFS('Consolidado gerencial'!$H:$H,'Consolidado gerencial'!$B:$B,$B28,'Consolidado gerencial'!$A:$A,M$27)</f>
        <v>0</v>
      </c>
      <c r="N28" s="9">
        <f>SUMIFS('Consolidado gerencial'!$H:$H,'Consolidado gerencial'!$B:$B,$B28,'Consolidado gerencial'!$A:$A,N$27)</f>
        <v>0</v>
      </c>
    </row>
    <row r="29" spans="2:17">
      <c r="B29" t="s">
        <v>134</v>
      </c>
      <c r="C29" s="9">
        <f>SUMIFS('Consolidado gerencial'!$H:$H,'Consolidado gerencial'!$B:$B,$B29,'Consolidado gerencial'!$A:$A,C$27)</f>
        <v>1855.6400000000003</v>
      </c>
      <c r="D29" s="9">
        <f>SUMIFS('Consolidado gerencial'!$H:$H,'Consolidado gerencial'!$B:$B,$B29,'Consolidado gerencial'!$A:$A,D$27)</f>
        <v>1774.3000000000002</v>
      </c>
      <c r="E29" s="9">
        <f>SUMIFS('Consolidado gerencial'!$H:$H,'Consolidado gerencial'!$B:$B,$B29,'Consolidado gerencial'!$A:$A,E$27)</f>
        <v>1407.1299999999999</v>
      </c>
      <c r="F29" s="9">
        <f>SUMIFS('Consolidado gerencial'!$H:$H,'Consolidado gerencial'!$B:$B,$B29,'Consolidado gerencial'!$A:$A,F$27)</f>
        <v>1324.71</v>
      </c>
      <c r="G29" s="9">
        <f>SUMIFS('Consolidado gerencial'!$H:$H,'Consolidado gerencial'!$B:$B,$B29,'Consolidado gerencial'!$A:$A,G$27)</f>
        <v>1356.6899999999998</v>
      </c>
      <c r="H29" s="9">
        <f>SUMIFS('Consolidado gerencial'!$H:$H,'Consolidado gerencial'!$B:$B,$B29,'Consolidado gerencial'!$A:$A,H$27)</f>
        <v>1515.36</v>
      </c>
      <c r="I29" s="9">
        <f>SUMIFS('Consolidado gerencial'!$H:$H,'Consolidado gerencial'!$B:$B,$B29,'Consolidado gerencial'!$A:$A,I$27)</f>
        <v>1115.6100000000001</v>
      </c>
      <c r="J29" s="9">
        <f>SUMIFS('Consolidado gerencial'!$H:$H,'Consolidado gerencial'!$B:$B,$B29,'Consolidado gerencial'!$A:$A,J$27)</f>
        <v>2129.13</v>
      </c>
      <c r="K29" s="9">
        <f>SUMIFS('Consolidado gerencial'!$H:$H,'Consolidado gerencial'!$B:$B,$B29,'Consolidado gerencial'!$A:$A,K$27)</f>
        <v>313.64999999999998</v>
      </c>
      <c r="L29" s="9">
        <f>SUMIFS('Consolidado gerencial'!$H:$H,'Consolidado gerencial'!$B:$B,$B29,'Consolidado gerencial'!$A:$A,L$27)</f>
        <v>0</v>
      </c>
      <c r="M29" s="9">
        <f>SUMIFS('Consolidado gerencial'!$H:$H,'Consolidado gerencial'!$B:$B,$B29,'Consolidado gerencial'!$A:$A,M$27)</f>
        <v>0</v>
      </c>
      <c r="N29" s="9">
        <f>SUMIFS('Consolidado gerencial'!$H:$H,'Consolidado gerencial'!$B:$B,$B29,'Consolidado gerencial'!$A:$A,N$27)</f>
        <v>0</v>
      </c>
    </row>
    <row r="30" spans="2:17">
      <c r="B30" t="s">
        <v>250</v>
      </c>
      <c r="C30" s="9">
        <f>SUMIFS('Consolidado gerencial'!$H:$H,'Consolidado gerencial'!$B:$B,$B30,'Consolidado gerencial'!$A:$A,C$27)</f>
        <v>1089.2</v>
      </c>
      <c r="D30" s="9">
        <f>SUMIFS('Consolidado gerencial'!$H:$H,'Consolidado gerencial'!$B:$B,$B30,'Consolidado gerencial'!$A:$A,D$27)</f>
        <v>1467.3000000000002</v>
      </c>
      <c r="E30" s="9">
        <f>SUMIFS('Consolidado gerencial'!$H:$H,'Consolidado gerencial'!$B:$B,$B30,'Consolidado gerencial'!$A:$A,E$27)</f>
        <v>1709.72</v>
      </c>
      <c r="F30" s="9">
        <f>SUMIFS('Consolidado gerencial'!$H:$H,'Consolidado gerencial'!$B:$B,$B30,'Consolidado gerencial'!$A:$A,F$27)</f>
        <v>1222.46</v>
      </c>
      <c r="G30" s="9">
        <f>SUMIFS('Consolidado gerencial'!$H:$H,'Consolidado gerencial'!$B:$B,$B30,'Consolidado gerencial'!$A:$A,G$27)</f>
        <v>1428.82</v>
      </c>
      <c r="H30" s="9">
        <f>SUMIFS('Consolidado gerencial'!$H:$H,'Consolidado gerencial'!$B:$B,$B30,'Consolidado gerencial'!$A:$A,H$27)</f>
        <v>1186.23</v>
      </c>
      <c r="I30" s="9">
        <f>SUMIFS('Consolidado gerencial'!$H:$H,'Consolidado gerencial'!$B:$B,$B30,'Consolidado gerencial'!$A:$A,I$27)</f>
        <v>1185.5</v>
      </c>
      <c r="J30" s="9">
        <f>SUMIFS('Consolidado gerencial'!$H:$H,'Consolidado gerencial'!$B:$B,$B30,'Consolidado gerencial'!$A:$A,J$27)</f>
        <v>305.03999999999996</v>
      </c>
      <c r="K30" s="9">
        <f>SUMIFS('Consolidado gerencial'!$H:$H,'Consolidado gerencial'!$B:$B,$B30,'Consolidado gerencial'!$A:$A,K$27)</f>
        <v>687.56999999999994</v>
      </c>
      <c r="L30" s="9">
        <f>SUMIFS('Consolidado gerencial'!$H:$H,'Consolidado gerencial'!$B:$B,$B30,'Consolidado gerencial'!$A:$A,L$27)</f>
        <v>0</v>
      </c>
      <c r="M30" s="9">
        <f>SUMIFS('Consolidado gerencial'!$H:$H,'Consolidado gerencial'!$B:$B,$B30,'Consolidado gerencial'!$A:$A,M$27)</f>
        <v>0</v>
      </c>
      <c r="N30" s="9">
        <f>SUMIFS('Consolidado gerencial'!$H:$H,'Consolidado gerencial'!$B:$B,$B30,'Consolidado gerencial'!$A:$A,N$27)</f>
        <v>0</v>
      </c>
    </row>
    <row r="31" spans="2:17">
      <c r="B31" t="s">
        <v>136</v>
      </c>
      <c r="C31" s="9">
        <f>SUMIFS('Consolidado gerencial'!$H:$H,'Consolidado gerencial'!$B:$B,$B31,'Consolidado gerencial'!$A:$A,C$27)</f>
        <v>1423.4</v>
      </c>
      <c r="D31" s="9">
        <f>SUMIFS('Consolidado gerencial'!$H:$H,'Consolidado gerencial'!$B:$B,$B31,'Consolidado gerencial'!$A:$A,D$27)</f>
        <v>834.90000000000009</v>
      </c>
      <c r="E31" s="9">
        <f>SUMIFS('Consolidado gerencial'!$H:$H,'Consolidado gerencial'!$B:$B,$B31,'Consolidado gerencial'!$A:$A,E$27)</f>
        <v>1549.24</v>
      </c>
      <c r="F31" s="9">
        <f>SUMIFS('Consolidado gerencial'!$H:$H,'Consolidado gerencial'!$B:$B,$B31,'Consolidado gerencial'!$A:$A,F$27)</f>
        <v>1332.09</v>
      </c>
      <c r="G31" s="9">
        <f>SUMIFS('Consolidado gerencial'!$H:$H,'Consolidado gerencial'!$B:$B,$B31,'Consolidado gerencial'!$A:$A,G$27)</f>
        <v>1350.5400000000002</v>
      </c>
      <c r="H31" s="9">
        <f>SUMIFS('Consolidado gerencial'!$H:$H,'Consolidado gerencial'!$B:$B,$B31,'Consolidado gerencial'!$A:$A,H$27)</f>
        <v>1483.38</v>
      </c>
      <c r="I31" s="9">
        <f>SUMIFS('Consolidado gerencial'!$H:$H,'Consolidado gerencial'!$B:$B,$B31,'Consolidado gerencial'!$A:$A,I$27)</f>
        <v>1536.27</v>
      </c>
      <c r="J31" s="9">
        <f>SUMIFS('Consolidado gerencial'!$H:$H,'Consolidado gerencial'!$B:$B,$B31,'Consolidado gerencial'!$A:$A,J$27)</f>
        <v>1346.8500000000001</v>
      </c>
      <c r="K31" s="9">
        <f>SUMIFS('Consolidado gerencial'!$H:$H,'Consolidado gerencial'!$B:$B,$B31,'Consolidado gerencial'!$A:$A,K$27)</f>
        <v>321.02999999999997</v>
      </c>
      <c r="L31" s="9">
        <f>SUMIFS('Consolidado gerencial'!$H:$H,'Consolidado gerencial'!$B:$B,$B31,'Consolidado gerencial'!$A:$A,L$27)</f>
        <v>0</v>
      </c>
      <c r="M31" s="9">
        <f>SUMIFS('Consolidado gerencial'!$H:$H,'Consolidado gerencial'!$B:$B,$B31,'Consolidado gerencial'!$A:$A,M$27)</f>
        <v>0</v>
      </c>
      <c r="N31" s="9">
        <f>SUMIFS('Consolidado gerencial'!$H:$H,'Consolidado gerencial'!$B:$B,$B31,'Consolidado gerencial'!$A:$A,N$27)</f>
        <v>0</v>
      </c>
    </row>
    <row r="32" spans="2:17">
      <c r="B32" s="80" t="s">
        <v>141</v>
      </c>
      <c r="C32" s="9">
        <f>SUMIFS('Consolidado gerencial'!$H:$H,'Consolidado gerencial'!$B:$B,$B32,'Consolidado gerencial'!$A:$A,C$27)</f>
        <v>1108.8</v>
      </c>
      <c r="D32" s="9">
        <f>SUMIFS('Consolidado gerencial'!$H:$H,'Consolidado gerencial'!$B:$B,$B32,'Consolidado gerencial'!$A:$A,D$27)</f>
        <v>2047.1000000000004</v>
      </c>
      <c r="E32" s="9">
        <f>SUMIFS('Consolidado gerencial'!$H:$H,'Consolidado gerencial'!$B:$B,$B32,'Consolidado gerencial'!$A:$A,E$27)</f>
        <v>1535.92</v>
      </c>
      <c r="F32" s="9">
        <f>SUMIFS('Consolidado gerencial'!$H:$H,'Consolidado gerencial'!$B:$B,$B32,'Consolidado gerencial'!$A:$A,F$27)</f>
        <v>568.26</v>
      </c>
      <c r="G32" s="9">
        <f>SUMIFS('Consolidado gerencial'!$H:$H,'Consolidado gerencial'!$B:$B,$B32,'Consolidado gerencial'!$A:$A,G$27)</f>
        <v>808.88999999999987</v>
      </c>
      <c r="H32" s="9">
        <f>SUMIFS('Consolidado gerencial'!$H:$H,'Consolidado gerencial'!$B:$B,$B32,'Consolidado gerencial'!$A:$A,H$27)</f>
        <v>805.65</v>
      </c>
      <c r="I32" s="9">
        <f>SUMIFS('Consolidado gerencial'!$H:$H,'Consolidado gerencial'!$B:$B,$B32,'Consolidado gerencial'!$A:$A,I$27)</f>
        <v>0</v>
      </c>
      <c r="J32" s="9">
        <f>SUMIFS('Consolidado gerencial'!$H:$H,'Consolidado gerencial'!$B:$B,$B32,'Consolidado gerencial'!$A:$A,J$27)</f>
        <v>0</v>
      </c>
      <c r="K32" s="9">
        <f>SUMIFS('Consolidado gerencial'!$H:$H,'Consolidado gerencial'!$B:$B,$B32,'Consolidado gerencial'!$A:$A,K$27)</f>
        <v>0</v>
      </c>
      <c r="L32" s="9">
        <f>SUMIFS('Consolidado gerencial'!$H:$H,'Consolidado gerencial'!$B:$B,$B32,'Consolidado gerencial'!$A:$A,L$27)</f>
        <v>0</v>
      </c>
      <c r="M32" s="9">
        <f>SUMIFS('Consolidado gerencial'!$H:$H,'Consolidado gerencial'!$B:$B,$B32,'Consolidado gerencial'!$A:$A,M$27)</f>
        <v>0</v>
      </c>
      <c r="N32" s="9">
        <f>SUMIFS('Consolidado gerencial'!$H:$H,'Consolidado gerencial'!$B:$B,$B32,'Consolidado gerencial'!$A:$A,N$27)</f>
        <v>0</v>
      </c>
    </row>
    <row r="33" spans="2:15">
      <c r="B33" s="80" t="s">
        <v>470</v>
      </c>
      <c r="C33" s="9">
        <f>SUMIFS('Consolidado gerencial'!$H:$H,'Consolidado gerencial'!$B:$B,$B33,'Consolidado gerencial'!$A:$A,C$27)</f>
        <v>0</v>
      </c>
      <c r="D33" s="9">
        <f>SUMIFS('Consolidado gerencial'!$H:$H,'Consolidado gerencial'!$B:$B,$B33,'Consolidado gerencial'!$A:$A,D$27)</f>
        <v>1111.0000000000002</v>
      </c>
      <c r="E33" s="9">
        <f>SUMIFS('Consolidado gerencial'!$H:$H,'Consolidado gerencial'!$B:$B,$B33,'Consolidado gerencial'!$A:$A,E$27)</f>
        <v>1127.7</v>
      </c>
      <c r="F33" s="9">
        <f>SUMIFS('Consolidado gerencial'!$H:$H,'Consolidado gerencial'!$B:$B,$B33,'Consolidado gerencial'!$A:$A,F$27)</f>
        <v>630.99</v>
      </c>
      <c r="G33" s="9">
        <f>SUMIFS('Consolidado gerencial'!$H:$H,'Consolidado gerencial'!$B:$B,$B33,'Consolidado gerencial'!$A:$A,G$27)</f>
        <v>1241.0699999999997</v>
      </c>
      <c r="H33" s="9">
        <f>SUMIFS('Consolidado gerencial'!$H:$H,'Consolidado gerencial'!$B:$B,$B33,'Consolidado gerencial'!$A:$A,H$27)</f>
        <v>498.15</v>
      </c>
      <c r="I33" s="9">
        <f>SUMIFS('Consolidado gerencial'!$H:$H,'Consolidado gerencial'!$B:$B,$B33,'Consolidado gerencial'!$A:$A,I$27)</f>
        <v>0</v>
      </c>
      <c r="J33" s="9">
        <f>SUMIFS('Consolidado gerencial'!$H:$H,'Consolidado gerencial'!$B:$B,$B33,'Consolidado gerencial'!$A:$A,J$27)</f>
        <v>0</v>
      </c>
      <c r="K33" s="9">
        <f>SUMIFS('Consolidado gerencial'!$H:$H,'Consolidado gerencial'!$B:$B,$B33,'Consolidado gerencial'!$A:$A,K$27)</f>
        <v>0</v>
      </c>
      <c r="L33" s="9">
        <f>SUMIFS('Consolidado gerencial'!$H:$H,'Consolidado gerencial'!$B:$B,$B33,'Consolidado gerencial'!$A:$A,L$27)</f>
        <v>0</v>
      </c>
      <c r="M33" s="9">
        <f>SUMIFS('Consolidado gerencial'!$H:$H,'Consolidado gerencial'!$B:$B,$B33,'Consolidado gerencial'!$A:$A,M$27)</f>
        <v>0</v>
      </c>
      <c r="N33" s="9">
        <f>SUMIFS('Consolidado gerencial'!$H:$H,'Consolidado gerencial'!$B:$B,$B33,'Consolidado gerencial'!$A:$A,N$27)</f>
        <v>0</v>
      </c>
    </row>
    <row r="34" spans="2:15">
      <c r="B34" t="s">
        <v>498</v>
      </c>
      <c r="C34" s="9">
        <f>SUMIFS('Consolidado gerencial'!$H:$H,'Consolidado gerencial'!$B:$B,$B34,'Consolidado gerencial'!$A:$A,C$27)</f>
        <v>0</v>
      </c>
      <c r="D34" s="9">
        <f>SUMIFS('Consolidado gerencial'!$H:$H,'Consolidado gerencial'!$B:$B,$B34,'Consolidado gerencial'!$A:$A,D$27)</f>
        <v>222.39999999999998</v>
      </c>
      <c r="E34" s="9">
        <f>SUMIFS('Consolidado gerencial'!$H:$H,'Consolidado gerencial'!$B:$B,$B34,'Consolidado gerencial'!$A:$A,E$27)</f>
        <v>1516.4399999999998</v>
      </c>
      <c r="F34" s="9">
        <f>SUMIFS('Consolidado gerencial'!$H:$H,'Consolidado gerencial'!$B:$B,$B34,'Consolidado gerencial'!$A:$A,F$27)</f>
        <v>1185.72</v>
      </c>
      <c r="G34" s="9">
        <f>SUMIFS('Consolidado gerencial'!$H:$H,'Consolidado gerencial'!$B:$B,$B34,'Consolidado gerencial'!$A:$A,G$27)</f>
        <v>755.25</v>
      </c>
      <c r="H34" s="9">
        <f>SUMIFS('Consolidado gerencial'!$H:$H,'Consolidado gerencial'!$B:$B,$B34,'Consolidado gerencial'!$A:$A,H$27)</f>
        <v>532.48</v>
      </c>
      <c r="I34" s="9">
        <f>SUMIFS('Consolidado gerencial'!$H:$H,'Consolidado gerencial'!$B:$B,$B34,'Consolidado gerencial'!$A:$A,I$27)</f>
        <v>1031.19</v>
      </c>
      <c r="J34" s="9">
        <f>SUMIFS('Consolidado gerencial'!$H:$H,'Consolidado gerencial'!$B:$B,$B34,'Consolidado gerencial'!$A:$A,J$27)</f>
        <v>972.15000000000009</v>
      </c>
      <c r="K34" s="9">
        <f>SUMIFS('Consolidado gerencial'!$H:$H,'Consolidado gerencial'!$B:$B,$B34,'Consolidado gerencial'!$A:$A,K$27)</f>
        <v>1011.6499999999999</v>
      </c>
      <c r="L34" s="9">
        <f>SUMIFS('Consolidado gerencial'!$H:$H,'Consolidado gerencial'!$B:$B,$B34,'Consolidado gerencial'!$A:$A,L$27)</f>
        <v>0</v>
      </c>
      <c r="M34" s="9">
        <f>SUMIFS('Consolidado gerencial'!$H:$H,'Consolidado gerencial'!$B:$B,$B34,'Consolidado gerencial'!$A:$A,M$27)</f>
        <v>0</v>
      </c>
      <c r="N34" s="9">
        <f>SUMIFS('Consolidado gerencial'!$H:$H,'Consolidado gerencial'!$B:$B,$B34,'Consolidado gerencial'!$A:$A,N$27)</f>
        <v>0</v>
      </c>
    </row>
    <row r="35" spans="2:15">
      <c r="B35" t="s">
        <v>505</v>
      </c>
      <c r="C35" s="9">
        <f>SUMIFS('Consolidado gerencial'!$H:$H,'Consolidado gerencial'!$B:$B,$B35,'Consolidado gerencial'!$A:$A,C$27)</f>
        <v>0</v>
      </c>
      <c r="D35" s="9">
        <f>SUMIFS('Consolidado gerencial'!$H:$H,'Consolidado gerencial'!$B:$B,$B35,'Consolidado gerencial'!$A:$A,D$27)</f>
        <v>799.7</v>
      </c>
      <c r="E35" s="9">
        <f>SUMIFS('Consolidado gerencial'!$H:$H,'Consolidado gerencial'!$B:$B,$B35,'Consolidado gerencial'!$A:$A,E$27)</f>
        <v>1599.2900000000004</v>
      </c>
      <c r="F35" s="9">
        <f>SUMIFS('Consolidado gerencial'!$H:$H,'Consolidado gerencial'!$B:$B,$B35,'Consolidado gerencial'!$A:$A,F$27)</f>
        <v>1348.7200000000003</v>
      </c>
      <c r="G35" s="9">
        <f>SUMIFS('Consolidado gerencial'!$H:$H,'Consolidado gerencial'!$B:$B,$B35,'Consolidado gerencial'!$A:$A,G$27)</f>
        <v>1227.54</v>
      </c>
      <c r="H35" s="9">
        <f>SUMIFS('Consolidado gerencial'!$H:$H,'Consolidado gerencial'!$B:$B,$B35,'Consolidado gerencial'!$A:$A,H$27)</f>
        <v>1164.81</v>
      </c>
      <c r="I35" s="9">
        <f>SUMIFS('Consolidado gerencial'!$H:$H,'Consolidado gerencial'!$B:$B,$B35,'Consolidado gerencial'!$A:$A,I$27)</f>
        <v>1541.0700000000002</v>
      </c>
      <c r="J35" s="9">
        <f>SUMIFS('Consolidado gerencial'!$H:$H,'Consolidado gerencial'!$B:$B,$B35,'Consolidado gerencial'!$A:$A,J$27)</f>
        <v>1243.29</v>
      </c>
      <c r="K35" s="9">
        <f>SUMIFS('Consolidado gerencial'!$H:$H,'Consolidado gerencial'!$B:$B,$B35,'Consolidado gerencial'!$A:$A,K$27)</f>
        <v>637.46999999999991</v>
      </c>
      <c r="L35" s="9">
        <f>SUMIFS('Consolidado gerencial'!$H:$H,'Consolidado gerencial'!$B:$B,$B35,'Consolidado gerencial'!$A:$A,L$27)</f>
        <v>0</v>
      </c>
      <c r="M35" s="9">
        <f>SUMIFS('Consolidado gerencial'!$H:$H,'Consolidado gerencial'!$B:$B,$B35,'Consolidado gerencial'!$A:$A,M$27)</f>
        <v>0</v>
      </c>
      <c r="N35" s="9">
        <f>SUMIFS('Consolidado gerencial'!$H:$H,'Consolidado gerencial'!$B:$B,$B35,'Consolidado gerencial'!$A:$A,N$27)</f>
        <v>0</v>
      </c>
    </row>
    <row r="36" spans="2:15">
      <c r="B36" t="s">
        <v>44</v>
      </c>
      <c r="C36" s="9">
        <f>SUMIFS('Consolidado gerencial'!$H:$H,'Consolidado gerencial'!$B:$B,$B36,'Consolidado gerencial'!$A:$A,C$27)</f>
        <v>0</v>
      </c>
      <c r="D36" s="9">
        <f>SUMIFS('Consolidado gerencial'!$H:$H,'Consolidado gerencial'!$B:$B,$B36,'Consolidado gerencial'!$A:$A,D$27)</f>
        <v>0</v>
      </c>
      <c r="E36" s="9">
        <f>SUMIFS('Consolidado gerencial'!$H:$H,'Consolidado gerencial'!$B:$B,$B36,'Consolidado gerencial'!$A:$A,E$27)</f>
        <v>0</v>
      </c>
      <c r="F36" s="9">
        <f>SUMIFS('Consolidado gerencial'!$H:$H,'Consolidado gerencial'!$B:$B,$B36,'Consolidado gerencial'!$A:$A,F$27)</f>
        <v>0</v>
      </c>
      <c r="G36" s="9">
        <f>SUMIFS('Consolidado gerencial'!$H:$H,'Consolidado gerencial'!$B:$B,$B36,'Consolidado gerencial'!$A:$A,G$27)</f>
        <v>0</v>
      </c>
      <c r="H36" s="9">
        <f>SUMIFS('Consolidado gerencial'!$H:$H,'Consolidado gerencial'!$B:$B,$B36,'Consolidado gerencial'!$A:$A,H$27)</f>
        <v>0</v>
      </c>
      <c r="I36" s="9">
        <f>SUMIFS('Consolidado gerencial'!$H:$H,'Consolidado gerencial'!$B:$B,$B36,'Consolidado gerencial'!$A:$A,I$27)</f>
        <v>1049.26</v>
      </c>
      <c r="J36" s="9">
        <f>SUMIFS('Consolidado gerencial'!$H:$H,'Consolidado gerencial'!$B:$B,$B36,'Consolidado gerencial'!$A:$A,J$27)</f>
        <v>1040.5800000000002</v>
      </c>
      <c r="K36" s="9">
        <f>SUMIFS('Consolidado gerencial'!$H:$H,'Consolidado gerencial'!$B:$B,$B36,'Consolidado gerencial'!$A:$A,K$27)</f>
        <v>769.53</v>
      </c>
      <c r="L36" s="9">
        <f>SUMIFS('Consolidado gerencial'!$H:$H,'Consolidado gerencial'!$B:$B,$B36,'Consolidado gerencial'!$A:$A,L$27)</f>
        <v>0</v>
      </c>
      <c r="M36" s="9">
        <f>SUMIFS('Consolidado gerencial'!$H:$H,'Consolidado gerencial'!$B:$B,$B36,'Consolidado gerencial'!$A:$A,M$27)</f>
        <v>0</v>
      </c>
      <c r="N36" s="9">
        <f>SUMIFS('Consolidado gerencial'!$H:$H,'Consolidado gerencial'!$B:$B,$B36,'Consolidado gerencial'!$A:$A,N$27)</f>
        <v>0</v>
      </c>
    </row>
    <row r="37" spans="2:15">
      <c r="B37" t="s">
        <v>1696</v>
      </c>
      <c r="C37" s="9">
        <f>SUMIFS('Consolidado gerencial'!$H:$H,'Consolidado gerencial'!$B:$B,$B37,'Consolidado gerencial'!$A:$A,C$27)</f>
        <v>0</v>
      </c>
      <c r="D37" s="9">
        <f>SUMIFS('Consolidado gerencial'!$H:$H,'Consolidado gerencial'!$B:$B,$B37,'Consolidado gerencial'!$A:$A,D$27)</f>
        <v>0</v>
      </c>
      <c r="E37" s="9">
        <f>SUMIFS('Consolidado gerencial'!$H:$H,'Consolidado gerencial'!$B:$B,$B37,'Consolidado gerencial'!$A:$A,E$27)</f>
        <v>0</v>
      </c>
      <c r="F37" s="9">
        <f>SUMIFS('Consolidado gerencial'!$H:$H,'Consolidado gerencial'!$B:$B,$B37,'Consolidado gerencial'!$A:$A,F$27)</f>
        <v>0</v>
      </c>
      <c r="G37" s="9">
        <f>SUMIFS('Consolidado gerencial'!$H:$H,'Consolidado gerencial'!$B:$B,$B37,'Consolidado gerencial'!$A:$A,G$27)</f>
        <v>0</v>
      </c>
      <c r="H37" s="9">
        <f>SUMIFS('Consolidado gerencial'!$H:$H,'Consolidado gerencial'!$B:$B,$B37,'Consolidado gerencial'!$A:$A,H$27)</f>
        <v>0</v>
      </c>
      <c r="I37" s="9">
        <f>SUMIFS('Consolidado gerencial'!$H:$H,'Consolidado gerencial'!$B:$B,$B37,'Consolidado gerencial'!$A:$A,I$27)</f>
        <v>1170.96</v>
      </c>
      <c r="J37" s="9">
        <f>SUMIFS('Consolidado gerencial'!$H:$H,'Consolidado gerencial'!$B:$B,$B37,'Consolidado gerencial'!$A:$A,J$27)</f>
        <v>1190.6399999999999</v>
      </c>
      <c r="K37" s="9">
        <f>SUMIFS('Consolidado gerencial'!$H:$H,'Consolidado gerencial'!$B:$B,$B37,'Consolidado gerencial'!$A:$A,K$27)</f>
        <v>755.22</v>
      </c>
      <c r="L37" s="9">
        <f>SUMIFS('Consolidado gerencial'!$H:$H,'Consolidado gerencial'!$B:$B,$B37,'Consolidado gerencial'!$A:$A,L$27)</f>
        <v>0</v>
      </c>
      <c r="M37" s="9">
        <f>SUMIFS('Consolidado gerencial'!$H:$H,'Consolidado gerencial'!$B:$B,$B37,'Consolidado gerencial'!$A:$A,M$27)</f>
        <v>0</v>
      </c>
      <c r="N37" s="9">
        <f>SUMIFS('Consolidado gerencial'!$H:$H,'Consolidado gerencial'!$B:$B,$B37,'Consolidado gerencial'!$A:$A,N$27)</f>
        <v>0</v>
      </c>
    </row>
    <row r="38" spans="2:15">
      <c r="B38" t="s">
        <v>262</v>
      </c>
      <c r="C38" s="9">
        <f>SUMIFS('Consolidado gerencial'!$H:$H,'Consolidado gerencial'!$B:$B,$B38,'Consolidado gerencial'!$A:$A,C$27)</f>
        <v>0</v>
      </c>
      <c r="D38" s="9">
        <f>SUMIFS('Consolidado gerencial'!$H:$H,'Consolidado gerencial'!$B:$B,$B38,'Consolidado gerencial'!$A:$A,D$27)</f>
        <v>0</v>
      </c>
      <c r="E38" s="9">
        <f>SUMIFS('Consolidado gerencial'!$H:$H,'Consolidado gerencial'!$B:$B,$B38,'Consolidado gerencial'!$A:$A,E$27)</f>
        <v>0</v>
      </c>
      <c r="F38" s="9">
        <f>SUMIFS('Consolidado gerencial'!$H:$H,'Consolidado gerencial'!$B:$B,$B38,'Consolidado gerencial'!$A:$A,F$27)</f>
        <v>0</v>
      </c>
      <c r="G38" s="9">
        <f>SUMIFS('Consolidado gerencial'!$H:$H,'Consolidado gerencial'!$B:$B,$B38,'Consolidado gerencial'!$A:$A,G$27)</f>
        <v>0</v>
      </c>
      <c r="H38" s="9">
        <f>SUMIFS('Consolidado gerencial'!$H:$H,'Consolidado gerencial'!$B:$B,$B38,'Consolidado gerencial'!$A:$A,H$27)</f>
        <v>0</v>
      </c>
      <c r="I38" s="9">
        <f>SUMIFS('Consolidado gerencial'!$H:$H,'Consolidado gerencial'!$B:$B,$B38,'Consolidado gerencial'!$A:$A,I$27)</f>
        <v>0</v>
      </c>
      <c r="J38" s="9">
        <f>SUMIFS('Consolidado gerencial'!$H:$H,'Consolidado gerencial'!$B:$B,$B38,'Consolidado gerencial'!$A:$A,J$27)</f>
        <v>0</v>
      </c>
      <c r="K38" s="9">
        <f>SUMIFS('Consolidado gerencial'!$H:$H,'Consolidado gerencial'!$B:$B,$B38,'Consolidado gerencial'!$A:$A,K$27)</f>
        <v>0</v>
      </c>
      <c r="L38" s="9">
        <f>SUMIFS('Consolidado gerencial'!$H:$H,'Consolidado gerencial'!$B:$B,$B38,'Consolidado gerencial'!$A:$A,L$27)</f>
        <v>0</v>
      </c>
      <c r="M38" s="9">
        <f>SUMIFS('Consolidado gerencial'!$H:$H,'Consolidado gerencial'!$B:$B,$B38,'Consolidado gerencial'!$A:$A,M$27)</f>
        <v>0</v>
      </c>
      <c r="N38" s="9">
        <f>SUMIFS('Consolidado gerencial'!$H:$H,'Consolidado gerencial'!$B:$B,$B38,'Consolidado gerencial'!$A:$A,N$27)</f>
        <v>0</v>
      </c>
    </row>
    <row r="39" spans="2:15">
      <c r="B39" s="80" t="s">
        <v>135</v>
      </c>
      <c r="C39" s="9">
        <f>SUMIFS('Consolidado gerencial'!$H:$H,'Consolidado gerencial'!$B:$B,$B39,'Consolidado gerencial'!$A:$A,C$27)</f>
        <v>471.90000000000003</v>
      </c>
      <c r="D39" s="9">
        <f>SUMIFS('Consolidado gerencial'!$H:$H,'Consolidado gerencial'!$B:$B,$B39,'Consolidado gerencial'!$A:$A,D$27)</f>
        <v>0</v>
      </c>
      <c r="E39" s="9">
        <f>SUMIFS('Consolidado gerencial'!$H:$H,'Consolidado gerencial'!$B:$B,$B39,'Consolidado gerencial'!$A:$A,E$27)</f>
        <v>0</v>
      </c>
      <c r="F39" s="9">
        <f>SUMIFS('Consolidado gerencial'!$H:$H,'Consolidado gerencial'!$B:$B,$B39,'Consolidado gerencial'!$A:$A,F$27)</f>
        <v>0</v>
      </c>
      <c r="G39" s="9">
        <f>SUMIFS('Consolidado gerencial'!$H:$H,'Consolidado gerencial'!$B:$B,$B39,'Consolidado gerencial'!$A:$A,G$27)</f>
        <v>0</v>
      </c>
      <c r="H39" s="9">
        <f>SUMIFS('Consolidado gerencial'!$H:$H,'Consolidado gerencial'!$B:$B,$B39,'Consolidado gerencial'!$A:$A,H$27)</f>
        <v>0</v>
      </c>
      <c r="I39" s="9">
        <f>SUMIFS('Consolidado gerencial'!$H:$H,'Consolidado gerencial'!$B:$B,$B39,'Consolidado gerencial'!$A:$A,I$27)</f>
        <v>0</v>
      </c>
      <c r="J39" s="9">
        <f>SUMIFS('Consolidado gerencial'!$H:$H,'Consolidado gerencial'!$B:$B,$B39,'Consolidado gerencial'!$A:$A,J$27)</f>
        <v>0</v>
      </c>
      <c r="K39" s="9">
        <f>SUMIFS('Consolidado gerencial'!$H:$H,'Consolidado gerencial'!$B:$B,$B39,'Consolidado gerencial'!$A:$A,K$27)</f>
        <v>0</v>
      </c>
      <c r="L39" s="9">
        <f>SUMIFS('Consolidado gerencial'!$H:$H,'Consolidado gerencial'!$B:$B,$B39,'Consolidado gerencial'!$A:$A,L$27)</f>
        <v>0</v>
      </c>
      <c r="M39" s="9">
        <f>SUMIFS('Consolidado gerencial'!$H:$H,'Consolidado gerencial'!$B:$B,$B39,'Consolidado gerencial'!$A:$A,M$27)</f>
        <v>0</v>
      </c>
      <c r="N39" s="9">
        <f>SUMIFS('Consolidado gerencial'!$H:$H,'Consolidado gerencial'!$B:$B,$B39,'Consolidado gerencial'!$A:$A,N$27)</f>
        <v>0</v>
      </c>
    </row>
    <row r="40" spans="2:15">
      <c r="B40" s="80" t="s">
        <v>139</v>
      </c>
      <c r="C40" s="9">
        <f>SUMIFS('Consolidado gerencial'!$H:$H,'Consolidado gerencial'!$B:$B,$B40,'Consolidado gerencial'!$A:$A,C$27)</f>
        <v>129.80000000000001</v>
      </c>
      <c r="D40" s="9">
        <f>SUMIFS('Consolidado gerencial'!$H:$H,'Consolidado gerencial'!$B:$B,$B40,'Consolidado gerencial'!$A:$A,D$27)</f>
        <v>0</v>
      </c>
      <c r="E40" s="9">
        <f>SUMIFS('Consolidado gerencial'!$H:$H,'Consolidado gerencial'!$B:$B,$B40,'Consolidado gerencial'!$A:$A,E$27)</f>
        <v>0</v>
      </c>
      <c r="F40" s="9">
        <f>SUMIFS('Consolidado gerencial'!$H:$H,'Consolidado gerencial'!$B:$B,$B40,'Consolidado gerencial'!$A:$A,F$27)</f>
        <v>0</v>
      </c>
      <c r="G40" s="9">
        <f>SUMIFS('Consolidado gerencial'!$H:$H,'Consolidado gerencial'!$B:$B,$B40,'Consolidado gerencial'!$A:$A,G$27)</f>
        <v>0</v>
      </c>
      <c r="H40" s="9">
        <f>SUMIFS('Consolidado gerencial'!$H:$H,'Consolidado gerencial'!$B:$B,$B40,'Consolidado gerencial'!$A:$A,H$27)</f>
        <v>0</v>
      </c>
      <c r="I40" s="9">
        <f>SUMIFS('Consolidado gerencial'!$H:$H,'Consolidado gerencial'!$B:$B,$B40,'Consolidado gerencial'!$A:$A,I$27)</f>
        <v>0</v>
      </c>
      <c r="J40" s="9">
        <f>SUMIFS('Consolidado gerencial'!$H:$H,'Consolidado gerencial'!$B:$B,$B40,'Consolidado gerencial'!$A:$A,J$27)</f>
        <v>0</v>
      </c>
      <c r="K40" s="9">
        <f>SUMIFS('Consolidado gerencial'!$H:$H,'Consolidado gerencial'!$B:$B,$B40,'Consolidado gerencial'!$A:$A,K$27)</f>
        <v>0</v>
      </c>
      <c r="L40" s="9">
        <f>SUMIFS('Consolidado gerencial'!$H:$H,'Consolidado gerencial'!$B:$B,$B40,'Consolidado gerencial'!$A:$A,L$27)</f>
        <v>0</v>
      </c>
      <c r="M40" s="9">
        <f>SUMIFS('Consolidado gerencial'!$H:$H,'Consolidado gerencial'!$B:$B,$B40,'Consolidado gerencial'!$A:$A,M$27)</f>
        <v>0</v>
      </c>
      <c r="N40" s="9">
        <f>SUMIFS('Consolidado gerencial'!$H:$H,'Consolidado gerencial'!$B:$B,$B40,'Consolidado gerencial'!$A:$A,N$27)</f>
        <v>0</v>
      </c>
    </row>
    <row r="41" spans="2:15">
      <c r="B41" s="83" t="s">
        <v>45</v>
      </c>
      <c r="C41" s="9">
        <f>SUMIFS('Consolidado gerencial'!$H:$H,'Consolidado gerencial'!$B:$B,$B41,'Consolidado gerencial'!$A:$A,C$27)</f>
        <v>602.50000000000011</v>
      </c>
      <c r="D41" s="9">
        <f>SUMIFS('Consolidado gerencial'!$H:$H,'Consolidado gerencial'!$B:$B,$B41,'Consolidado gerencial'!$A:$A,D$27)</f>
        <v>0</v>
      </c>
      <c r="E41" s="9">
        <f>SUMIFS('Consolidado gerencial'!$H:$H,'Consolidado gerencial'!$B:$B,$B41,'Consolidado gerencial'!$A:$A,E$27)</f>
        <v>0</v>
      </c>
      <c r="F41" s="9">
        <f>SUMIFS('Consolidado gerencial'!$H:$H,'Consolidado gerencial'!$B:$B,$B41,'Consolidado gerencial'!$A:$A,F$27)</f>
        <v>0</v>
      </c>
      <c r="G41" s="9">
        <f>SUMIFS('Consolidado gerencial'!$H:$H,'Consolidado gerencial'!$B:$B,$B41,'Consolidado gerencial'!$A:$A,G$27)</f>
        <v>0</v>
      </c>
      <c r="H41" s="9">
        <f>SUMIFS('Consolidado gerencial'!$H:$H,'Consolidado gerencial'!$B:$B,$B41,'Consolidado gerencial'!$A:$A,H$27)</f>
        <v>0</v>
      </c>
      <c r="I41" s="9">
        <f>SUMIFS('Consolidado gerencial'!$H:$H,'Consolidado gerencial'!$B:$B,$B41,'Consolidado gerencial'!$A:$A,I$27)</f>
        <v>0</v>
      </c>
      <c r="J41" s="9">
        <f>SUMIFS('Consolidado gerencial'!$H:$H,'Consolidado gerencial'!$B:$B,$B41,'Consolidado gerencial'!$A:$A,J$27)</f>
        <v>0</v>
      </c>
      <c r="K41" s="9">
        <f>SUMIFS('Consolidado gerencial'!$H:$H,'Consolidado gerencial'!$B:$B,$B41,'Consolidado gerencial'!$A:$A,K$27)</f>
        <v>0</v>
      </c>
      <c r="L41" s="9">
        <f>SUMIFS('Consolidado gerencial'!$H:$H,'Consolidado gerencial'!$B:$B,$B41,'Consolidado gerencial'!$A:$A,L$27)</f>
        <v>0</v>
      </c>
      <c r="M41" s="9">
        <f>SUMIFS('Consolidado gerencial'!$H:$H,'Consolidado gerencial'!$B:$B,$B41,'Consolidado gerencial'!$A:$A,M$27)</f>
        <v>0</v>
      </c>
      <c r="N41" s="9">
        <f>SUMIFS('Consolidado gerencial'!$H:$H,'Consolidado gerencial'!$B:$B,$B41,'Consolidado gerencial'!$A:$A,N$27)</f>
        <v>0</v>
      </c>
    </row>
    <row r="42" spans="2:15">
      <c r="B42" s="83" t="s">
        <v>24</v>
      </c>
      <c r="C42" s="9">
        <f>SUMIFS('Consolidado gerencial'!$H:$H,'Consolidado gerencial'!$B:$B,$B42,'Consolidado gerencial'!$A:$A,C$27)</f>
        <v>179.49</v>
      </c>
      <c r="D42" s="9">
        <f>SUMIFS('Consolidado gerencial'!$H:$H,'Consolidado gerencial'!$B:$B,$B42,'Consolidado gerencial'!$A:$A,D$27)</f>
        <v>0</v>
      </c>
      <c r="E42" s="9">
        <f>SUMIFS('Consolidado gerencial'!$H:$H,'Consolidado gerencial'!$B:$B,$B42,'Consolidado gerencial'!$A:$A,E$27)</f>
        <v>0</v>
      </c>
      <c r="F42" s="9">
        <f>SUMIFS('Consolidado gerencial'!$H:$H,'Consolidado gerencial'!$B:$B,$B42,'Consolidado gerencial'!$A:$A,F$27)</f>
        <v>0</v>
      </c>
      <c r="G42" s="9">
        <f>SUMIFS('Consolidado gerencial'!$H:$H,'Consolidado gerencial'!$B:$B,$B42,'Consolidado gerencial'!$A:$A,G$27)</f>
        <v>0</v>
      </c>
      <c r="H42" s="9">
        <f>SUMIFS('Consolidado gerencial'!$H:$H,'Consolidado gerencial'!$B:$B,$B42,'Consolidado gerencial'!$A:$A,H$27)</f>
        <v>0</v>
      </c>
      <c r="I42" s="9">
        <f>SUMIFS('Consolidado gerencial'!$H:$H,'Consolidado gerencial'!$B:$B,$B42,'Consolidado gerencial'!$A:$A,I$27)</f>
        <v>0</v>
      </c>
      <c r="J42" s="9">
        <f>SUMIFS('Consolidado gerencial'!$H:$H,'Consolidado gerencial'!$B:$B,$B42,'Consolidado gerencial'!$A:$A,J$27)</f>
        <v>0</v>
      </c>
      <c r="K42" s="9">
        <f>SUMIFS('Consolidado gerencial'!$H:$H,'Consolidado gerencial'!$B:$B,$B42,'Consolidado gerencial'!$A:$A,K$27)</f>
        <v>0</v>
      </c>
      <c r="L42" s="9">
        <f>SUMIFS('Consolidado gerencial'!$H:$H,'Consolidado gerencial'!$B:$B,$B42,'Consolidado gerencial'!$A:$A,L$27)</f>
        <v>0</v>
      </c>
      <c r="M42" s="9">
        <f>SUMIFS('Consolidado gerencial'!$H:$H,'Consolidado gerencial'!$B:$B,$B42,'Consolidado gerencial'!$A:$A,M$27)</f>
        <v>0</v>
      </c>
      <c r="N42" s="9">
        <f>SUMIFS('Consolidado gerencial'!$H:$H,'Consolidado gerencial'!$B:$B,$B42,'Consolidado gerencial'!$A:$A,N$27)</f>
        <v>0</v>
      </c>
    </row>
    <row r="43" spans="2:15">
      <c r="B43" s="112" t="s">
        <v>626</v>
      </c>
      <c r="C43" s="9">
        <f>SUMIFS('Consolidado gerencial'!$H:$H,'Consolidado gerencial'!$B:$B,$B43,'Consolidado gerencial'!$A:$A,C$27)</f>
        <v>0</v>
      </c>
      <c r="D43" s="9">
        <f>SUMIFS('Consolidado gerencial'!$H:$H,'Consolidado gerencial'!$B:$B,$B43,'Consolidado gerencial'!$A:$A,D$27)</f>
        <v>264</v>
      </c>
      <c r="E43" s="9">
        <f>SUMIFS('Consolidado gerencial'!$H:$H,'Consolidado gerencial'!$B:$B,$B43,'Consolidado gerencial'!$A:$A,E$27)</f>
        <v>0</v>
      </c>
      <c r="F43" s="9">
        <f>SUMIFS('Consolidado gerencial'!$H:$H,'Consolidado gerencial'!$B:$B,$B43,'Consolidado gerencial'!$A:$A,F$27)</f>
        <v>0</v>
      </c>
      <c r="G43" s="9">
        <f>SUMIFS('Consolidado gerencial'!$H:$H,'Consolidado gerencial'!$B:$B,$B43,'Consolidado gerencial'!$A:$A,G$27)</f>
        <v>0</v>
      </c>
      <c r="H43" s="9">
        <f>SUMIFS('Consolidado gerencial'!$H:$H,'Consolidado gerencial'!$B:$B,$B43,'Consolidado gerencial'!$A:$A,H$27)</f>
        <v>448.95</v>
      </c>
      <c r="I43" s="9">
        <f>SUMIFS('Consolidado gerencial'!$H:$H,'Consolidado gerencial'!$B:$B,$B43,'Consolidado gerencial'!$A:$A,I$27)</f>
        <v>226.32</v>
      </c>
      <c r="J43" s="9">
        <f>SUMIFS('Consolidado gerencial'!$H:$H,'Consolidado gerencial'!$B:$B,$B43,'Consolidado gerencial'!$A:$A,J$27)</f>
        <v>0</v>
      </c>
      <c r="K43" s="9">
        <f>SUMIFS('Consolidado gerencial'!$H:$H,'Consolidado gerencial'!$B:$B,$B43,'Consolidado gerencial'!$A:$A,K$27)</f>
        <v>0</v>
      </c>
      <c r="L43" s="9">
        <f>SUMIFS('Consolidado gerencial'!$H:$H,'Consolidado gerencial'!$B:$B,$B43,'Consolidado gerencial'!$A:$A,L$27)</f>
        <v>0</v>
      </c>
      <c r="M43" s="9">
        <f>SUMIFS('Consolidado gerencial'!$H:$H,'Consolidado gerencial'!$B:$B,$B43,'Consolidado gerencial'!$A:$A,M$27)</f>
        <v>0</v>
      </c>
      <c r="N43" s="9">
        <f>SUMIFS('Consolidado gerencial'!$H:$H,'Consolidado gerencial'!$B:$B,$B43,'Consolidado gerencial'!$A:$A,N$27)</f>
        <v>0</v>
      </c>
    </row>
    <row r="44" spans="2:15">
      <c r="C44" s="9">
        <f>SUMIFS('Consolidado gerencial'!$H:$H,'Consolidado gerencial'!$B:$B,$B44,'Consolidado gerencial'!$A:$A,C$27)</f>
        <v>0</v>
      </c>
      <c r="D44" s="9">
        <f>SUMIFS('Consolidado gerencial'!$H:$H,'Consolidado gerencial'!$B:$B,$B44,'Consolidado gerencial'!$A:$A,D$27)</f>
        <v>0</v>
      </c>
      <c r="E44" s="9">
        <f>SUMIFS('Consolidado gerencial'!$H:$H,'Consolidado gerencial'!$B:$B,$B44,'Consolidado gerencial'!$A:$A,E$27)</f>
        <v>0</v>
      </c>
      <c r="F44" s="9">
        <f>SUMIFS('Consolidado gerencial'!$H:$H,'Consolidado gerencial'!$B:$B,$B44,'Consolidado gerencial'!$A:$A,F$27)</f>
        <v>0</v>
      </c>
      <c r="G44" s="9">
        <f>SUMIFS('Consolidado gerencial'!$H:$H,'Consolidado gerencial'!$B:$B,$B44,'Consolidado gerencial'!$A:$A,G$27)</f>
        <v>0</v>
      </c>
      <c r="H44" s="9">
        <f>SUMIFS('Consolidado gerencial'!$H:$H,'Consolidado gerencial'!$B:$B,$B44,'Consolidado gerencial'!$A:$A,H$27)</f>
        <v>0</v>
      </c>
      <c r="I44" s="9">
        <f>SUMIFS('Consolidado gerencial'!$H:$H,'Consolidado gerencial'!$B:$B,$B44,'Consolidado gerencial'!$A:$A,I$27)</f>
        <v>0</v>
      </c>
      <c r="J44" s="9">
        <f>SUMIFS('Consolidado gerencial'!$H:$H,'Consolidado gerencial'!$B:$B,$B44,'Consolidado gerencial'!$A:$A,J$27)</f>
        <v>0</v>
      </c>
      <c r="K44" s="9">
        <f>SUMIFS('Consolidado gerencial'!$H:$H,'Consolidado gerencial'!$B:$B,$B44,'Consolidado gerencial'!$A:$A,K$27)</f>
        <v>0</v>
      </c>
      <c r="L44" s="9">
        <f>SUMIFS('Consolidado gerencial'!$H:$H,'Consolidado gerencial'!$B:$B,$B44,'Consolidado gerencial'!$A:$A,L$27)</f>
        <v>0</v>
      </c>
      <c r="M44" s="9">
        <f>SUMIFS('Consolidado gerencial'!$H:$H,'Consolidado gerencial'!$B:$B,$B44,'Consolidado gerencial'!$A:$A,M$27)</f>
        <v>0</v>
      </c>
      <c r="N44" s="9">
        <f>SUMIFS('Consolidado gerencial'!$H:$H,'Consolidado gerencial'!$B:$B,$B44,'Consolidado gerencial'!$A:$A,N$27)</f>
        <v>0</v>
      </c>
    </row>
    <row r="45" spans="2:15">
      <c r="C45" s="9">
        <f>SUMIFS('Consolidado gerencial'!$H:$H,'Consolidado gerencial'!$B:$B,$B45,'Consolidado gerencial'!$A:$A,C$27)</f>
        <v>0</v>
      </c>
      <c r="D45" s="9">
        <f>SUMIFS('Consolidado gerencial'!$H:$H,'Consolidado gerencial'!$B:$B,$B45,'Consolidado gerencial'!$A:$A,D$27)</f>
        <v>0</v>
      </c>
      <c r="E45" s="9">
        <f>SUMIFS('Consolidado gerencial'!$H:$H,'Consolidado gerencial'!$B:$B,$B45,'Consolidado gerencial'!$A:$A,E$27)</f>
        <v>0</v>
      </c>
      <c r="F45" s="9">
        <f>SUMIFS('Consolidado gerencial'!$H:$H,'Consolidado gerencial'!$B:$B,$B45,'Consolidado gerencial'!$A:$A,F$27)</f>
        <v>0</v>
      </c>
      <c r="G45" s="9">
        <f>SUMIFS('Consolidado gerencial'!$H:$H,'Consolidado gerencial'!$B:$B,$B45,'Consolidado gerencial'!$A:$A,G$27)</f>
        <v>0</v>
      </c>
      <c r="H45" s="9">
        <f>SUMIFS('Consolidado gerencial'!$H:$H,'Consolidado gerencial'!$B:$B,$B45,'Consolidado gerencial'!$A:$A,H$27)</f>
        <v>0</v>
      </c>
      <c r="I45" s="9">
        <f>SUMIFS('Consolidado gerencial'!$H:$H,'Consolidado gerencial'!$B:$B,$B45,'Consolidado gerencial'!$A:$A,I$27)</f>
        <v>0</v>
      </c>
      <c r="J45" s="9">
        <f>SUMIFS('Consolidado gerencial'!$H:$H,'Consolidado gerencial'!$B:$B,$B45,'Consolidado gerencial'!$A:$A,J$27)</f>
        <v>0</v>
      </c>
      <c r="K45" s="9">
        <f>SUMIFS('Consolidado gerencial'!$H:$H,'Consolidado gerencial'!$B:$B,$B45,'Consolidado gerencial'!$A:$A,K$27)</f>
        <v>0</v>
      </c>
      <c r="L45" s="9">
        <f>SUMIFS('Consolidado gerencial'!$H:$H,'Consolidado gerencial'!$B:$B,$B45,'Consolidado gerencial'!$A:$A,L$27)</f>
        <v>0</v>
      </c>
      <c r="M45" s="9">
        <f>SUMIFS('Consolidado gerencial'!$H:$H,'Consolidado gerencial'!$B:$B,$B45,'Consolidado gerencial'!$A:$A,M$27)</f>
        <v>0</v>
      </c>
      <c r="N45" s="9">
        <f>SUMIFS('Consolidado gerencial'!$H:$H,'Consolidado gerencial'!$B:$B,$B45,'Consolidado gerencial'!$A:$A,N$27)</f>
        <v>0</v>
      </c>
    </row>
    <row r="46" spans="2:15">
      <c r="B46" s="38" t="s">
        <v>72</v>
      </c>
      <c r="C46" s="39">
        <f>SUBTOTAL(109,Tabela46[JANEIRO])</f>
        <v>9613.98</v>
      </c>
      <c r="D46" s="39">
        <f>SUBTOTAL(109,Tabela46[FEVEREIRO])</f>
        <v>11746.900000000001</v>
      </c>
      <c r="E46" s="39">
        <f>SUBTOTAL(109,Tabela46[MARÇO])</f>
        <v>12402.710000000001</v>
      </c>
      <c r="F46" s="39">
        <f>SUBTOTAL(109,Tabela46[ABRIL])</f>
        <v>9567.2599999999984</v>
      </c>
      <c r="G46" s="39">
        <f>SUBTOTAL(109,Tabela46[MAIO])</f>
        <v>8901.2900000000009</v>
      </c>
      <c r="H46" s="39">
        <f>SUBTOTAL(109,Tabela46[JUNHO])</f>
        <v>9632.4599999999991</v>
      </c>
      <c r="I46" s="39">
        <f>SUBTOTAL(109,Tabela46[JULHO])</f>
        <v>10932.2</v>
      </c>
      <c r="J46" s="39">
        <f>SUBTOTAL(109,Tabela46[AGOSTO])</f>
        <v>10625.199999999999</v>
      </c>
      <c r="K46" s="39">
        <f>SUBTOTAL(109,Tabela46[SETEMBRO])</f>
        <v>5567.61</v>
      </c>
      <c r="L46" s="39">
        <f>SUBTOTAL(109,Tabela46[OUTUBRO])</f>
        <v>0</v>
      </c>
      <c r="M46" s="39">
        <f>SUBTOTAL(109,Tabela46[NOVEMBRO])</f>
        <v>0</v>
      </c>
      <c r="N46" s="39">
        <f>SUBTOTAL(109,Tabela46[DEZEMBRO])</f>
        <v>0</v>
      </c>
    </row>
    <row r="47" spans="2:15">
      <c r="B47" s="36" t="s">
        <v>73</v>
      </c>
      <c r="C47" s="37">
        <f>C26-Tabela46[[#Totals],[JANEIRO]]</f>
        <v>-1363.9799999999996</v>
      </c>
      <c r="D47" s="37">
        <f>D26-Tabela46[[#Totals],[FEVEREIRO]]</f>
        <v>-436.90000000000146</v>
      </c>
      <c r="E47" s="37">
        <f>E26-Tabela46[[#Totals],[MARÇO]]</f>
        <v>-402.71000000000095</v>
      </c>
      <c r="F47" s="37">
        <f>F26-Tabela46[[#Totals],[ABRIL]]</f>
        <v>32.740000000001601</v>
      </c>
      <c r="G47" s="37">
        <f>G26-Tabela46[[#Totals],[MAIO]]</f>
        <v>98.709999999999127</v>
      </c>
      <c r="H47" s="37">
        <f>H26-Tabela46[[#Totals],[JUNHO]]</f>
        <v>-792.45999999999913</v>
      </c>
      <c r="I47" s="37">
        <f>I26-Tabela46[[#Totals],[JULHO]]</f>
        <v>-1332.2000000000007</v>
      </c>
      <c r="J47" s="37">
        <f>J26-Tabela46[[#Totals],[AGOSTO]]</f>
        <v>-1025.1999999999989</v>
      </c>
      <c r="K47" s="37">
        <f>K26-Tabela46[[#Totals],[SETEMBRO]]</f>
        <v>3272.3900000000003</v>
      </c>
      <c r="L47" s="37">
        <f>L26-Tabela46[[#Totals],[OUTUBRO]]</f>
        <v>0</v>
      </c>
      <c r="M47" s="37">
        <f>M26-Tabela46[[#Totals],[NOVEMBRO]]</f>
        <v>0</v>
      </c>
      <c r="N47" s="37">
        <f>N26-Tabela46[[#Totals],[DEZEMBRO]]</f>
        <v>0</v>
      </c>
      <c r="O47" s="82"/>
    </row>
  </sheetData>
  <phoneticPr fontId="3" type="noConversion"/>
  <conditionalFormatting sqref="C28:N47">
    <cfRule type="cellIs" dxfId="2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  <tableParts count="2"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U218"/>
  <sheetViews>
    <sheetView topLeftCell="A192" workbookViewId="0">
      <selection activeCell="B207" sqref="B207"/>
    </sheetView>
  </sheetViews>
  <sheetFormatPr defaultRowHeight="13.8"/>
  <cols>
    <col min="1" max="1" width="22.69921875" bestFit="1" customWidth="1"/>
    <col min="2" max="2" width="38.8984375" bestFit="1" customWidth="1"/>
    <col min="3" max="3" width="12.8984375" bestFit="1" customWidth="1"/>
    <col min="4" max="4" width="7.69921875" bestFit="1" customWidth="1"/>
    <col min="5" max="5" width="10.69921875" bestFit="1" customWidth="1"/>
    <col min="6" max="6" width="9.09765625" bestFit="1" customWidth="1"/>
    <col min="7" max="7" width="15.3984375" bestFit="1" customWidth="1"/>
    <col min="8" max="8" width="9.09765625" bestFit="1" customWidth="1"/>
    <col min="9" max="9" width="15.8984375" bestFit="1" customWidth="1"/>
    <col min="10" max="10" width="23.3984375" bestFit="1" customWidth="1"/>
    <col min="11" max="11" width="20.296875" bestFit="1" customWidth="1"/>
    <col min="12" max="12" width="16.296875" bestFit="1" customWidth="1"/>
    <col min="13" max="13" width="25" bestFit="1" customWidth="1"/>
  </cols>
  <sheetData>
    <row r="1" spans="1:12">
      <c r="A1" s="17" t="s">
        <v>74</v>
      </c>
      <c r="I1" s="1"/>
    </row>
    <row r="2" spans="1:12" ht="14.4" thickBot="1">
      <c r="A2" t="s">
        <v>1</v>
      </c>
      <c r="B2" t="s">
        <v>0</v>
      </c>
      <c r="C2" t="s">
        <v>111</v>
      </c>
      <c r="D2" t="s">
        <v>87</v>
      </c>
      <c r="E2" t="s">
        <v>2</v>
      </c>
      <c r="F2" t="s">
        <v>3</v>
      </c>
      <c r="G2" t="s">
        <v>4</v>
      </c>
      <c r="H2" t="s">
        <v>5</v>
      </c>
      <c r="I2" t="s">
        <v>65</v>
      </c>
      <c r="J2" t="s">
        <v>6</v>
      </c>
      <c r="K2" t="s">
        <v>75</v>
      </c>
      <c r="L2" s="11" t="s">
        <v>64</v>
      </c>
    </row>
    <row r="3" spans="1:12" ht="14.4">
      <c r="B3" s="10" t="s">
        <v>62</v>
      </c>
      <c r="D3">
        <v>2900</v>
      </c>
      <c r="E3" s="7">
        <v>0</v>
      </c>
      <c r="F3" s="7">
        <v>0</v>
      </c>
      <c r="G3" s="7">
        <v>0</v>
      </c>
      <c r="H3" s="7">
        <v>0</v>
      </c>
      <c r="I3" s="12">
        <v>0</v>
      </c>
      <c r="J3" s="13">
        <v>0</v>
      </c>
      <c r="L3" s="22">
        <v>0</v>
      </c>
    </row>
    <row r="4" spans="1:12" ht="14.4">
      <c r="A4" t="s">
        <v>46</v>
      </c>
      <c r="B4" t="s">
        <v>30</v>
      </c>
      <c r="D4">
        <v>2900</v>
      </c>
      <c r="E4" s="7">
        <v>544.50000000000011</v>
      </c>
      <c r="F4" s="7">
        <v>0</v>
      </c>
      <c r="G4" s="7">
        <v>0</v>
      </c>
      <c r="H4" s="7">
        <v>0</v>
      </c>
      <c r="I4" s="12">
        <v>544.50000000000011</v>
      </c>
      <c r="J4" s="13">
        <v>0</v>
      </c>
      <c r="L4" s="23">
        <v>544.50000000000011</v>
      </c>
    </row>
    <row r="5" spans="1:12" ht="14.4">
      <c r="A5" t="s">
        <v>47</v>
      </c>
      <c r="B5" t="s">
        <v>38</v>
      </c>
      <c r="D5">
        <v>2900</v>
      </c>
      <c r="E5" s="7">
        <v>543.40000000000009</v>
      </c>
      <c r="F5" s="7">
        <v>0</v>
      </c>
      <c r="G5" s="7">
        <v>0</v>
      </c>
      <c r="H5" s="7">
        <v>0</v>
      </c>
      <c r="I5" s="12">
        <v>543.40000000000009</v>
      </c>
      <c r="J5" s="13">
        <v>0</v>
      </c>
      <c r="L5" s="23">
        <v>543.40000000000009</v>
      </c>
    </row>
    <row r="6" spans="1:12" ht="14.4">
      <c r="A6" t="s">
        <v>48</v>
      </c>
      <c r="B6" t="s">
        <v>39</v>
      </c>
      <c r="D6">
        <v>2902</v>
      </c>
      <c r="E6" s="7">
        <v>1031.8</v>
      </c>
      <c r="F6" s="7">
        <v>40</v>
      </c>
      <c r="G6" s="7">
        <v>4</v>
      </c>
      <c r="H6" s="7">
        <v>35</v>
      </c>
      <c r="I6" s="12">
        <v>1110.8</v>
      </c>
      <c r="J6" s="13">
        <v>195</v>
      </c>
      <c r="L6" s="23">
        <v>1110.8</v>
      </c>
    </row>
    <row r="7" spans="1:12" ht="14.4">
      <c r="A7" t="s">
        <v>49</v>
      </c>
      <c r="B7" t="s">
        <v>40</v>
      </c>
      <c r="D7">
        <v>2902</v>
      </c>
      <c r="E7" s="7">
        <v>0</v>
      </c>
      <c r="F7" s="7">
        <v>0</v>
      </c>
      <c r="G7" s="7">
        <v>0</v>
      </c>
      <c r="H7" s="7">
        <v>0</v>
      </c>
      <c r="I7" s="12">
        <v>0</v>
      </c>
      <c r="J7" s="13">
        <v>0</v>
      </c>
      <c r="L7" s="23">
        <v>0</v>
      </c>
    </row>
    <row r="8" spans="1:12" ht="14.4">
      <c r="A8" t="s">
        <v>50</v>
      </c>
      <c r="B8" t="s">
        <v>24</v>
      </c>
      <c r="D8">
        <v>2902</v>
      </c>
      <c r="E8" s="7">
        <v>0</v>
      </c>
      <c r="F8" s="7">
        <v>0</v>
      </c>
      <c r="G8" s="7">
        <v>0</v>
      </c>
      <c r="H8" s="7">
        <v>0</v>
      </c>
      <c r="I8" s="12">
        <v>0</v>
      </c>
      <c r="J8" s="13">
        <v>0</v>
      </c>
      <c r="L8" s="23">
        <v>0</v>
      </c>
    </row>
    <row r="9" spans="1:12" ht="14.4">
      <c r="A9" t="s">
        <v>51</v>
      </c>
      <c r="B9" t="s">
        <v>41</v>
      </c>
      <c r="D9">
        <v>2902</v>
      </c>
      <c r="E9" s="7">
        <v>555.5</v>
      </c>
      <c r="F9" s="7">
        <v>0</v>
      </c>
      <c r="G9" s="7">
        <v>36</v>
      </c>
      <c r="H9" s="7">
        <v>0</v>
      </c>
      <c r="I9" s="12">
        <v>591.5</v>
      </c>
      <c r="J9" s="13">
        <v>0</v>
      </c>
      <c r="L9" s="23">
        <v>591.5</v>
      </c>
    </row>
    <row r="10" spans="1:12" ht="14.4">
      <c r="A10" t="s">
        <v>52</v>
      </c>
      <c r="B10" t="s">
        <v>42</v>
      </c>
      <c r="D10">
        <v>2902</v>
      </c>
      <c r="E10" s="7">
        <v>258.5</v>
      </c>
      <c r="F10" s="7">
        <v>0</v>
      </c>
      <c r="G10" s="7">
        <v>0</v>
      </c>
      <c r="H10" s="7">
        <v>0</v>
      </c>
      <c r="I10" s="12">
        <v>258.5</v>
      </c>
      <c r="J10" s="13">
        <v>0</v>
      </c>
      <c r="L10" s="23">
        <v>258.5</v>
      </c>
    </row>
    <row r="11" spans="1:12" ht="14.4">
      <c r="A11" t="s">
        <v>53</v>
      </c>
      <c r="B11" t="s">
        <v>43</v>
      </c>
      <c r="D11">
        <v>2901</v>
      </c>
      <c r="E11" s="7">
        <v>1003.2</v>
      </c>
      <c r="F11" s="7">
        <v>0</v>
      </c>
      <c r="G11" s="7">
        <v>0</v>
      </c>
      <c r="H11" s="7">
        <v>0</v>
      </c>
      <c r="I11" s="12">
        <v>1003.2</v>
      </c>
      <c r="J11" s="13">
        <v>0</v>
      </c>
      <c r="L11" s="23">
        <v>1003.2</v>
      </c>
    </row>
    <row r="12" spans="1:12" ht="14.4">
      <c r="A12" t="s">
        <v>54</v>
      </c>
      <c r="B12" t="s">
        <v>44</v>
      </c>
      <c r="D12">
        <v>2901</v>
      </c>
      <c r="E12" s="7">
        <v>694.10000000000014</v>
      </c>
      <c r="F12" s="7">
        <v>0</v>
      </c>
      <c r="G12" s="7">
        <v>0</v>
      </c>
      <c r="H12" s="7">
        <v>0</v>
      </c>
      <c r="I12" s="12">
        <v>694.10000000000014</v>
      </c>
      <c r="J12" s="13">
        <v>0</v>
      </c>
      <c r="L12" s="23">
        <v>694.10000000000014</v>
      </c>
    </row>
    <row r="13" spans="1:12" ht="15" thickBot="1">
      <c r="A13" t="s">
        <v>55</v>
      </c>
      <c r="B13" t="s">
        <v>45</v>
      </c>
      <c r="D13">
        <v>2901</v>
      </c>
      <c r="E13" s="7">
        <v>568.70000000000005</v>
      </c>
      <c r="F13" s="7">
        <v>0</v>
      </c>
      <c r="G13" s="7">
        <v>0</v>
      </c>
      <c r="H13" s="7">
        <v>0</v>
      </c>
      <c r="I13" s="12">
        <v>568.70000000000005</v>
      </c>
      <c r="J13" s="13">
        <v>0</v>
      </c>
      <c r="L13" s="24">
        <v>568.70000000000005</v>
      </c>
    </row>
    <row r="14" spans="1:12" ht="14.4">
      <c r="E14" s="7"/>
      <c r="F14" s="7"/>
      <c r="G14" s="7"/>
      <c r="H14" s="7"/>
      <c r="I14" s="12">
        <f>SUM(I3:I13)</f>
        <v>5314.7</v>
      </c>
      <c r="J14" s="13">
        <f>SUM(J3:J13)</f>
        <v>195</v>
      </c>
      <c r="L14" s="29">
        <f>SUM(L3:L13)</f>
        <v>5314.7</v>
      </c>
    </row>
    <row r="17" spans="1:12" ht="14.4">
      <c r="A17" s="17" t="s">
        <v>86</v>
      </c>
      <c r="J17" s="25"/>
    </row>
    <row r="18" spans="1:12" ht="14.4" thickBot="1">
      <c r="A18" t="s">
        <v>1</v>
      </c>
      <c r="B18" t="s">
        <v>0</v>
      </c>
      <c r="C18" t="s">
        <v>111</v>
      </c>
      <c r="E18" t="s">
        <v>2</v>
      </c>
      <c r="F18" t="s">
        <v>3</v>
      </c>
      <c r="G18" t="s">
        <v>4</v>
      </c>
      <c r="H18" t="s">
        <v>5</v>
      </c>
      <c r="I18" t="s">
        <v>65</v>
      </c>
      <c r="J18" t="s">
        <v>6</v>
      </c>
      <c r="K18" t="s">
        <v>75</v>
      </c>
      <c r="L18" s="11" t="s">
        <v>64</v>
      </c>
    </row>
    <row r="19" spans="1:12" ht="14.4">
      <c r="B19" s="10" t="s">
        <v>85</v>
      </c>
      <c r="D19">
        <v>2900</v>
      </c>
      <c r="E19" s="7">
        <v>0</v>
      </c>
      <c r="F19" s="7">
        <v>0</v>
      </c>
      <c r="G19" s="7">
        <v>0</v>
      </c>
      <c r="H19" s="7">
        <v>0</v>
      </c>
      <c r="I19" s="12">
        <v>0</v>
      </c>
      <c r="J19" s="13">
        <v>0</v>
      </c>
      <c r="K19" s="8"/>
      <c r="L19" s="22">
        <v>0</v>
      </c>
    </row>
    <row r="20" spans="1:12" ht="14.4">
      <c r="A20" t="s">
        <v>46</v>
      </c>
      <c r="B20" t="s">
        <v>30</v>
      </c>
      <c r="D20">
        <v>2900</v>
      </c>
      <c r="E20" s="7">
        <v>546.70000000000005</v>
      </c>
      <c r="F20" s="7">
        <v>0</v>
      </c>
      <c r="G20" s="7">
        <v>0</v>
      </c>
      <c r="H20" s="7">
        <v>0</v>
      </c>
      <c r="I20" s="12">
        <v>546.70000000000005</v>
      </c>
      <c r="J20" s="13">
        <v>0</v>
      </c>
      <c r="K20" s="8">
        <v>500</v>
      </c>
      <c r="L20" s="23">
        <v>46.700000000000045</v>
      </c>
    </row>
    <row r="21" spans="1:12" ht="14.4">
      <c r="A21" t="s">
        <v>47</v>
      </c>
      <c r="B21" t="s">
        <v>38</v>
      </c>
      <c r="D21">
        <v>2900</v>
      </c>
      <c r="E21" s="7">
        <v>761.20000000000016</v>
      </c>
      <c r="F21" s="7">
        <v>0</v>
      </c>
      <c r="G21" s="7">
        <v>0</v>
      </c>
      <c r="H21" s="7">
        <v>0</v>
      </c>
      <c r="I21" s="12">
        <v>761.20000000000016</v>
      </c>
      <c r="J21" s="13">
        <v>0</v>
      </c>
      <c r="K21" s="8">
        <v>500</v>
      </c>
      <c r="L21" s="23">
        <v>261.20000000000016</v>
      </c>
    </row>
    <row r="22" spans="1:12" ht="14.4">
      <c r="A22" t="s">
        <v>48</v>
      </c>
      <c r="B22" t="s">
        <v>39</v>
      </c>
      <c r="D22">
        <v>2902</v>
      </c>
      <c r="E22" s="7">
        <v>378.4</v>
      </c>
      <c r="F22" s="7">
        <v>10</v>
      </c>
      <c r="G22" s="7">
        <v>8</v>
      </c>
      <c r="H22" s="7">
        <v>19.899999999999999</v>
      </c>
      <c r="I22" s="12">
        <v>416.29999999999995</v>
      </c>
      <c r="J22" s="13">
        <v>0</v>
      </c>
      <c r="K22" s="8">
        <v>500</v>
      </c>
      <c r="L22" s="23">
        <v>-83.700000000000045</v>
      </c>
    </row>
    <row r="23" spans="1:12" ht="14.4">
      <c r="A23" t="s">
        <v>49</v>
      </c>
      <c r="B23" t="s">
        <v>40</v>
      </c>
      <c r="D23">
        <v>2902</v>
      </c>
      <c r="E23" s="7">
        <v>0</v>
      </c>
      <c r="F23" s="7">
        <v>0</v>
      </c>
      <c r="G23" s="7">
        <v>0</v>
      </c>
      <c r="H23" s="7">
        <v>0</v>
      </c>
      <c r="I23" s="12">
        <v>0</v>
      </c>
      <c r="J23" s="13">
        <v>0</v>
      </c>
      <c r="K23" s="8"/>
      <c r="L23" s="23">
        <v>0</v>
      </c>
    </row>
    <row r="24" spans="1:12" ht="14.4">
      <c r="A24" t="s">
        <v>50</v>
      </c>
      <c r="B24" t="s">
        <v>24</v>
      </c>
      <c r="D24">
        <v>2902</v>
      </c>
      <c r="E24" s="7">
        <v>0</v>
      </c>
      <c r="F24" s="7">
        <v>0</v>
      </c>
      <c r="G24" s="7">
        <v>0</v>
      </c>
      <c r="H24" s="7">
        <v>0</v>
      </c>
      <c r="I24" s="12">
        <v>0</v>
      </c>
      <c r="J24" s="13">
        <v>0</v>
      </c>
      <c r="K24" s="8"/>
      <c r="L24" s="23">
        <v>0</v>
      </c>
    </row>
    <row r="25" spans="1:12" ht="14.4">
      <c r="A25" t="s">
        <v>51</v>
      </c>
      <c r="B25" t="s">
        <v>41</v>
      </c>
      <c r="D25">
        <v>2902</v>
      </c>
      <c r="E25" s="7">
        <v>138.60000000000002</v>
      </c>
      <c r="F25" s="7">
        <v>0</v>
      </c>
      <c r="G25" s="7">
        <v>10</v>
      </c>
      <c r="H25" s="7">
        <v>0</v>
      </c>
      <c r="I25" s="12">
        <v>148.60000000000002</v>
      </c>
      <c r="J25" s="13">
        <v>0</v>
      </c>
      <c r="K25" s="8">
        <v>500</v>
      </c>
      <c r="L25" s="23">
        <v>-351.4</v>
      </c>
    </row>
    <row r="26" spans="1:12" ht="14.4">
      <c r="A26" t="s">
        <v>52</v>
      </c>
      <c r="B26" t="s">
        <v>42</v>
      </c>
      <c r="D26">
        <v>2902</v>
      </c>
      <c r="E26" s="7">
        <v>698.5</v>
      </c>
      <c r="F26" s="7">
        <v>0</v>
      </c>
      <c r="G26" s="7">
        <v>0</v>
      </c>
      <c r="H26" s="7">
        <v>0</v>
      </c>
      <c r="I26" s="12">
        <v>698.5</v>
      </c>
      <c r="J26" s="13">
        <v>0</v>
      </c>
      <c r="K26" s="8">
        <v>500</v>
      </c>
      <c r="L26" s="23">
        <v>198.5</v>
      </c>
    </row>
    <row r="27" spans="1:12" ht="14.4">
      <c r="A27" t="s">
        <v>53</v>
      </c>
      <c r="B27" t="s">
        <v>43</v>
      </c>
      <c r="D27">
        <v>2901</v>
      </c>
      <c r="E27" s="7">
        <v>840.4</v>
      </c>
      <c r="F27" s="7">
        <v>10.4</v>
      </c>
      <c r="G27" s="7">
        <v>0</v>
      </c>
      <c r="H27" s="7">
        <v>0</v>
      </c>
      <c r="I27" s="12">
        <v>850.8</v>
      </c>
      <c r="J27" s="13">
        <v>0</v>
      </c>
      <c r="K27" s="8">
        <v>500</v>
      </c>
      <c r="L27" s="23">
        <v>350.79999999999995</v>
      </c>
    </row>
    <row r="28" spans="1:12" ht="14.4">
      <c r="A28" t="s">
        <v>54</v>
      </c>
      <c r="B28" t="s">
        <v>44</v>
      </c>
      <c r="D28">
        <v>2901</v>
      </c>
      <c r="E28" s="7">
        <v>594</v>
      </c>
      <c r="F28" s="7">
        <v>0</v>
      </c>
      <c r="G28" s="7">
        <v>50.5</v>
      </c>
      <c r="H28" s="7">
        <v>0</v>
      </c>
      <c r="I28" s="12">
        <v>644.5</v>
      </c>
      <c r="J28" s="13">
        <v>0</v>
      </c>
      <c r="K28" s="8">
        <v>500</v>
      </c>
      <c r="L28" s="23">
        <v>144.5</v>
      </c>
    </row>
    <row r="29" spans="1:12" ht="14.4">
      <c r="A29" t="s">
        <v>55</v>
      </c>
      <c r="B29" t="s">
        <v>45</v>
      </c>
      <c r="D29">
        <v>2901</v>
      </c>
      <c r="E29" s="7">
        <v>330</v>
      </c>
      <c r="F29" s="7">
        <v>0</v>
      </c>
      <c r="G29" s="7">
        <v>0</v>
      </c>
      <c r="H29" s="7">
        <v>0</v>
      </c>
      <c r="I29" s="12">
        <v>330</v>
      </c>
      <c r="J29" s="13">
        <v>0</v>
      </c>
      <c r="K29" s="8">
        <v>500</v>
      </c>
      <c r="L29" s="23">
        <v>-170</v>
      </c>
    </row>
    <row r="30" spans="1:12" ht="14.4">
      <c r="A30" s="21" t="s">
        <v>83</v>
      </c>
      <c r="B30" s="21" t="s">
        <v>81</v>
      </c>
      <c r="D30">
        <v>2900</v>
      </c>
      <c r="E30" s="7">
        <v>0</v>
      </c>
      <c r="F30" s="7">
        <v>0</v>
      </c>
      <c r="G30" s="7">
        <v>0</v>
      </c>
      <c r="H30" s="7">
        <v>0</v>
      </c>
      <c r="I30" s="12">
        <v>0</v>
      </c>
      <c r="J30" s="13">
        <v>0</v>
      </c>
      <c r="K30" s="8"/>
      <c r="L30" s="23">
        <v>0</v>
      </c>
    </row>
    <row r="31" spans="1:12" ht="15" thickBot="1">
      <c r="A31" s="21" t="s">
        <v>84</v>
      </c>
      <c r="B31" s="21" t="s">
        <v>82</v>
      </c>
      <c r="D31">
        <v>2901</v>
      </c>
      <c r="E31" s="7">
        <v>0</v>
      </c>
      <c r="F31" s="7">
        <v>0</v>
      </c>
      <c r="G31" s="7">
        <v>0</v>
      </c>
      <c r="H31" s="7">
        <v>0</v>
      </c>
      <c r="I31" s="12">
        <v>0</v>
      </c>
      <c r="J31" s="13">
        <v>0</v>
      </c>
      <c r="K31" s="8"/>
      <c r="L31" s="24">
        <v>0</v>
      </c>
    </row>
    <row r="32" spans="1:12" ht="14.4">
      <c r="A32" s="21"/>
      <c r="B32" s="21"/>
      <c r="E32" s="7"/>
      <c r="F32" s="7"/>
      <c r="G32" s="7"/>
      <c r="H32" s="7"/>
      <c r="I32" s="12">
        <f>SUM(I19:I31)</f>
        <v>4396.6000000000004</v>
      </c>
      <c r="J32" s="13">
        <f>SUM(J19:J31)</f>
        <v>0</v>
      </c>
      <c r="K32" s="8"/>
      <c r="L32" s="29">
        <f>SUM(L19:L31)</f>
        <v>396.60000000000014</v>
      </c>
    </row>
    <row r="35" spans="1:12" ht="14.4">
      <c r="A35" s="17" t="s">
        <v>91</v>
      </c>
      <c r="J35" s="25" t="s">
        <v>66</v>
      </c>
    </row>
    <row r="36" spans="1:12" ht="14.4" thickBot="1">
      <c r="A36" t="s">
        <v>1</v>
      </c>
      <c r="B36" t="s">
        <v>0</v>
      </c>
      <c r="C36" t="s">
        <v>111</v>
      </c>
      <c r="D36" t="s">
        <v>87</v>
      </c>
      <c r="E36" t="s">
        <v>2</v>
      </c>
      <c r="F36" t="s">
        <v>3</v>
      </c>
      <c r="G36" t="s">
        <v>4</v>
      </c>
      <c r="H36" t="s">
        <v>5</v>
      </c>
      <c r="I36" t="s">
        <v>65</v>
      </c>
      <c r="J36" t="s">
        <v>6</v>
      </c>
      <c r="K36" t="s">
        <v>90</v>
      </c>
      <c r="L36" s="11" t="s">
        <v>64</v>
      </c>
    </row>
    <row r="37" spans="1:12" ht="14.4">
      <c r="A37" t="s">
        <v>89</v>
      </c>
      <c r="B37" t="s">
        <v>88</v>
      </c>
      <c r="D37" s="11">
        <v>2900</v>
      </c>
      <c r="E37" s="7">
        <v>0</v>
      </c>
      <c r="F37" s="7">
        <v>0</v>
      </c>
      <c r="G37" s="7">
        <v>0</v>
      </c>
      <c r="H37" s="7">
        <v>0</v>
      </c>
      <c r="I37" s="12">
        <v>0</v>
      </c>
      <c r="J37" s="13">
        <v>0</v>
      </c>
      <c r="K37" s="8">
        <v>500</v>
      </c>
      <c r="L37" s="22">
        <v>500</v>
      </c>
    </row>
    <row r="38" spans="1:12" ht="14.4">
      <c r="A38" t="s">
        <v>46</v>
      </c>
      <c r="B38" t="s">
        <v>30</v>
      </c>
      <c r="D38" s="11">
        <v>2900</v>
      </c>
      <c r="E38" s="7">
        <v>708.40000000000009</v>
      </c>
      <c r="F38" s="7">
        <v>0</v>
      </c>
      <c r="G38" s="7">
        <v>0</v>
      </c>
      <c r="H38" s="7">
        <v>0</v>
      </c>
      <c r="I38" s="12">
        <v>708.40000000000009</v>
      </c>
      <c r="J38" s="13">
        <v>0</v>
      </c>
      <c r="K38" s="8"/>
      <c r="L38" s="23">
        <v>708.40000000000009</v>
      </c>
    </row>
    <row r="39" spans="1:12" ht="14.4">
      <c r="A39" t="s">
        <v>47</v>
      </c>
      <c r="B39" t="s">
        <v>38</v>
      </c>
      <c r="D39" s="11">
        <v>2900</v>
      </c>
      <c r="E39" s="7">
        <v>0</v>
      </c>
      <c r="F39" s="7">
        <v>0</v>
      </c>
      <c r="G39" s="7">
        <v>0</v>
      </c>
      <c r="H39" s="7">
        <v>0</v>
      </c>
      <c r="I39" s="12">
        <v>0</v>
      </c>
      <c r="J39" s="13">
        <v>0</v>
      </c>
      <c r="K39" s="8"/>
      <c r="L39" s="23">
        <v>0</v>
      </c>
    </row>
    <row r="40" spans="1:12" ht="14.4">
      <c r="A40" t="s">
        <v>55</v>
      </c>
      <c r="B40" t="s">
        <v>45</v>
      </c>
      <c r="D40" s="11">
        <v>2901</v>
      </c>
      <c r="E40" s="7">
        <v>368.5</v>
      </c>
      <c r="F40" s="7">
        <v>0</v>
      </c>
      <c r="G40" s="7">
        <v>0</v>
      </c>
      <c r="H40" s="7">
        <v>0</v>
      </c>
      <c r="I40" s="12">
        <v>368.5</v>
      </c>
      <c r="J40" s="13">
        <v>0</v>
      </c>
      <c r="K40" s="8">
        <v>-170</v>
      </c>
      <c r="L40" s="23">
        <v>198.5</v>
      </c>
    </row>
    <row r="41" spans="1:12" ht="14.4">
      <c r="A41" t="s">
        <v>54</v>
      </c>
      <c r="B41" t="s">
        <v>44</v>
      </c>
      <c r="D41" s="11">
        <v>2901</v>
      </c>
      <c r="E41" s="7">
        <v>438.9</v>
      </c>
      <c r="F41" s="7">
        <v>0</v>
      </c>
      <c r="G41" s="7">
        <v>0</v>
      </c>
      <c r="H41" s="7">
        <v>0</v>
      </c>
      <c r="I41" s="12">
        <v>438.9</v>
      </c>
      <c r="J41" s="13">
        <v>0</v>
      </c>
      <c r="K41" s="8"/>
      <c r="L41" s="23">
        <v>438.9</v>
      </c>
    </row>
    <row r="42" spans="1:12" ht="14.4">
      <c r="A42" t="s">
        <v>53</v>
      </c>
      <c r="B42" t="s">
        <v>43</v>
      </c>
      <c r="D42" s="11">
        <v>2901</v>
      </c>
      <c r="E42" s="7">
        <v>695.2</v>
      </c>
      <c r="F42" s="7">
        <v>0</v>
      </c>
      <c r="G42" s="7">
        <v>0</v>
      </c>
      <c r="H42" s="7">
        <v>0</v>
      </c>
      <c r="I42" s="12">
        <v>695.2</v>
      </c>
      <c r="J42" s="13">
        <v>0</v>
      </c>
      <c r="K42" s="8"/>
      <c r="L42" s="23">
        <v>695.2</v>
      </c>
    </row>
    <row r="43" spans="1:12" ht="14.4">
      <c r="A43" t="s">
        <v>50</v>
      </c>
      <c r="B43" t="s">
        <v>24</v>
      </c>
      <c r="D43" s="11">
        <v>2902</v>
      </c>
      <c r="E43" s="7">
        <v>0</v>
      </c>
      <c r="F43" s="7">
        <v>0</v>
      </c>
      <c r="G43" s="7">
        <v>0</v>
      </c>
      <c r="H43" s="7">
        <v>0</v>
      </c>
      <c r="I43" s="12">
        <v>0</v>
      </c>
      <c r="J43" s="13">
        <v>0</v>
      </c>
      <c r="K43" s="8"/>
      <c r="L43" s="23">
        <v>0</v>
      </c>
    </row>
    <row r="44" spans="1:12" ht="14.4">
      <c r="A44" t="s">
        <v>51</v>
      </c>
      <c r="B44" t="s">
        <v>41</v>
      </c>
      <c r="D44" s="11">
        <v>2902</v>
      </c>
      <c r="E44" s="7">
        <v>776.6</v>
      </c>
      <c r="F44" s="7">
        <v>0</v>
      </c>
      <c r="G44" s="7">
        <v>12</v>
      </c>
      <c r="H44" s="7">
        <v>20</v>
      </c>
      <c r="I44" s="12">
        <v>808.6</v>
      </c>
      <c r="J44" s="13">
        <v>0</v>
      </c>
      <c r="K44" s="8">
        <v>-351.4</v>
      </c>
      <c r="L44" s="23">
        <v>457.20000000000005</v>
      </c>
    </row>
    <row r="45" spans="1:12" ht="14.4">
      <c r="A45" t="s">
        <v>49</v>
      </c>
      <c r="B45" t="s">
        <v>40</v>
      </c>
      <c r="D45" s="11">
        <v>2902</v>
      </c>
      <c r="E45" s="7">
        <v>0</v>
      </c>
      <c r="F45" s="7">
        <v>0</v>
      </c>
      <c r="G45" s="7">
        <v>0</v>
      </c>
      <c r="H45" s="7">
        <v>0</v>
      </c>
      <c r="I45" s="12">
        <v>0</v>
      </c>
      <c r="J45" s="13">
        <v>0</v>
      </c>
      <c r="K45" s="8"/>
      <c r="L45" s="23">
        <v>0</v>
      </c>
    </row>
    <row r="46" spans="1:12" ht="14.4">
      <c r="A46" t="s">
        <v>48</v>
      </c>
      <c r="B46" t="s">
        <v>39</v>
      </c>
      <c r="D46" s="11">
        <v>2902</v>
      </c>
      <c r="E46" s="7">
        <v>838.2</v>
      </c>
      <c r="F46" s="7">
        <v>40</v>
      </c>
      <c r="G46" s="7">
        <v>0</v>
      </c>
      <c r="H46" s="7">
        <v>4</v>
      </c>
      <c r="I46" s="12">
        <v>882.2</v>
      </c>
      <c r="J46" s="13">
        <v>0</v>
      </c>
      <c r="K46" s="8">
        <v>-83.7</v>
      </c>
      <c r="L46" s="23">
        <v>798.5</v>
      </c>
    </row>
    <row r="47" spans="1:12" ht="14.4">
      <c r="A47" t="s">
        <v>52</v>
      </c>
      <c r="B47" t="s">
        <v>42</v>
      </c>
      <c r="D47" s="11">
        <v>2902</v>
      </c>
      <c r="E47" s="7">
        <v>595.1</v>
      </c>
      <c r="F47" s="7">
        <v>12.6</v>
      </c>
      <c r="G47" s="7">
        <v>0</v>
      </c>
      <c r="H47" s="7">
        <v>0</v>
      </c>
      <c r="I47" s="12">
        <v>607.70000000000005</v>
      </c>
      <c r="J47" s="13">
        <v>0</v>
      </c>
      <c r="K47" s="8"/>
      <c r="L47" s="23">
        <v>607.70000000000005</v>
      </c>
    </row>
    <row r="48" spans="1:12" ht="14.4">
      <c r="A48" s="21" t="s">
        <v>83</v>
      </c>
      <c r="B48" s="21" t="s">
        <v>81</v>
      </c>
      <c r="D48" s="26">
        <v>2900</v>
      </c>
      <c r="E48" s="7">
        <v>0</v>
      </c>
      <c r="F48" s="7">
        <v>0</v>
      </c>
      <c r="G48" s="7">
        <v>0</v>
      </c>
      <c r="H48" s="7">
        <v>0</v>
      </c>
      <c r="I48" s="12">
        <v>0</v>
      </c>
      <c r="J48" s="13">
        <v>0</v>
      </c>
      <c r="K48" s="8"/>
      <c r="L48" s="23">
        <v>0</v>
      </c>
    </row>
    <row r="49" spans="1:12" ht="15" thickBot="1">
      <c r="A49" s="21" t="s">
        <v>84</v>
      </c>
      <c r="B49" s="21" t="s">
        <v>82</v>
      </c>
      <c r="D49" s="26">
        <v>2902</v>
      </c>
      <c r="E49" s="7">
        <v>16.5</v>
      </c>
      <c r="F49" s="7">
        <v>0</v>
      </c>
      <c r="G49" s="7">
        <v>0</v>
      </c>
      <c r="H49" s="7">
        <v>0</v>
      </c>
      <c r="I49" s="12">
        <v>16.5</v>
      </c>
      <c r="J49" s="13">
        <v>0</v>
      </c>
      <c r="K49" s="8"/>
      <c r="L49" s="24">
        <v>16.5</v>
      </c>
    </row>
    <row r="50" spans="1:12">
      <c r="D50" s="11"/>
      <c r="E50" s="7"/>
      <c r="F50" s="7"/>
      <c r="G50" s="7"/>
      <c r="H50" s="7"/>
      <c r="I50" s="12">
        <f>SUM(I37:I49)</f>
        <v>4526</v>
      </c>
      <c r="J50" s="27">
        <f>SUM(J37:J49)</f>
        <v>0</v>
      </c>
      <c r="K50" s="28"/>
      <c r="L50" s="23">
        <f>SUM(L37:L49)</f>
        <v>4420.8999999999996</v>
      </c>
    </row>
    <row r="53" spans="1:12" ht="14.4">
      <c r="A53" s="17" t="s">
        <v>93</v>
      </c>
      <c r="J53" s="25" t="s">
        <v>66</v>
      </c>
    </row>
    <row r="54" spans="1:12" ht="14.4" thickBot="1">
      <c r="A54" t="s">
        <v>1</v>
      </c>
      <c r="B54" t="s">
        <v>0</v>
      </c>
      <c r="C54" t="s">
        <v>111</v>
      </c>
      <c r="D54" t="s">
        <v>87</v>
      </c>
      <c r="E54" t="s">
        <v>2</v>
      </c>
      <c r="F54" t="s">
        <v>3</v>
      </c>
      <c r="G54" t="s">
        <v>4</v>
      </c>
      <c r="H54" t="s">
        <v>5</v>
      </c>
      <c r="I54" t="s">
        <v>65</v>
      </c>
      <c r="J54" t="s">
        <v>6</v>
      </c>
      <c r="K54" t="s">
        <v>90</v>
      </c>
      <c r="L54" s="11" t="s">
        <v>64</v>
      </c>
    </row>
    <row r="55" spans="1:12" ht="14.4">
      <c r="A55" t="s">
        <v>89</v>
      </c>
      <c r="B55" t="s">
        <v>88</v>
      </c>
      <c r="D55" s="11">
        <v>2900</v>
      </c>
      <c r="E55" s="7">
        <v>113.30000000000001</v>
      </c>
      <c r="F55" s="7">
        <v>0</v>
      </c>
      <c r="G55" s="7">
        <v>0</v>
      </c>
      <c r="H55" s="7">
        <v>30</v>
      </c>
      <c r="I55" s="30">
        <v>143.30000000000001</v>
      </c>
      <c r="J55" s="13">
        <v>0</v>
      </c>
      <c r="K55" s="31">
        <v>1000</v>
      </c>
      <c r="L55" s="33">
        <v>1143.3</v>
      </c>
    </row>
    <row r="56" spans="1:12" ht="14.4">
      <c r="A56" t="s">
        <v>46</v>
      </c>
      <c r="B56" t="s">
        <v>30</v>
      </c>
      <c r="D56" s="11">
        <v>2900</v>
      </c>
      <c r="E56" s="7">
        <v>374.00000000000006</v>
      </c>
      <c r="F56" s="7">
        <v>0</v>
      </c>
      <c r="G56" s="7">
        <v>0</v>
      </c>
      <c r="H56" s="7">
        <v>0</v>
      </c>
      <c r="I56" s="30">
        <v>374.00000000000006</v>
      </c>
      <c r="J56" s="13">
        <v>0</v>
      </c>
      <c r="K56" s="31"/>
      <c r="L56" s="34">
        <v>374.00000000000006</v>
      </c>
    </row>
    <row r="57" spans="1:12" ht="14.4">
      <c r="A57" t="s">
        <v>47</v>
      </c>
      <c r="B57" t="s">
        <v>38</v>
      </c>
      <c r="D57" s="11">
        <v>2900</v>
      </c>
      <c r="E57" s="7">
        <v>693</v>
      </c>
      <c r="F57" s="7">
        <v>0</v>
      </c>
      <c r="G57" s="7">
        <v>0</v>
      </c>
      <c r="H57" s="7">
        <v>0</v>
      </c>
      <c r="I57" s="30">
        <v>693</v>
      </c>
      <c r="J57" s="13">
        <v>0</v>
      </c>
      <c r="K57" s="31"/>
      <c r="L57" s="34">
        <v>693</v>
      </c>
    </row>
    <row r="58" spans="1:12" ht="14.4">
      <c r="A58" t="s">
        <v>55</v>
      </c>
      <c r="B58" t="s">
        <v>45</v>
      </c>
      <c r="D58" s="11">
        <v>2901</v>
      </c>
      <c r="E58" s="7">
        <v>104.50000000000001</v>
      </c>
      <c r="F58" s="7">
        <v>0</v>
      </c>
      <c r="G58" s="7">
        <v>0</v>
      </c>
      <c r="H58" s="7">
        <v>0</v>
      </c>
      <c r="I58" s="30">
        <v>104.50000000000001</v>
      </c>
      <c r="J58" s="13">
        <v>0</v>
      </c>
      <c r="K58" s="31"/>
      <c r="L58" s="34">
        <v>104.50000000000001</v>
      </c>
    </row>
    <row r="59" spans="1:12" ht="14.4">
      <c r="A59" t="s">
        <v>54</v>
      </c>
      <c r="B59" t="s">
        <v>44</v>
      </c>
      <c r="D59" s="11">
        <v>2901</v>
      </c>
      <c r="E59" s="7">
        <v>0</v>
      </c>
      <c r="F59" s="7">
        <v>0</v>
      </c>
      <c r="G59" s="7">
        <v>0</v>
      </c>
      <c r="H59" s="7">
        <v>0</v>
      </c>
      <c r="I59" s="30">
        <v>0</v>
      </c>
      <c r="J59" s="13">
        <v>0</v>
      </c>
      <c r="K59" s="31"/>
      <c r="L59" s="34">
        <v>0</v>
      </c>
    </row>
    <row r="60" spans="1:12" ht="14.4">
      <c r="A60" t="s">
        <v>53</v>
      </c>
      <c r="B60" t="s">
        <v>43</v>
      </c>
      <c r="D60" s="11">
        <v>2901</v>
      </c>
      <c r="E60" s="7">
        <v>730.40000000000009</v>
      </c>
      <c r="F60" s="7">
        <v>0</v>
      </c>
      <c r="G60" s="7">
        <v>0</v>
      </c>
      <c r="H60" s="7">
        <v>0</v>
      </c>
      <c r="I60" s="30">
        <v>730.40000000000009</v>
      </c>
      <c r="J60" s="13">
        <v>0</v>
      </c>
      <c r="K60" s="31"/>
      <c r="L60" s="34">
        <v>730.40000000000009</v>
      </c>
    </row>
    <row r="61" spans="1:12" ht="14.4">
      <c r="A61" t="s">
        <v>50</v>
      </c>
      <c r="B61" t="s">
        <v>24</v>
      </c>
      <c r="D61" s="11">
        <v>2902</v>
      </c>
      <c r="E61" s="7">
        <v>0</v>
      </c>
      <c r="F61" s="7">
        <v>0</v>
      </c>
      <c r="G61" s="7">
        <v>0</v>
      </c>
      <c r="H61" s="7">
        <v>0</v>
      </c>
      <c r="I61" s="30">
        <v>0</v>
      </c>
      <c r="J61" s="13">
        <v>0</v>
      </c>
      <c r="K61" s="31"/>
      <c r="L61" s="34">
        <v>0</v>
      </c>
    </row>
    <row r="62" spans="1:12" ht="14.4">
      <c r="A62" t="s">
        <v>51</v>
      </c>
      <c r="B62" t="s">
        <v>41</v>
      </c>
      <c r="D62" s="11">
        <v>2902</v>
      </c>
      <c r="E62" s="7">
        <v>0</v>
      </c>
      <c r="F62" s="7">
        <v>0</v>
      </c>
      <c r="G62" s="7">
        <v>0</v>
      </c>
      <c r="H62" s="7">
        <v>0</v>
      </c>
      <c r="I62" s="30">
        <v>0</v>
      </c>
      <c r="J62" s="13">
        <v>0</v>
      </c>
      <c r="K62" s="31"/>
      <c r="L62" s="34">
        <v>0</v>
      </c>
    </row>
    <row r="63" spans="1:12" ht="14.4">
      <c r="A63" t="s">
        <v>49</v>
      </c>
      <c r="B63" t="s">
        <v>40</v>
      </c>
      <c r="D63" s="11">
        <v>2902</v>
      </c>
      <c r="E63" s="7">
        <v>0</v>
      </c>
      <c r="F63" s="7">
        <v>0</v>
      </c>
      <c r="G63" s="7">
        <v>0</v>
      </c>
      <c r="H63" s="7">
        <v>0</v>
      </c>
      <c r="I63" s="30">
        <v>0</v>
      </c>
      <c r="J63" s="13">
        <v>0</v>
      </c>
      <c r="K63" s="31"/>
      <c r="L63" s="34">
        <v>0</v>
      </c>
    </row>
    <row r="64" spans="1:12" ht="14.4">
      <c r="A64" t="s">
        <v>48</v>
      </c>
      <c r="B64" t="s">
        <v>39</v>
      </c>
      <c r="D64" s="11">
        <v>2902</v>
      </c>
      <c r="E64" s="7">
        <v>1905.2</v>
      </c>
      <c r="F64" s="7">
        <v>108.4</v>
      </c>
      <c r="G64" s="7">
        <v>25</v>
      </c>
      <c r="H64" s="7">
        <v>105</v>
      </c>
      <c r="I64" s="30">
        <v>2143.6000000000004</v>
      </c>
      <c r="J64" s="13">
        <v>629</v>
      </c>
      <c r="K64" s="31">
        <v>-1000</v>
      </c>
      <c r="L64" s="34">
        <v>1143.6000000000004</v>
      </c>
    </row>
    <row r="65" spans="1:21" ht="14.4">
      <c r="A65" t="s">
        <v>52</v>
      </c>
      <c r="B65" t="s">
        <v>42</v>
      </c>
      <c r="D65" s="11">
        <v>2902</v>
      </c>
      <c r="E65" s="7">
        <v>627</v>
      </c>
      <c r="F65" s="7">
        <v>0</v>
      </c>
      <c r="G65" s="7">
        <v>0</v>
      </c>
      <c r="H65" s="7">
        <v>0</v>
      </c>
      <c r="I65" s="30">
        <v>627</v>
      </c>
      <c r="J65" s="13">
        <v>0</v>
      </c>
      <c r="K65" s="31"/>
      <c r="L65" s="34">
        <v>627</v>
      </c>
    </row>
    <row r="66" spans="1:21" ht="14.4">
      <c r="A66" s="21" t="s">
        <v>83</v>
      </c>
      <c r="B66" s="21" t="s">
        <v>81</v>
      </c>
      <c r="D66" s="26">
        <v>2900</v>
      </c>
      <c r="E66" s="7">
        <v>0</v>
      </c>
      <c r="F66" s="7">
        <v>0</v>
      </c>
      <c r="G66" s="7">
        <v>0</v>
      </c>
      <c r="H66" s="7">
        <v>0</v>
      </c>
      <c r="I66" s="30">
        <v>0</v>
      </c>
      <c r="J66" s="13">
        <v>0</v>
      </c>
      <c r="K66" s="31"/>
      <c r="L66" s="34">
        <v>0</v>
      </c>
    </row>
    <row r="67" spans="1:21" ht="15" thickBot="1">
      <c r="A67" s="21" t="s">
        <v>84</v>
      </c>
      <c r="B67" s="21" t="s">
        <v>82</v>
      </c>
      <c r="D67" s="26">
        <v>2902</v>
      </c>
      <c r="E67" s="7">
        <v>0</v>
      </c>
      <c r="F67" s="7">
        <v>0</v>
      </c>
      <c r="G67" s="7">
        <v>0</v>
      </c>
      <c r="H67" s="7">
        <v>0</v>
      </c>
      <c r="I67" s="30">
        <v>0</v>
      </c>
      <c r="J67" s="13">
        <v>0</v>
      </c>
      <c r="K67" s="31"/>
      <c r="L67" s="35">
        <v>0</v>
      </c>
    </row>
    <row r="68" spans="1:21">
      <c r="D68" s="11"/>
      <c r="E68" s="7"/>
      <c r="F68" s="7"/>
      <c r="G68" s="7"/>
      <c r="H68" s="7"/>
      <c r="I68" s="30"/>
      <c r="J68" s="27"/>
      <c r="K68" s="32"/>
      <c r="L68" s="34">
        <v>4815.8000000000011</v>
      </c>
    </row>
    <row r="70" spans="1:21" ht="14.4">
      <c r="A70" s="17" t="s">
        <v>94</v>
      </c>
      <c r="B70" s="17"/>
      <c r="J70" s="25" t="s">
        <v>66</v>
      </c>
    </row>
    <row r="71" spans="1:21" ht="14.4" thickBot="1">
      <c r="A71" t="s">
        <v>1</v>
      </c>
      <c r="B71" t="s">
        <v>0</v>
      </c>
      <c r="C71" t="s">
        <v>111</v>
      </c>
      <c r="D71" t="s">
        <v>87</v>
      </c>
      <c r="E71" t="s">
        <v>2</v>
      </c>
      <c r="F71" t="s">
        <v>3</v>
      </c>
      <c r="G71" t="s">
        <v>4</v>
      </c>
      <c r="H71" t="s">
        <v>5</v>
      </c>
      <c r="I71" t="s">
        <v>65</v>
      </c>
      <c r="J71" t="s">
        <v>6</v>
      </c>
      <c r="K71" t="s">
        <v>90</v>
      </c>
      <c r="L71" s="11" t="s">
        <v>64</v>
      </c>
    </row>
    <row r="72" spans="1:21" ht="14.4">
      <c r="A72" s="21" t="s">
        <v>83</v>
      </c>
      <c r="B72" s="21" t="s">
        <v>81</v>
      </c>
      <c r="D72" s="26">
        <v>2900</v>
      </c>
      <c r="E72" s="7">
        <v>0</v>
      </c>
      <c r="F72" s="7">
        <v>0</v>
      </c>
      <c r="G72" s="7">
        <v>0</v>
      </c>
      <c r="H72" s="7">
        <v>0</v>
      </c>
      <c r="I72" s="30">
        <v>0</v>
      </c>
      <c r="J72" s="13">
        <v>0</v>
      </c>
      <c r="K72" s="31"/>
      <c r="L72" s="33">
        <v>0</v>
      </c>
    </row>
    <row r="73" spans="1:21" ht="14.4">
      <c r="A73" t="s">
        <v>89</v>
      </c>
      <c r="B73" t="s">
        <v>88</v>
      </c>
      <c r="D73" s="11">
        <v>2900</v>
      </c>
      <c r="E73" s="7">
        <v>1576.3000000000002</v>
      </c>
      <c r="F73" s="7">
        <v>0</v>
      </c>
      <c r="G73" s="7">
        <v>0</v>
      </c>
      <c r="H73" s="7">
        <v>36</v>
      </c>
      <c r="I73" s="30">
        <v>1612.3000000000002</v>
      </c>
      <c r="J73" s="13">
        <v>180</v>
      </c>
      <c r="K73" s="31">
        <v>-1000</v>
      </c>
      <c r="L73" s="34">
        <v>612.30000000000018</v>
      </c>
    </row>
    <row r="74" spans="1:21" ht="14.4">
      <c r="A74" t="s">
        <v>46</v>
      </c>
      <c r="B74" t="s">
        <v>30</v>
      </c>
      <c r="D74" s="11">
        <v>2900</v>
      </c>
      <c r="E74" s="7">
        <v>816.2</v>
      </c>
      <c r="F74" s="7">
        <v>0</v>
      </c>
      <c r="G74" s="7">
        <v>0</v>
      </c>
      <c r="H74" s="7">
        <v>0</v>
      </c>
      <c r="I74" s="30">
        <v>816.2</v>
      </c>
      <c r="J74" s="13">
        <v>0</v>
      </c>
      <c r="K74" s="31"/>
      <c r="L74" s="34">
        <v>816.2</v>
      </c>
    </row>
    <row r="75" spans="1:21" ht="14.4">
      <c r="A75" t="s">
        <v>47</v>
      </c>
      <c r="B75" t="s">
        <v>38</v>
      </c>
      <c r="D75" s="11">
        <v>2900</v>
      </c>
      <c r="E75" s="7">
        <v>295.90000000000003</v>
      </c>
      <c r="F75" s="7">
        <v>0</v>
      </c>
      <c r="G75" s="7">
        <v>0</v>
      </c>
      <c r="H75" s="7">
        <v>0</v>
      </c>
      <c r="I75" s="30">
        <v>295.90000000000003</v>
      </c>
      <c r="J75" s="13">
        <v>0</v>
      </c>
      <c r="K75" s="31"/>
      <c r="L75" s="34">
        <v>295.90000000000003</v>
      </c>
      <c r="N75" t="s">
        <v>47</v>
      </c>
      <c r="O75" t="s">
        <v>38</v>
      </c>
      <c r="P75">
        <v>2900</v>
      </c>
      <c r="Q75">
        <v>625.90000000000009</v>
      </c>
      <c r="R75">
        <v>0</v>
      </c>
      <c r="S75">
        <v>0</v>
      </c>
      <c r="T75">
        <v>0</v>
      </c>
      <c r="U75">
        <v>625.90000000000009</v>
      </c>
    </row>
    <row r="76" spans="1:21" ht="14.4">
      <c r="A76" t="s">
        <v>55</v>
      </c>
      <c r="B76" t="s">
        <v>45</v>
      </c>
      <c r="D76" s="11">
        <v>2901</v>
      </c>
      <c r="E76" s="7">
        <v>101.2</v>
      </c>
      <c r="F76" s="7">
        <v>0</v>
      </c>
      <c r="G76" s="7">
        <v>0</v>
      </c>
      <c r="H76" s="7">
        <v>0</v>
      </c>
      <c r="I76" s="30">
        <v>101.2</v>
      </c>
      <c r="J76" s="13">
        <v>0</v>
      </c>
      <c r="K76" s="31"/>
      <c r="L76" s="34">
        <v>101.2</v>
      </c>
    </row>
    <row r="77" spans="1:21" ht="14.4">
      <c r="A77" t="s">
        <v>54</v>
      </c>
      <c r="B77" t="s">
        <v>44</v>
      </c>
      <c r="D77" s="11">
        <v>2901</v>
      </c>
      <c r="E77" s="7">
        <v>299.2</v>
      </c>
      <c r="F77" s="7">
        <v>0</v>
      </c>
      <c r="G77" s="7">
        <v>0</v>
      </c>
      <c r="H77" s="7">
        <v>0</v>
      </c>
      <c r="I77" s="30">
        <v>299.2</v>
      </c>
      <c r="J77" s="13">
        <v>0</v>
      </c>
      <c r="K77" s="31"/>
      <c r="L77" s="34">
        <v>299.2</v>
      </c>
    </row>
    <row r="78" spans="1:21" ht="14.4">
      <c r="A78" t="s">
        <v>53</v>
      </c>
      <c r="B78" t="s">
        <v>43</v>
      </c>
      <c r="D78" s="11">
        <v>2901</v>
      </c>
      <c r="E78" s="7">
        <v>1239.7000000000003</v>
      </c>
      <c r="F78" s="7">
        <v>5.2</v>
      </c>
      <c r="G78" s="7">
        <v>0</v>
      </c>
      <c r="H78" s="7">
        <v>0</v>
      </c>
      <c r="I78" s="30">
        <v>1244.9000000000003</v>
      </c>
      <c r="J78" s="13">
        <v>0</v>
      </c>
      <c r="K78" s="31"/>
      <c r="L78" s="34">
        <v>1244.9000000000003</v>
      </c>
    </row>
    <row r="79" spans="1:21" ht="14.4">
      <c r="A79" s="64" t="s">
        <v>50</v>
      </c>
      <c r="B79" s="64" t="s">
        <v>24</v>
      </c>
      <c r="D79" s="11">
        <v>2902</v>
      </c>
      <c r="E79" s="7">
        <v>0</v>
      </c>
      <c r="F79" s="7">
        <v>0</v>
      </c>
      <c r="G79" s="7">
        <v>0</v>
      </c>
      <c r="H79" s="7">
        <v>441.2</v>
      </c>
      <c r="I79" s="30">
        <v>441.2</v>
      </c>
      <c r="J79" s="13">
        <v>0</v>
      </c>
      <c r="K79" s="31"/>
      <c r="L79" s="34">
        <v>441.2</v>
      </c>
    </row>
    <row r="80" spans="1:21" ht="14.4">
      <c r="A80" t="s">
        <v>51</v>
      </c>
      <c r="B80" t="s">
        <v>41</v>
      </c>
      <c r="D80" s="11">
        <v>2902</v>
      </c>
      <c r="E80" s="7">
        <v>742.5</v>
      </c>
      <c r="F80" s="7">
        <v>0</v>
      </c>
      <c r="G80" s="7">
        <v>0</v>
      </c>
      <c r="H80" s="7">
        <v>0</v>
      </c>
      <c r="I80" s="30">
        <v>742.5</v>
      </c>
      <c r="J80" s="13">
        <v>0</v>
      </c>
      <c r="K80" s="31"/>
      <c r="L80" s="34">
        <v>742.5</v>
      </c>
    </row>
    <row r="81" spans="1:14" ht="14.4">
      <c r="A81" s="21" t="s">
        <v>84</v>
      </c>
      <c r="B81" s="21" t="s">
        <v>82</v>
      </c>
      <c r="D81" s="26">
        <v>2902</v>
      </c>
      <c r="E81" s="7">
        <v>36.300000000000004</v>
      </c>
      <c r="F81" s="7">
        <v>0</v>
      </c>
      <c r="G81" s="7">
        <v>0</v>
      </c>
      <c r="H81" s="7">
        <v>0</v>
      </c>
      <c r="I81" s="30">
        <v>36.300000000000004</v>
      </c>
      <c r="J81" s="13">
        <v>0</v>
      </c>
      <c r="K81" s="31"/>
      <c r="L81" s="34">
        <v>36.300000000000004</v>
      </c>
    </row>
    <row r="82" spans="1:14" ht="14.4">
      <c r="A82" t="s">
        <v>48</v>
      </c>
      <c r="B82" t="s">
        <v>39</v>
      </c>
      <c r="D82" s="11">
        <v>2902</v>
      </c>
      <c r="E82" s="7">
        <v>886.60000000000014</v>
      </c>
      <c r="F82" s="7">
        <v>20</v>
      </c>
      <c r="G82" s="7">
        <v>6</v>
      </c>
      <c r="H82" s="7">
        <v>0</v>
      </c>
      <c r="I82" s="30">
        <v>912.60000000000014</v>
      </c>
      <c r="J82" s="13">
        <v>0</v>
      </c>
      <c r="K82" s="31"/>
      <c r="L82" s="34">
        <v>912.60000000000014</v>
      </c>
    </row>
    <row r="83" spans="1:14" ht="15" thickBot="1">
      <c r="A83" t="s">
        <v>52</v>
      </c>
      <c r="B83" t="s">
        <v>42</v>
      </c>
      <c r="D83" s="11">
        <v>2902</v>
      </c>
      <c r="E83" s="7">
        <v>885.50000000000011</v>
      </c>
      <c r="F83" s="7">
        <v>0</v>
      </c>
      <c r="G83" s="7">
        <v>0</v>
      </c>
      <c r="H83" s="7">
        <v>20.6</v>
      </c>
      <c r="I83" s="30">
        <v>906.10000000000014</v>
      </c>
      <c r="J83" s="13">
        <v>0</v>
      </c>
      <c r="K83" s="31"/>
      <c r="L83" s="35">
        <v>906.10000000000014</v>
      </c>
    </row>
    <row r="84" spans="1:14">
      <c r="D84" s="11"/>
      <c r="E84" s="7"/>
      <c r="F84" s="7"/>
      <c r="G84" s="7"/>
      <c r="H84" s="7"/>
      <c r="I84" s="30"/>
      <c r="J84" s="27"/>
      <c r="K84" s="32"/>
      <c r="L84" s="34">
        <v>6408.4000000000015</v>
      </c>
    </row>
    <row r="86" spans="1:14" ht="14.4">
      <c r="A86" s="17" t="s">
        <v>98</v>
      </c>
      <c r="B86" s="17"/>
      <c r="J86" s="25" t="s">
        <v>66</v>
      </c>
    </row>
    <row r="87" spans="1:14" ht="14.4" thickBot="1">
      <c r="A87" t="s">
        <v>1</v>
      </c>
      <c r="B87" t="s">
        <v>0</v>
      </c>
      <c r="C87" t="s">
        <v>111</v>
      </c>
      <c r="D87" t="s">
        <v>87</v>
      </c>
      <c r="E87" t="s">
        <v>2</v>
      </c>
      <c r="F87" t="s">
        <v>3</v>
      </c>
      <c r="G87" t="s">
        <v>4</v>
      </c>
      <c r="H87" t="s">
        <v>5</v>
      </c>
      <c r="I87" t="s">
        <v>65</v>
      </c>
      <c r="J87" t="s">
        <v>6</v>
      </c>
      <c r="K87" t="s">
        <v>90</v>
      </c>
      <c r="L87" s="11" t="s">
        <v>64</v>
      </c>
    </row>
    <row r="88" spans="1:14" ht="14.4">
      <c r="A88" s="21" t="s">
        <v>83</v>
      </c>
      <c r="B88" s="21" t="s">
        <v>81</v>
      </c>
      <c r="D88" s="26">
        <v>2900</v>
      </c>
      <c r="E88" s="7">
        <v>0</v>
      </c>
      <c r="F88" s="7">
        <v>0</v>
      </c>
      <c r="G88" s="7">
        <v>0</v>
      </c>
      <c r="H88" s="7">
        <v>0</v>
      </c>
      <c r="I88" s="30">
        <v>0</v>
      </c>
      <c r="J88" s="13">
        <v>0</v>
      </c>
      <c r="K88" s="31"/>
      <c r="L88" s="33">
        <v>0</v>
      </c>
    </row>
    <row r="89" spans="1:14" ht="14.4">
      <c r="A89" t="s">
        <v>89</v>
      </c>
      <c r="B89" t="s">
        <v>88</v>
      </c>
      <c r="D89" s="11">
        <v>2900</v>
      </c>
      <c r="E89" s="7">
        <v>815.1</v>
      </c>
      <c r="F89" s="7">
        <v>0</v>
      </c>
      <c r="G89" s="7">
        <v>0</v>
      </c>
      <c r="H89" s="7">
        <v>7.5</v>
      </c>
      <c r="I89" s="30">
        <v>822.6</v>
      </c>
      <c r="J89" s="13">
        <v>0</v>
      </c>
      <c r="K89" s="31">
        <v>1000</v>
      </c>
      <c r="L89" s="34">
        <v>1822.6</v>
      </c>
      <c r="N89" t="s">
        <v>96</v>
      </c>
    </row>
    <row r="90" spans="1:14" ht="14.4">
      <c r="A90" t="s">
        <v>46</v>
      </c>
      <c r="B90" t="s">
        <v>30</v>
      </c>
      <c r="D90" s="11">
        <v>2900</v>
      </c>
      <c r="E90" s="7">
        <v>0</v>
      </c>
      <c r="F90" s="7">
        <v>0</v>
      </c>
      <c r="G90" s="7">
        <v>0</v>
      </c>
      <c r="H90" s="7">
        <v>0</v>
      </c>
      <c r="I90" s="30">
        <v>0</v>
      </c>
      <c r="J90" s="13">
        <v>0</v>
      </c>
      <c r="K90" s="31"/>
      <c r="L90" s="34">
        <v>0</v>
      </c>
    </row>
    <row r="91" spans="1:14" ht="14.4">
      <c r="A91" t="s">
        <v>47</v>
      </c>
      <c r="B91" t="s">
        <v>38</v>
      </c>
      <c r="D91" s="11">
        <v>2900</v>
      </c>
      <c r="E91" s="7">
        <v>913.00000000000023</v>
      </c>
      <c r="F91" s="7">
        <v>0</v>
      </c>
      <c r="G91" s="7">
        <v>0</v>
      </c>
      <c r="H91" s="7">
        <v>0</v>
      </c>
      <c r="I91" s="30">
        <v>913.00000000000023</v>
      </c>
      <c r="J91" s="13">
        <v>0</v>
      </c>
      <c r="K91" s="31">
        <v>330</v>
      </c>
      <c r="L91" s="34">
        <v>1243.0000000000002</v>
      </c>
      <c r="N91" t="s">
        <v>95</v>
      </c>
    </row>
    <row r="92" spans="1:14" ht="14.4">
      <c r="A92" t="s">
        <v>55</v>
      </c>
      <c r="B92" t="s">
        <v>45</v>
      </c>
      <c r="D92" s="11">
        <v>2901</v>
      </c>
      <c r="E92" s="7">
        <v>460.90000000000009</v>
      </c>
      <c r="F92" s="7">
        <v>0</v>
      </c>
      <c r="G92" s="7">
        <v>0</v>
      </c>
      <c r="H92" s="7">
        <v>0</v>
      </c>
      <c r="I92" s="30">
        <v>460.90000000000009</v>
      </c>
      <c r="J92" s="13">
        <v>0</v>
      </c>
      <c r="K92" s="31"/>
      <c r="L92" s="34">
        <v>460.90000000000009</v>
      </c>
    </row>
    <row r="93" spans="1:14" ht="14.4">
      <c r="A93" t="s">
        <v>54</v>
      </c>
      <c r="B93" t="s">
        <v>44</v>
      </c>
      <c r="D93" s="11">
        <v>2901</v>
      </c>
      <c r="E93" s="7">
        <v>542.29999999999995</v>
      </c>
      <c r="F93" s="7">
        <v>0</v>
      </c>
      <c r="G93" s="7">
        <v>0</v>
      </c>
      <c r="H93" s="7">
        <v>0</v>
      </c>
      <c r="I93" s="30">
        <v>542.29999999999995</v>
      </c>
      <c r="J93" s="13">
        <v>0</v>
      </c>
      <c r="K93" s="31"/>
      <c r="L93" s="34">
        <v>542.29999999999995</v>
      </c>
    </row>
    <row r="94" spans="1:14" ht="14.4">
      <c r="A94" t="s">
        <v>53</v>
      </c>
      <c r="B94" t="s">
        <v>43</v>
      </c>
      <c r="D94" s="11">
        <v>2901</v>
      </c>
      <c r="E94" s="7">
        <v>658.9</v>
      </c>
      <c r="F94" s="7">
        <v>0</v>
      </c>
      <c r="G94" s="7">
        <v>0</v>
      </c>
      <c r="H94" s="7">
        <v>0</v>
      </c>
      <c r="I94" s="30">
        <v>658.9</v>
      </c>
      <c r="J94" s="13">
        <v>0</v>
      </c>
      <c r="K94" s="31"/>
      <c r="L94" s="34">
        <v>658.9</v>
      </c>
    </row>
    <row r="95" spans="1:14" ht="14.4">
      <c r="A95" s="64" t="s">
        <v>50</v>
      </c>
      <c r="B95" s="64" t="s">
        <v>24</v>
      </c>
      <c r="D95" s="11">
        <v>2902</v>
      </c>
      <c r="E95" s="7">
        <v>0</v>
      </c>
      <c r="F95" s="7">
        <v>0</v>
      </c>
      <c r="G95" s="7">
        <v>0</v>
      </c>
      <c r="H95" s="7">
        <v>0</v>
      </c>
      <c r="I95" s="30">
        <v>0</v>
      </c>
      <c r="J95" s="13">
        <v>0</v>
      </c>
      <c r="K95" s="31">
        <v>500</v>
      </c>
      <c r="L95" s="34">
        <v>500</v>
      </c>
      <c r="N95" t="s">
        <v>97</v>
      </c>
    </row>
    <row r="96" spans="1:14" ht="14.4">
      <c r="A96" t="s">
        <v>51</v>
      </c>
      <c r="B96" t="s">
        <v>41</v>
      </c>
      <c r="D96" s="11">
        <v>2902</v>
      </c>
      <c r="E96" s="7">
        <v>370.70000000000005</v>
      </c>
      <c r="F96" s="7">
        <v>0</v>
      </c>
      <c r="G96" s="7">
        <v>0</v>
      </c>
      <c r="H96" s="7">
        <v>0</v>
      </c>
      <c r="I96" s="30">
        <v>370.70000000000005</v>
      </c>
      <c r="J96" s="13">
        <v>0</v>
      </c>
      <c r="K96" s="31"/>
      <c r="L96" s="34">
        <v>370.70000000000005</v>
      </c>
    </row>
    <row r="97" spans="1:12" ht="14.4">
      <c r="A97" s="21" t="s">
        <v>84</v>
      </c>
      <c r="B97" s="21" t="s">
        <v>82</v>
      </c>
      <c r="D97" s="26">
        <v>2902</v>
      </c>
      <c r="E97" s="7">
        <v>0</v>
      </c>
      <c r="F97" s="7">
        <v>0</v>
      </c>
      <c r="G97" s="7">
        <v>0</v>
      </c>
      <c r="H97" s="7">
        <v>0</v>
      </c>
      <c r="I97" s="30">
        <v>0</v>
      </c>
      <c r="J97" s="13">
        <v>0</v>
      </c>
      <c r="K97" s="31"/>
      <c r="L97" s="34">
        <v>0</v>
      </c>
    </row>
    <row r="98" spans="1:12" ht="14.4">
      <c r="A98" t="s">
        <v>48</v>
      </c>
      <c r="B98" t="s">
        <v>39</v>
      </c>
      <c r="D98" s="11">
        <v>2902</v>
      </c>
      <c r="E98" s="7">
        <v>1376.1000000000001</v>
      </c>
      <c r="F98" s="7">
        <v>35</v>
      </c>
      <c r="G98" s="7">
        <v>0</v>
      </c>
      <c r="H98" s="7">
        <v>45.4</v>
      </c>
      <c r="I98" s="30">
        <v>1456.5000000000002</v>
      </c>
      <c r="J98" s="13">
        <v>190</v>
      </c>
      <c r="K98" s="31"/>
      <c r="L98" s="34">
        <v>1456.5000000000002</v>
      </c>
    </row>
    <row r="99" spans="1:12" ht="15" thickBot="1">
      <c r="A99" t="s">
        <v>52</v>
      </c>
      <c r="B99" t="s">
        <v>42</v>
      </c>
      <c r="D99" s="11">
        <v>2902</v>
      </c>
      <c r="E99" s="7">
        <v>474.1</v>
      </c>
      <c r="F99" s="7">
        <v>0</v>
      </c>
      <c r="G99" s="7">
        <v>0</v>
      </c>
      <c r="H99" s="7">
        <v>0</v>
      </c>
      <c r="I99" s="30">
        <v>474.1</v>
      </c>
      <c r="J99" s="13">
        <v>0</v>
      </c>
      <c r="K99" s="31"/>
      <c r="L99" s="35">
        <v>474.1</v>
      </c>
    </row>
    <row r="100" spans="1:12">
      <c r="D100" s="11"/>
      <c r="E100" s="7"/>
      <c r="F100" s="7"/>
      <c r="G100" s="7"/>
      <c r="H100" s="7"/>
      <c r="I100" s="30">
        <v>5699.0000000000009</v>
      </c>
      <c r="J100" s="65"/>
      <c r="K100" s="32"/>
      <c r="L100" s="34">
        <v>7529</v>
      </c>
    </row>
    <row r="103" spans="1:12" ht="14.4">
      <c r="A103" s="17" t="s">
        <v>110</v>
      </c>
      <c r="B103" s="17"/>
      <c r="J103" s="25" t="s">
        <v>109</v>
      </c>
    </row>
    <row r="104" spans="1:12" ht="14.4" thickBot="1">
      <c r="A104" t="s">
        <v>1</v>
      </c>
      <c r="B104" t="s">
        <v>0</v>
      </c>
      <c r="C104" t="s">
        <v>104</v>
      </c>
      <c r="D104" t="s">
        <v>87</v>
      </c>
      <c r="E104" t="s">
        <v>2</v>
      </c>
      <c r="F104" t="s">
        <v>3</v>
      </c>
      <c r="G104" t="s">
        <v>4</v>
      </c>
      <c r="H104" t="s">
        <v>5</v>
      </c>
      <c r="I104" t="s">
        <v>65</v>
      </c>
      <c r="J104" t="s">
        <v>108</v>
      </c>
      <c r="K104" t="s">
        <v>90</v>
      </c>
      <c r="L104" s="11" t="s">
        <v>64</v>
      </c>
    </row>
    <row r="105" spans="1:12" ht="14.4">
      <c r="A105" t="s">
        <v>89</v>
      </c>
      <c r="B105" t="s">
        <v>88</v>
      </c>
      <c r="C105" t="s">
        <v>105</v>
      </c>
      <c r="D105" s="11">
        <v>2900</v>
      </c>
      <c r="E105" s="7">
        <v>1851.3000000000002</v>
      </c>
      <c r="F105" s="7">
        <v>0</v>
      </c>
      <c r="G105" s="7">
        <v>0</v>
      </c>
      <c r="H105" s="7">
        <v>36.590000000000003</v>
      </c>
      <c r="I105" s="30">
        <v>1887.89</v>
      </c>
      <c r="J105" s="13">
        <v>180</v>
      </c>
      <c r="K105" s="31">
        <v>-1000</v>
      </c>
      <c r="L105" s="33">
        <v>887.8900000000001</v>
      </c>
    </row>
    <row r="106" spans="1:12" ht="14.4">
      <c r="A106" t="s">
        <v>46</v>
      </c>
      <c r="B106" t="s">
        <v>30</v>
      </c>
      <c r="C106" t="s">
        <v>105</v>
      </c>
      <c r="D106" s="11">
        <v>2900</v>
      </c>
      <c r="E106" s="7">
        <v>577.5</v>
      </c>
      <c r="F106" s="7">
        <v>0</v>
      </c>
      <c r="G106" s="7">
        <v>0</v>
      </c>
      <c r="H106" s="7">
        <v>0</v>
      </c>
      <c r="I106" s="30">
        <v>577.5</v>
      </c>
      <c r="J106" s="13">
        <v>0</v>
      </c>
      <c r="K106" s="31"/>
      <c r="L106" s="34">
        <v>577.5</v>
      </c>
    </row>
    <row r="107" spans="1:12" ht="14.4">
      <c r="A107" t="s">
        <v>47</v>
      </c>
      <c r="B107" t="s">
        <v>38</v>
      </c>
      <c r="C107" t="s">
        <v>105</v>
      </c>
      <c r="D107" s="11">
        <v>2900</v>
      </c>
      <c r="E107" s="7">
        <v>685.3</v>
      </c>
      <c r="F107" s="7">
        <v>0</v>
      </c>
      <c r="G107" s="7">
        <v>0</v>
      </c>
      <c r="H107" s="7">
        <v>0</v>
      </c>
      <c r="I107" s="30">
        <v>685.3</v>
      </c>
      <c r="J107" s="13">
        <v>0</v>
      </c>
      <c r="K107" s="31"/>
      <c r="L107" s="34">
        <v>685.3</v>
      </c>
    </row>
    <row r="108" spans="1:12" ht="14.4">
      <c r="A108" t="s">
        <v>55</v>
      </c>
      <c r="B108" t="s">
        <v>45</v>
      </c>
      <c r="C108" t="s">
        <v>105</v>
      </c>
      <c r="D108" s="11">
        <v>2901</v>
      </c>
      <c r="E108" s="7">
        <v>0</v>
      </c>
      <c r="F108" s="7">
        <v>0</v>
      </c>
      <c r="G108" s="7">
        <v>0</v>
      </c>
      <c r="H108" s="7">
        <v>0</v>
      </c>
      <c r="I108" s="30">
        <v>0</v>
      </c>
      <c r="J108" s="13">
        <v>0</v>
      </c>
      <c r="K108" s="31"/>
      <c r="L108" s="34">
        <v>0</v>
      </c>
    </row>
    <row r="109" spans="1:12" ht="14.4">
      <c r="A109" t="s">
        <v>54</v>
      </c>
      <c r="B109" t="s">
        <v>44</v>
      </c>
      <c r="C109" t="s">
        <v>105</v>
      </c>
      <c r="D109" s="11">
        <v>2901</v>
      </c>
      <c r="E109" s="7">
        <v>0</v>
      </c>
      <c r="F109" s="7">
        <v>0</v>
      </c>
      <c r="G109" s="7">
        <v>0</v>
      </c>
      <c r="H109" s="7">
        <v>0</v>
      </c>
      <c r="I109" s="30">
        <v>0</v>
      </c>
      <c r="J109" s="13">
        <v>0</v>
      </c>
      <c r="K109" s="31"/>
      <c r="L109" s="34">
        <v>0</v>
      </c>
    </row>
    <row r="110" spans="1:12" ht="14.4">
      <c r="A110" t="s">
        <v>53</v>
      </c>
      <c r="B110" t="s">
        <v>43</v>
      </c>
      <c r="C110" t="s">
        <v>105</v>
      </c>
      <c r="D110" s="11">
        <v>2901</v>
      </c>
      <c r="E110" s="7">
        <v>1053.8</v>
      </c>
      <c r="F110" s="7">
        <v>0</v>
      </c>
      <c r="G110" s="7">
        <v>0</v>
      </c>
      <c r="H110" s="7">
        <v>0</v>
      </c>
      <c r="I110" s="30">
        <v>1053.8</v>
      </c>
      <c r="J110" s="13">
        <v>0</v>
      </c>
      <c r="K110" s="31"/>
      <c r="L110" s="34">
        <v>1053.8</v>
      </c>
    </row>
    <row r="111" spans="1:12" ht="14.4">
      <c r="A111" t="s">
        <v>51</v>
      </c>
      <c r="B111" t="s">
        <v>41</v>
      </c>
      <c r="C111" t="s">
        <v>105</v>
      </c>
      <c r="D111" s="11">
        <v>2902</v>
      </c>
      <c r="E111" s="7">
        <v>301.40000000000003</v>
      </c>
      <c r="F111" s="7">
        <v>0</v>
      </c>
      <c r="G111" s="7">
        <v>0</v>
      </c>
      <c r="H111" s="7">
        <v>0</v>
      </c>
      <c r="I111" s="30">
        <v>301.40000000000003</v>
      </c>
      <c r="J111" s="13">
        <v>0</v>
      </c>
      <c r="K111" s="31"/>
      <c r="L111" s="34">
        <v>301.40000000000003</v>
      </c>
    </row>
    <row r="112" spans="1:12" ht="14.4">
      <c r="A112" t="s">
        <v>48</v>
      </c>
      <c r="B112" t="s">
        <v>39</v>
      </c>
      <c r="C112" t="s">
        <v>105</v>
      </c>
      <c r="D112" s="11">
        <v>2902</v>
      </c>
      <c r="E112" s="7">
        <v>559.90000000000009</v>
      </c>
      <c r="F112" s="7">
        <v>0</v>
      </c>
      <c r="G112" s="7">
        <v>0</v>
      </c>
      <c r="H112" s="7">
        <v>0</v>
      </c>
      <c r="I112" s="30">
        <v>559.90000000000009</v>
      </c>
      <c r="J112" s="13">
        <v>0</v>
      </c>
      <c r="K112" s="31"/>
      <c r="L112" s="34">
        <v>559.90000000000009</v>
      </c>
    </row>
    <row r="113" spans="1:13" ht="14.4">
      <c r="A113" t="s">
        <v>52</v>
      </c>
      <c r="B113" t="s">
        <v>42</v>
      </c>
      <c r="C113" t="s">
        <v>105</v>
      </c>
      <c r="D113" s="11">
        <v>2902</v>
      </c>
      <c r="E113" s="7">
        <v>761.2</v>
      </c>
      <c r="F113" s="7">
        <v>0</v>
      </c>
      <c r="G113" s="7">
        <v>0</v>
      </c>
      <c r="H113" s="7">
        <v>0</v>
      </c>
      <c r="I113" s="30">
        <v>761.2</v>
      </c>
      <c r="J113" s="13">
        <v>0</v>
      </c>
      <c r="K113" s="72"/>
      <c r="L113" s="34">
        <v>761.2</v>
      </c>
    </row>
    <row r="114" spans="1:13" ht="14.4">
      <c r="A114" s="64" t="s">
        <v>50</v>
      </c>
      <c r="B114" s="64" t="s">
        <v>24</v>
      </c>
      <c r="C114" s="64" t="s">
        <v>106</v>
      </c>
      <c r="D114" s="73">
        <v>2902</v>
      </c>
      <c r="E114" s="7">
        <v>0</v>
      </c>
      <c r="F114" s="7">
        <v>0</v>
      </c>
      <c r="G114" s="7">
        <v>0</v>
      </c>
      <c r="H114" s="7">
        <v>798.73</v>
      </c>
      <c r="I114" s="30">
        <v>798.73</v>
      </c>
      <c r="J114" s="13">
        <v>0</v>
      </c>
      <c r="K114" s="72">
        <v>-500</v>
      </c>
      <c r="L114" s="34">
        <v>298.73</v>
      </c>
    </row>
    <row r="115" spans="1:13" ht="14.4">
      <c r="A115" s="21" t="s">
        <v>103</v>
      </c>
      <c r="B115" s="21" t="s">
        <v>92</v>
      </c>
      <c r="C115" s="21" t="s">
        <v>107</v>
      </c>
      <c r="D115" s="26">
        <v>2902</v>
      </c>
      <c r="E115" s="7">
        <v>0</v>
      </c>
      <c r="F115" s="7">
        <v>0</v>
      </c>
      <c r="G115" s="7">
        <v>0</v>
      </c>
      <c r="H115" s="7">
        <v>0</v>
      </c>
      <c r="I115" s="30">
        <v>0</v>
      </c>
      <c r="J115" s="13">
        <v>0</v>
      </c>
      <c r="K115" s="31"/>
      <c r="L115" s="34">
        <v>0</v>
      </c>
    </row>
    <row r="116" spans="1:13" ht="14.4">
      <c r="A116" s="21" t="s">
        <v>102</v>
      </c>
      <c r="B116" s="21" t="s">
        <v>101</v>
      </c>
      <c r="C116" s="21" t="s">
        <v>107</v>
      </c>
      <c r="D116" s="26">
        <v>2902</v>
      </c>
      <c r="E116" s="7">
        <v>0</v>
      </c>
      <c r="F116" s="7">
        <v>0</v>
      </c>
      <c r="G116" s="7">
        <v>0</v>
      </c>
      <c r="H116" s="7">
        <v>0</v>
      </c>
      <c r="I116" s="30">
        <v>0</v>
      </c>
      <c r="J116" s="13">
        <v>0</v>
      </c>
      <c r="K116" s="31"/>
      <c r="L116" s="34">
        <v>0</v>
      </c>
    </row>
    <row r="117" spans="1:13" ht="14.4">
      <c r="A117" s="21" t="s">
        <v>83</v>
      </c>
      <c r="B117" s="21" t="s">
        <v>81</v>
      </c>
      <c r="C117" s="21" t="s">
        <v>107</v>
      </c>
      <c r="D117" s="26">
        <v>2900</v>
      </c>
      <c r="E117" s="7">
        <v>0</v>
      </c>
      <c r="F117" s="7">
        <v>0</v>
      </c>
      <c r="G117" s="7">
        <v>0</v>
      </c>
      <c r="H117" s="7">
        <v>0</v>
      </c>
      <c r="I117" s="30">
        <v>0</v>
      </c>
      <c r="J117" s="13">
        <v>0</v>
      </c>
      <c r="K117" s="31"/>
      <c r="L117" s="34">
        <v>0</v>
      </c>
    </row>
    <row r="118" spans="1:13" ht="14.4">
      <c r="A118" s="21" t="s">
        <v>100</v>
      </c>
      <c r="B118" s="21" t="s">
        <v>99</v>
      </c>
      <c r="C118" s="21" t="s">
        <v>107</v>
      </c>
      <c r="D118" s="26">
        <v>2901</v>
      </c>
      <c r="E118" s="7">
        <v>0</v>
      </c>
      <c r="F118" s="7">
        <v>0</v>
      </c>
      <c r="G118" s="7">
        <v>0</v>
      </c>
      <c r="H118" s="7">
        <v>0</v>
      </c>
      <c r="I118" s="30">
        <v>0</v>
      </c>
      <c r="J118" s="13">
        <v>0</v>
      </c>
      <c r="K118" s="32"/>
      <c r="L118" s="34">
        <v>0</v>
      </c>
    </row>
    <row r="119" spans="1:13">
      <c r="D119" s="11"/>
      <c r="E119" s="70"/>
      <c r="F119" s="70"/>
      <c r="G119" s="70"/>
      <c r="H119" s="70"/>
      <c r="I119" s="68">
        <v>6625.7200000000012</v>
      </c>
      <c r="J119" s="69"/>
      <c r="K119" s="71"/>
      <c r="L119" s="34">
        <v>5125.7199999999993</v>
      </c>
    </row>
    <row r="122" spans="1:13" ht="14.4">
      <c r="A122" s="17" t="s">
        <v>116</v>
      </c>
      <c r="B122" s="17"/>
      <c r="J122" s="25" t="s">
        <v>109</v>
      </c>
    </row>
    <row r="123" spans="1:13" ht="14.4" thickBot="1">
      <c r="A123" t="s">
        <v>1</v>
      </c>
      <c r="B123" t="s">
        <v>0</v>
      </c>
      <c r="C123" t="s">
        <v>104</v>
      </c>
      <c r="D123" t="s">
        <v>87</v>
      </c>
      <c r="E123" t="s">
        <v>2</v>
      </c>
      <c r="F123" t="s">
        <v>3</v>
      </c>
      <c r="G123" t="s">
        <v>4</v>
      </c>
      <c r="H123" t="s">
        <v>5</v>
      </c>
      <c r="I123" t="s">
        <v>65</v>
      </c>
      <c r="J123" t="s">
        <v>108</v>
      </c>
      <c r="K123" t="s">
        <v>90</v>
      </c>
      <c r="L123" s="11" t="s">
        <v>64</v>
      </c>
      <c r="M123" t="s">
        <v>113</v>
      </c>
    </row>
    <row r="124" spans="1:13" ht="14.4">
      <c r="A124" t="s">
        <v>89</v>
      </c>
      <c r="B124" t="s">
        <v>88</v>
      </c>
      <c r="C124" t="s">
        <v>105</v>
      </c>
      <c r="D124" s="11">
        <v>2900</v>
      </c>
      <c r="E124" s="7">
        <v>732.60000000000014</v>
      </c>
      <c r="F124" s="7">
        <v>0</v>
      </c>
      <c r="G124" s="7">
        <v>0</v>
      </c>
      <c r="H124" s="7">
        <v>37</v>
      </c>
      <c r="I124" s="30">
        <v>769.60000000000014</v>
      </c>
      <c r="J124" s="13">
        <v>0</v>
      </c>
      <c r="K124" s="31"/>
      <c r="L124" s="33">
        <v>769.60000000000014</v>
      </c>
    </row>
    <row r="125" spans="1:13" ht="14.4">
      <c r="A125" t="s">
        <v>46</v>
      </c>
      <c r="B125" t="s">
        <v>30</v>
      </c>
      <c r="C125" t="s">
        <v>105</v>
      </c>
      <c r="D125" s="11">
        <v>2900</v>
      </c>
      <c r="E125" s="7">
        <v>550</v>
      </c>
      <c r="F125" s="7">
        <v>0</v>
      </c>
      <c r="G125" s="7">
        <v>0</v>
      </c>
      <c r="H125" s="7">
        <v>0</v>
      </c>
      <c r="I125" s="30">
        <v>550</v>
      </c>
      <c r="J125" s="13">
        <v>0</v>
      </c>
      <c r="K125" s="31"/>
      <c r="L125" s="34">
        <v>550</v>
      </c>
    </row>
    <row r="126" spans="1:13" ht="14.4">
      <c r="A126" t="s">
        <v>47</v>
      </c>
      <c r="B126" t="s">
        <v>38</v>
      </c>
      <c r="C126" t="s">
        <v>105</v>
      </c>
      <c r="D126" s="11">
        <v>2900</v>
      </c>
      <c r="E126" s="7">
        <v>757.90000000000009</v>
      </c>
      <c r="F126" s="7">
        <v>0</v>
      </c>
      <c r="G126" s="7">
        <v>0</v>
      </c>
      <c r="H126" s="7">
        <v>5.5</v>
      </c>
      <c r="I126" s="30">
        <v>763.40000000000009</v>
      </c>
      <c r="J126" s="13">
        <v>0</v>
      </c>
      <c r="K126" s="31"/>
      <c r="L126" s="34">
        <v>763.40000000000009</v>
      </c>
    </row>
    <row r="127" spans="1:13" ht="14.4">
      <c r="A127" t="s">
        <v>55</v>
      </c>
      <c r="B127" t="s">
        <v>45</v>
      </c>
      <c r="C127" t="s">
        <v>105</v>
      </c>
      <c r="D127" s="11">
        <v>2901</v>
      </c>
      <c r="E127" s="7">
        <v>398.20000000000005</v>
      </c>
      <c r="F127" s="7">
        <v>0</v>
      </c>
      <c r="G127" s="7">
        <v>0</v>
      </c>
      <c r="H127" s="7">
        <v>0</v>
      </c>
      <c r="I127" s="30">
        <v>398.20000000000005</v>
      </c>
      <c r="J127" s="13">
        <v>0</v>
      </c>
      <c r="K127" s="31">
        <v>300</v>
      </c>
      <c r="L127" s="34">
        <v>698.2</v>
      </c>
      <c r="M127" t="s">
        <v>114</v>
      </c>
    </row>
    <row r="128" spans="1:13" ht="14.4">
      <c r="A128" t="s">
        <v>54</v>
      </c>
      <c r="B128" t="s">
        <v>44</v>
      </c>
      <c r="C128" t="s">
        <v>105</v>
      </c>
      <c r="D128" s="11">
        <v>2901</v>
      </c>
      <c r="E128" s="7">
        <v>409.20000000000005</v>
      </c>
      <c r="F128" s="7">
        <v>0</v>
      </c>
      <c r="G128" s="7">
        <v>0</v>
      </c>
      <c r="H128" s="7">
        <v>0</v>
      </c>
      <c r="I128" s="30">
        <v>409.20000000000005</v>
      </c>
      <c r="J128" s="13">
        <v>0</v>
      </c>
      <c r="K128" s="31"/>
      <c r="L128" s="34">
        <v>409.20000000000005</v>
      </c>
    </row>
    <row r="129" spans="1:13" ht="14.4">
      <c r="A129" t="s">
        <v>53</v>
      </c>
      <c r="B129" t="s">
        <v>43</v>
      </c>
      <c r="C129" t="s">
        <v>105</v>
      </c>
      <c r="D129" s="11">
        <v>2901</v>
      </c>
      <c r="E129" s="7">
        <v>570.90000000000009</v>
      </c>
      <c r="F129" s="7">
        <v>0</v>
      </c>
      <c r="G129" s="7">
        <v>0</v>
      </c>
      <c r="H129" s="7">
        <v>12</v>
      </c>
      <c r="I129" s="30">
        <v>582.90000000000009</v>
      </c>
      <c r="J129" s="13">
        <v>0</v>
      </c>
      <c r="K129" s="31"/>
      <c r="L129" s="34">
        <v>582.90000000000009</v>
      </c>
    </row>
    <row r="130" spans="1:13" ht="14.4">
      <c r="A130" t="s">
        <v>51</v>
      </c>
      <c r="B130" t="s">
        <v>41</v>
      </c>
      <c r="C130" t="s">
        <v>105</v>
      </c>
      <c r="D130" s="11">
        <v>2902</v>
      </c>
      <c r="E130" s="7">
        <v>970.2</v>
      </c>
      <c r="F130" s="7">
        <v>0</v>
      </c>
      <c r="G130" s="7">
        <v>0</v>
      </c>
      <c r="H130" s="7">
        <v>0</v>
      </c>
      <c r="I130" s="30">
        <v>970.2</v>
      </c>
      <c r="J130" s="13">
        <v>0</v>
      </c>
      <c r="K130" s="31"/>
      <c r="L130" s="34">
        <v>970.2</v>
      </c>
    </row>
    <row r="131" spans="1:13" ht="14.4">
      <c r="A131" t="s">
        <v>48</v>
      </c>
      <c r="B131" t="s">
        <v>39</v>
      </c>
      <c r="C131" t="s">
        <v>105</v>
      </c>
      <c r="D131" s="11">
        <v>2902</v>
      </c>
      <c r="E131" s="7">
        <v>782.1</v>
      </c>
      <c r="F131" s="7">
        <v>60</v>
      </c>
      <c r="G131" s="7">
        <v>0</v>
      </c>
      <c r="H131" s="7">
        <v>0</v>
      </c>
      <c r="I131" s="30">
        <v>842.1</v>
      </c>
      <c r="J131" s="13">
        <v>0</v>
      </c>
      <c r="K131" s="31">
        <v>500</v>
      </c>
      <c r="L131" s="34">
        <v>1342.1</v>
      </c>
      <c r="M131" t="s">
        <v>115</v>
      </c>
    </row>
    <row r="132" spans="1:13" ht="14.4">
      <c r="A132" t="s">
        <v>52</v>
      </c>
      <c r="B132" t="s">
        <v>42</v>
      </c>
      <c r="C132" t="s">
        <v>105</v>
      </c>
      <c r="D132" s="11">
        <v>2902</v>
      </c>
      <c r="E132" s="7">
        <v>688.60000000000014</v>
      </c>
      <c r="F132" s="7">
        <v>0</v>
      </c>
      <c r="G132" s="7">
        <v>0</v>
      </c>
      <c r="H132" s="7">
        <v>0</v>
      </c>
      <c r="I132" s="30">
        <v>688.60000000000014</v>
      </c>
      <c r="J132" s="13">
        <v>0</v>
      </c>
      <c r="K132" s="72"/>
      <c r="L132" s="34">
        <v>688.60000000000014</v>
      </c>
    </row>
    <row r="133" spans="1:13" ht="14.4">
      <c r="A133" s="64" t="s">
        <v>50</v>
      </c>
      <c r="B133" s="64" t="s">
        <v>24</v>
      </c>
      <c r="C133" s="64" t="s">
        <v>106</v>
      </c>
      <c r="D133" s="73">
        <v>2902</v>
      </c>
      <c r="E133" s="7">
        <v>0</v>
      </c>
      <c r="F133" s="7">
        <v>0</v>
      </c>
      <c r="G133" s="7">
        <v>0</v>
      </c>
      <c r="H133" s="7">
        <v>0</v>
      </c>
      <c r="I133" s="30">
        <v>0</v>
      </c>
      <c r="J133" s="13">
        <v>0</v>
      </c>
      <c r="K133" s="72">
        <v>460</v>
      </c>
      <c r="L133" s="34">
        <v>460</v>
      </c>
      <c r="M133" t="s">
        <v>112</v>
      </c>
    </row>
    <row r="134" spans="1:13" ht="14.4">
      <c r="A134" s="21" t="s">
        <v>103</v>
      </c>
      <c r="B134" s="21" t="s">
        <v>92</v>
      </c>
      <c r="C134" s="21" t="s">
        <v>107</v>
      </c>
      <c r="D134" s="26">
        <v>2902</v>
      </c>
      <c r="E134" s="7">
        <v>92.4</v>
      </c>
      <c r="F134" s="7">
        <v>0</v>
      </c>
      <c r="G134" s="7">
        <v>0</v>
      </c>
      <c r="H134" s="7">
        <v>0</v>
      </c>
      <c r="I134" s="30">
        <v>92.4</v>
      </c>
      <c r="J134" s="13">
        <v>0</v>
      </c>
      <c r="K134" s="31"/>
      <c r="L134" s="34">
        <v>92.4</v>
      </c>
    </row>
    <row r="135" spans="1:13" ht="14.4">
      <c r="A135" s="21" t="s">
        <v>102</v>
      </c>
      <c r="B135" s="21" t="s">
        <v>101</v>
      </c>
      <c r="C135" s="21" t="s">
        <v>107</v>
      </c>
      <c r="D135" s="26">
        <v>2902</v>
      </c>
      <c r="E135" s="7">
        <v>0</v>
      </c>
      <c r="F135" s="7">
        <v>0</v>
      </c>
      <c r="G135" s="7">
        <v>0</v>
      </c>
      <c r="H135" s="7">
        <v>0</v>
      </c>
      <c r="I135" s="30">
        <v>0</v>
      </c>
      <c r="J135" s="13">
        <v>0</v>
      </c>
      <c r="K135" s="31"/>
      <c r="L135" s="34">
        <v>0</v>
      </c>
    </row>
    <row r="136" spans="1:13" ht="14.4">
      <c r="A136" s="21" t="s">
        <v>83</v>
      </c>
      <c r="B136" s="21" t="s">
        <v>81</v>
      </c>
      <c r="C136" s="21" t="s">
        <v>107</v>
      </c>
      <c r="D136" s="26">
        <v>2900</v>
      </c>
      <c r="E136" s="7">
        <v>0</v>
      </c>
      <c r="F136" s="7">
        <v>0</v>
      </c>
      <c r="G136" s="7">
        <v>0</v>
      </c>
      <c r="H136" s="7">
        <v>0</v>
      </c>
      <c r="I136" s="30">
        <v>0</v>
      </c>
      <c r="J136" s="13">
        <v>0</v>
      </c>
      <c r="K136" s="31"/>
      <c r="L136" s="34">
        <v>0</v>
      </c>
    </row>
    <row r="137" spans="1:13" ht="14.4">
      <c r="A137" s="21" t="s">
        <v>100</v>
      </c>
      <c r="B137" s="21" t="s">
        <v>99</v>
      </c>
      <c r="C137" s="21" t="s">
        <v>107</v>
      </c>
      <c r="D137" s="26">
        <v>2901</v>
      </c>
      <c r="E137" s="7">
        <v>0</v>
      </c>
      <c r="F137" s="7">
        <v>0</v>
      </c>
      <c r="G137" s="7">
        <v>0</v>
      </c>
      <c r="H137" s="7">
        <v>0</v>
      </c>
      <c r="I137" s="30">
        <v>0</v>
      </c>
      <c r="J137" s="13">
        <v>0</v>
      </c>
      <c r="K137" s="32"/>
      <c r="L137" s="34">
        <v>0</v>
      </c>
    </row>
    <row r="138" spans="1:13">
      <c r="D138" s="11"/>
      <c r="E138" s="70"/>
      <c r="F138" s="70"/>
      <c r="G138" s="70"/>
      <c r="H138" s="70"/>
      <c r="I138" s="68">
        <v>6066.6</v>
      </c>
      <c r="J138" s="69"/>
      <c r="K138" s="71"/>
      <c r="L138" s="34">
        <v>7326.6</v>
      </c>
    </row>
    <row r="141" spans="1:13" ht="14.4">
      <c r="A141" s="17" t="s">
        <v>119</v>
      </c>
      <c r="B141" s="17"/>
      <c r="J141" s="25" t="s">
        <v>109</v>
      </c>
    </row>
    <row r="142" spans="1:13" ht="14.4" thickBot="1">
      <c r="A142" t="s">
        <v>1</v>
      </c>
      <c r="B142" t="s">
        <v>0</v>
      </c>
      <c r="C142" t="s">
        <v>104</v>
      </c>
      <c r="D142" t="s">
        <v>87</v>
      </c>
      <c r="E142" t="s">
        <v>2</v>
      </c>
      <c r="F142" t="s">
        <v>3</v>
      </c>
      <c r="G142" t="s">
        <v>4</v>
      </c>
      <c r="H142" t="s">
        <v>5</v>
      </c>
      <c r="I142" t="s">
        <v>65</v>
      </c>
      <c r="J142" t="s">
        <v>108</v>
      </c>
      <c r="K142" t="s">
        <v>90</v>
      </c>
      <c r="L142" s="11" t="s">
        <v>64</v>
      </c>
      <c r="M142" t="s">
        <v>113</v>
      </c>
    </row>
    <row r="143" spans="1:13" ht="14.4">
      <c r="A143" t="s">
        <v>89</v>
      </c>
      <c r="B143" t="s">
        <v>88</v>
      </c>
      <c r="C143" t="s">
        <v>105</v>
      </c>
      <c r="D143" s="11">
        <v>2900</v>
      </c>
      <c r="E143" s="7">
        <v>919.60000000000014</v>
      </c>
      <c r="F143" s="7">
        <v>0</v>
      </c>
      <c r="G143" s="7">
        <v>0</v>
      </c>
      <c r="H143" s="7">
        <v>0</v>
      </c>
      <c r="I143" s="30">
        <v>919.60000000000014</v>
      </c>
      <c r="J143" s="13">
        <v>0</v>
      </c>
      <c r="K143" s="31"/>
      <c r="L143" s="33">
        <v>919.60000000000014</v>
      </c>
    </row>
    <row r="144" spans="1:13" ht="14.4">
      <c r="A144" t="s">
        <v>46</v>
      </c>
      <c r="B144" t="s">
        <v>30</v>
      </c>
      <c r="C144" t="s">
        <v>105</v>
      </c>
      <c r="D144" s="11">
        <v>2900</v>
      </c>
      <c r="E144" s="7">
        <v>607.20000000000005</v>
      </c>
      <c r="F144" s="7">
        <v>0</v>
      </c>
      <c r="G144" s="7">
        <v>0</v>
      </c>
      <c r="H144" s="7">
        <v>0</v>
      </c>
      <c r="I144" s="30">
        <v>607.20000000000005</v>
      </c>
      <c r="J144" s="13">
        <v>0</v>
      </c>
      <c r="K144" s="31"/>
      <c r="L144" s="34">
        <v>607.20000000000005</v>
      </c>
    </row>
    <row r="145" spans="1:12" ht="14.4">
      <c r="A145" t="s">
        <v>47</v>
      </c>
      <c r="B145" t="s">
        <v>38</v>
      </c>
      <c r="C145" t="s">
        <v>105</v>
      </c>
      <c r="D145" s="11">
        <v>2900</v>
      </c>
      <c r="E145" s="7">
        <v>630.29999999999995</v>
      </c>
      <c r="F145" s="7">
        <v>0</v>
      </c>
      <c r="G145" s="7">
        <v>0</v>
      </c>
      <c r="H145" s="7">
        <v>0</v>
      </c>
      <c r="I145" s="30">
        <v>630.29999999999995</v>
      </c>
      <c r="J145" s="13">
        <v>0</v>
      </c>
      <c r="K145" s="31"/>
      <c r="L145" s="34">
        <v>630.29999999999995</v>
      </c>
    </row>
    <row r="146" spans="1:12" ht="14.4">
      <c r="A146" t="s">
        <v>118</v>
      </c>
      <c r="B146" t="s">
        <v>117</v>
      </c>
      <c r="C146" t="s">
        <v>105</v>
      </c>
      <c r="D146" s="11">
        <v>2900</v>
      </c>
      <c r="E146" s="7">
        <v>132</v>
      </c>
      <c r="F146" s="7">
        <v>0</v>
      </c>
      <c r="G146" s="7">
        <v>0</v>
      </c>
      <c r="H146" s="7">
        <v>0</v>
      </c>
      <c r="I146" s="30">
        <v>132</v>
      </c>
      <c r="J146" s="13">
        <v>0</v>
      </c>
      <c r="K146" s="72">
        <v>500</v>
      </c>
      <c r="L146" s="34">
        <v>632</v>
      </c>
    </row>
    <row r="147" spans="1:12" ht="14.4">
      <c r="A147" t="s">
        <v>55</v>
      </c>
      <c r="B147" t="s">
        <v>45</v>
      </c>
      <c r="C147" t="s">
        <v>105</v>
      </c>
      <c r="D147" s="11">
        <v>2901</v>
      </c>
      <c r="E147" s="7">
        <v>328.90000000000003</v>
      </c>
      <c r="F147" s="7">
        <v>0</v>
      </c>
      <c r="G147" s="7">
        <v>0</v>
      </c>
      <c r="H147" s="7">
        <v>328</v>
      </c>
      <c r="I147" s="30">
        <v>656.90000000000009</v>
      </c>
      <c r="J147" s="13">
        <v>0</v>
      </c>
      <c r="K147" s="31">
        <v>-300</v>
      </c>
      <c r="L147" s="34">
        <v>356.90000000000009</v>
      </c>
    </row>
    <row r="148" spans="1:12" ht="14.4">
      <c r="A148" t="s">
        <v>54</v>
      </c>
      <c r="B148" t="s">
        <v>44</v>
      </c>
      <c r="C148" t="s">
        <v>105</v>
      </c>
      <c r="D148" s="11">
        <v>2901</v>
      </c>
      <c r="E148" s="7">
        <v>436.70000000000005</v>
      </c>
      <c r="F148" s="7">
        <v>0</v>
      </c>
      <c r="G148" s="7">
        <v>0</v>
      </c>
      <c r="H148" s="7">
        <v>0</v>
      </c>
      <c r="I148" s="30">
        <v>436.70000000000005</v>
      </c>
      <c r="J148" s="13">
        <v>0</v>
      </c>
      <c r="K148" s="31"/>
      <c r="L148" s="34">
        <v>436.70000000000005</v>
      </c>
    </row>
    <row r="149" spans="1:12" ht="14.4">
      <c r="A149" t="s">
        <v>53</v>
      </c>
      <c r="B149" t="s">
        <v>43</v>
      </c>
      <c r="C149" t="s">
        <v>105</v>
      </c>
      <c r="D149" s="11">
        <v>2901</v>
      </c>
      <c r="E149" s="7">
        <v>595.1</v>
      </c>
      <c r="F149" s="7">
        <v>0</v>
      </c>
      <c r="G149" s="7">
        <v>0</v>
      </c>
      <c r="H149" s="7">
        <v>30</v>
      </c>
      <c r="I149" s="30">
        <v>625.1</v>
      </c>
      <c r="J149" s="13">
        <v>0</v>
      </c>
      <c r="K149" s="31"/>
      <c r="L149" s="34">
        <v>625.1</v>
      </c>
    </row>
    <row r="150" spans="1:12" ht="14.4">
      <c r="A150" t="s">
        <v>51</v>
      </c>
      <c r="B150" t="s">
        <v>41</v>
      </c>
      <c r="C150" t="s">
        <v>105</v>
      </c>
      <c r="D150" s="11">
        <v>2902</v>
      </c>
      <c r="E150" s="7">
        <v>0</v>
      </c>
      <c r="F150" s="7">
        <v>0</v>
      </c>
      <c r="G150" s="7">
        <v>0</v>
      </c>
      <c r="H150" s="7">
        <v>0</v>
      </c>
      <c r="I150" s="30">
        <v>0</v>
      </c>
      <c r="J150" s="13">
        <v>0</v>
      </c>
      <c r="K150" s="31"/>
      <c r="L150" s="34">
        <v>0</v>
      </c>
    </row>
    <row r="151" spans="1:12" ht="14.4">
      <c r="A151" t="s">
        <v>48</v>
      </c>
      <c r="B151" t="s">
        <v>39</v>
      </c>
      <c r="C151" t="s">
        <v>105</v>
      </c>
      <c r="D151" s="11">
        <v>2902</v>
      </c>
      <c r="E151" s="7">
        <v>1404.7</v>
      </c>
      <c r="F151" s="7">
        <v>78.400000000000006</v>
      </c>
      <c r="G151" s="7">
        <v>28.6</v>
      </c>
      <c r="H151" s="7">
        <v>99</v>
      </c>
      <c r="I151" s="30">
        <v>1610.7</v>
      </c>
      <c r="J151" s="13">
        <v>623</v>
      </c>
      <c r="K151" s="32">
        <v>-500</v>
      </c>
      <c r="L151" s="34">
        <v>1110.7</v>
      </c>
    </row>
    <row r="152" spans="1:12" ht="14.4">
      <c r="A152" t="s">
        <v>52</v>
      </c>
      <c r="B152" t="s">
        <v>42</v>
      </c>
      <c r="C152" t="s">
        <v>105</v>
      </c>
      <c r="D152" s="11">
        <v>2902</v>
      </c>
      <c r="E152" s="7">
        <v>685.3</v>
      </c>
      <c r="F152" s="7">
        <v>0</v>
      </c>
      <c r="G152" s="7">
        <v>5</v>
      </c>
      <c r="H152" s="7">
        <v>47.25</v>
      </c>
      <c r="I152" s="30">
        <v>737.55</v>
      </c>
      <c r="J152" s="13">
        <v>0</v>
      </c>
      <c r="K152" s="72"/>
      <c r="L152" s="34">
        <v>737.55</v>
      </c>
    </row>
    <row r="153" spans="1:12" ht="14.4">
      <c r="A153" s="21" t="s">
        <v>83</v>
      </c>
      <c r="B153" s="21" t="s">
        <v>81</v>
      </c>
      <c r="C153" s="21" t="s">
        <v>107</v>
      </c>
      <c r="D153" s="26">
        <v>2900</v>
      </c>
      <c r="E153" s="7">
        <v>419.1</v>
      </c>
      <c r="F153" s="7">
        <v>0</v>
      </c>
      <c r="G153" s="7">
        <v>0</v>
      </c>
      <c r="H153" s="7">
        <v>0</v>
      </c>
      <c r="I153" s="30">
        <v>419.1</v>
      </c>
      <c r="J153" s="13">
        <v>0</v>
      </c>
      <c r="K153" s="31"/>
      <c r="L153" s="34">
        <v>419.1</v>
      </c>
    </row>
    <row r="154" spans="1:12" ht="14.4">
      <c r="A154" s="21" t="s">
        <v>100</v>
      </c>
      <c r="B154" s="21" t="s">
        <v>99</v>
      </c>
      <c r="C154" s="21" t="s">
        <v>107</v>
      </c>
      <c r="D154" s="26">
        <v>2901</v>
      </c>
      <c r="E154" s="7">
        <v>0</v>
      </c>
      <c r="F154" s="7">
        <v>0</v>
      </c>
      <c r="G154" s="7">
        <v>0</v>
      </c>
      <c r="H154" s="7">
        <v>0</v>
      </c>
      <c r="I154" s="30">
        <v>0</v>
      </c>
      <c r="J154" s="13">
        <v>0</v>
      </c>
      <c r="K154" s="72"/>
      <c r="L154" s="34">
        <v>0</v>
      </c>
    </row>
    <row r="155" spans="1:12" ht="14.4">
      <c r="A155" s="64" t="s">
        <v>50</v>
      </c>
      <c r="B155" s="64" t="s">
        <v>24</v>
      </c>
      <c r="C155" s="64" t="s">
        <v>106</v>
      </c>
      <c r="D155" s="73">
        <v>2902</v>
      </c>
      <c r="E155" s="7">
        <v>0</v>
      </c>
      <c r="F155" s="7">
        <v>0</v>
      </c>
      <c r="G155" s="7">
        <v>0</v>
      </c>
      <c r="H155" s="7">
        <v>449.57</v>
      </c>
      <c r="I155" s="30">
        <v>449.57</v>
      </c>
      <c r="J155" s="13">
        <v>0</v>
      </c>
      <c r="K155" s="72">
        <v>-460</v>
      </c>
      <c r="L155" s="34">
        <v>-10.430000000000007</v>
      </c>
    </row>
    <row r="156" spans="1:12" ht="14.4">
      <c r="A156" s="21" t="s">
        <v>103</v>
      </c>
      <c r="B156" s="21" t="s">
        <v>92</v>
      </c>
      <c r="C156" s="21" t="s">
        <v>107</v>
      </c>
      <c r="D156" s="26">
        <v>2902</v>
      </c>
      <c r="E156" s="7">
        <v>0</v>
      </c>
      <c r="F156" s="7">
        <v>0</v>
      </c>
      <c r="G156" s="7">
        <v>0</v>
      </c>
      <c r="H156" s="7">
        <v>0</v>
      </c>
      <c r="I156" s="30">
        <v>0</v>
      </c>
      <c r="J156" s="13">
        <v>0</v>
      </c>
      <c r="K156" s="31"/>
      <c r="L156" s="34">
        <v>0</v>
      </c>
    </row>
    <row r="157" spans="1:12" ht="14.4">
      <c r="A157" s="21" t="s">
        <v>102</v>
      </c>
      <c r="B157" s="21" t="s">
        <v>101</v>
      </c>
      <c r="C157" s="21" t="s">
        <v>107</v>
      </c>
      <c r="D157" s="26">
        <v>2902</v>
      </c>
      <c r="E157" s="7">
        <v>0</v>
      </c>
      <c r="F157" s="7">
        <v>0</v>
      </c>
      <c r="G157" s="7">
        <v>0</v>
      </c>
      <c r="H157" s="7">
        <v>0</v>
      </c>
      <c r="I157" s="30">
        <v>0</v>
      </c>
      <c r="J157" s="13">
        <v>0</v>
      </c>
      <c r="K157" s="32"/>
      <c r="L157" s="34">
        <v>0</v>
      </c>
    </row>
    <row r="158" spans="1:12">
      <c r="D158" s="11"/>
      <c r="E158" s="70"/>
      <c r="F158" s="70"/>
      <c r="G158" s="70"/>
      <c r="H158" s="70"/>
      <c r="I158" s="68">
        <v>7224.7200000000012</v>
      </c>
      <c r="J158" s="69"/>
      <c r="K158" s="71"/>
      <c r="L158" s="34">
        <v>6464.7200000000012</v>
      </c>
    </row>
    <row r="161" spans="1:13" ht="14.4">
      <c r="A161" s="17" t="s">
        <v>120</v>
      </c>
      <c r="B161" s="17"/>
      <c r="J161" s="25" t="s">
        <v>109</v>
      </c>
    </row>
    <row r="162" spans="1:13" ht="14.4" thickBot="1">
      <c r="A162" t="s">
        <v>1</v>
      </c>
      <c r="B162" t="s">
        <v>0</v>
      </c>
      <c r="C162" t="s">
        <v>104</v>
      </c>
      <c r="D162" t="s">
        <v>87</v>
      </c>
      <c r="E162" t="s">
        <v>2</v>
      </c>
      <c r="F162" t="s">
        <v>3</v>
      </c>
      <c r="G162" t="s">
        <v>4</v>
      </c>
      <c r="H162" t="s">
        <v>5</v>
      </c>
      <c r="I162" t="s">
        <v>65</v>
      </c>
      <c r="J162" t="s">
        <v>108</v>
      </c>
      <c r="K162" t="s">
        <v>90</v>
      </c>
      <c r="L162" s="11" t="s">
        <v>64</v>
      </c>
      <c r="M162" t="s">
        <v>113</v>
      </c>
    </row>
    <row r="163" spans="1:13" ht="14.4">
      <c r="A163" t="s">
        <v>89</v>
      </c>
      <c r="B163" t="s">
        <v>88</v>
      </c>
      <c r="C163" t="s">
        <v>105</v>
      </c>
      <c r="D163" s="11">
        <v>2900</v>
      </c>
      <c r="E163" s="7">
        <v>1081.3000000000002</v>
      </c>
      <c r="F163" s="7">
        <v>50</v>
      </c>
      <c r="G163" s="7">
        <v>0</v>
      </c>
      <c r="H163" s="7">
        <v>0</v>
      </c>
      <c r="I163" s="30">
        <v>1131.3000000000002</v>
      </c>
      <c r="J163" s="13">
        <v>0</v>
      </c>
      <c r="K163" s="31">
        <v>1000</v>
      </c>
      <c r="L163" s="33">
        <v>2131.3000000000002</v>
      </c>
      <c r="M163" t="s">
        <v>121</v>
      </c>
    </row>
    <row r="164" spans="1:13" ht="14.4">
      <c r="A164" t="s">
        <v>46</v>
      </c>
      <c r="B164" t="s">
        <v>30</v>
      </c>
      <c r="C164" t="s">
        <v>105</v>
      </c>
      <c r="D164" s="11">
        <v>2900</v>
      </c>
      <c r="E164" s="7">
        <v>497.2</v>
      </c>
      <c r="F164" s="7">
        <v>0</v>
      </c>
      <c r="G164" s="7">
        <v>0</v>
      </c>
      <c r="H164" s="7">
        <v>0</v>
      </c>
      <c r="I164" s="30">
        <v>497.2</v>
      </c>
      <c r="J164" s="13">
        <v>0</v>
      </c>
      <c r="K164" s="31"/>
      <c r="L164" s="34">
        <v>497.2</v>
      </c>
    </row>
    <row r="165" spans="1:13" ht="14.4">
      <c r="A165" t="s">
        <v>47</v>
      </c>
      <c r="B165" t="s">
        <v>38</v>
      </c>
      <c r="C165" t="s">
        <v>105</v>
      </c>
      <c r="D165" s="11">
        <v>2900</v>
      </c>
      <c r="E165" s="7">
        <v>311.3</v>
      </c>
      <c r="F165" s="7">
        <v>0</v>
      </c>
      <c r="G165" s="7">
        <v>0</v>
      </c>
      <c r="H165" s="7">
        <v>0</v>
      </c>
      <c r="I165" s="30">
        <v>311.3</v>
      </c>
      <c r="J165" s="13">
        <v>0</v>
      </c>
      <c r="K165" s="31"/>
      <c r="L165" s="34">
        <v>311.3</v>
      </c>
    </row>
    <row r="166" spans="1:13" ht="14.4">
      <c r="A166" t="s">
        <v>118</v>
      </c>
      <c r="B166" t="s">
        <v>117</v>
      </c>
      <c r="C166" t="s">
        <v>105</v>
      </c>
      <c r="D166" s="11">
        <v>2900</v>
      </c>
      <c r="E166" s="7">
        <v>304.70000000000005</v>
      </c>
      <c r="F166" s="7">
        <v>0</v>
      </c>
      <c r="G166" s="7">
        <v>0</v>
      </c>
      <c r="H166" s="7">
        <v>0</v>
      </c>
      <c r="I166" s="30">
        <v>304.70000000000005</v>
      </c>
      <c r="J166" s="13">
        <v>0</v>
      </c>
      <c r="K166" s="72"/>
      <c r="L166" s="34">
        <v>304.70000000000005</v>
      </c>
    </row>
    <row r="167" spans="1:13" ht="14.4">
      <c r="A167" t="s">
        <v>55</v>
      </c>
      <c r="B167" t="s">
        <v>45</v>
      </c>
      <c r="C167" t="s">
        <v>105</v>
      </c>
      <c r="D167" s="11">
        <v>2901</v>
      </c>
      <c r="E167" s="7">
        <v>505.99999999999994</v>
      </c>
      <c r="F167" s="7">
        <v>0</v>
      </c>
      <c r="G167" s="7">
        <v>0</v>
      </c>
      <c r="H167" s="7">
        <v>0</v>
      </c>
      <c r="I167" s="30">
        <v>505.99999999999994</v>
      </c>
      <c r="J167" s="13">
        <v>0</v>
      </c>
      <c r="K167" s="31"/>
      <c r="L167" s="34">
        <v>505.99999999999994</v>
      </c>
    </row>
    <row r="168" spans="1:13" ht="14.4">
      <c r="A168" t="s">
        <v>54</v>
      </c>
      <c r="B168" t="s">
        <v>44</v>
      </c>
      <c r="C168" t="s">
        <v>105</v>
      </c>
      <c r="D168" s="11">
        <v>2901</v>
      </c>
      <c r="E168" s="7">
        <v>341.00000000000006</v>
      </c>
      <c r="F168" s="7">
        <v>0</v>
      </c>
      <c r="G168" s="7">
        <v>0</v>
      </c>
      <c r="H168" s="7">
        <v>44</v>
      </c>
      <c r="I168" s="30">
        <v>385.00000000000006</v>
      </c>
      <c r="J168" s="13">
        <v>0</v>
      </c>
      <c r="K168" s="31"/>
      <c r="L168" s="34">
        <v>385.00000000000006</v>
      </c>
    </row>
    <row r="169" spans="1:13" ht="14.4">
      <c r="A169" t="s">
        <v>53</v>
      </c>
      <c r="B169" t="s">
        <v>43</v>
      </c>
      <c r="C169" t="s">
        <v>105</v>
      </c>
      <c r="D169" s="11">
        <v>2901</v>
      </c>
      <c r="E169" s="7">
        <v>782.1</v>
      </c>
      <c r="F169" s="7">
        <v>5.2</v>
      </c>
      <c r="G169" s="7">
        <v>0</v>
      </c>
      <c r="H169" s="7">
        <v>0</v>
      </c>
      <c r="I169" s="30">
        <v>787.30000000000007</v>
      </c>
      <c r="J169" s="13">
        <v>0</v>
      </c>
      <c r="K169" s="31"/>
      <c r="L169" s="34">
        <v>787.30000000000007</v>
      </c>
    </row>
    <row r="170" spans="1:13" ht="14.4">
      <c r="A170" t="s">
        <v>51</v>
      </c>
      <c r="B170" t="s">
        <v>41</v>
      </c>
      <c r="C170" t="s">
        <v>105</v>
      </c>
      <c r="D170" s="11">
        <v>2902</v>
      </c>
      <c r="E170" s="7">
        <v>572</v>
      </c>
      <c r="F170" s="7">
        <v>0</v>
      </c>
      <c r="G170" s="7">
        <v>0</v>
      </c>
      <c r="H170" s="7">
        <v>7</v>
      </c>
      <c r="I170" s="30">
        <v>579</v>
      </c>
      <c r="J170" s="13">
        <v>0</v>
      </c>
      <c r="K170" s="31"/>
      <c r="L170" s="34">
        <v>579</v>
      </c>
    </row>
    <row r="171" spans="1:13" ht="14.4">
      <c r="A171" t="s">
        <v>48</v>
      </c>
      <c r="B171" t="s">
        <v>39</v>
      </c>
      <c r="C171" t="s">
        <v>105</v>
      </c>
      <c r="D171" s="11">
        <v>2902</v>
      </c>
      <c r="E171" s="7">
        <v>716.1</v>
      </c>
      <c r="F171" s="7">
        <v>40</v>
      </c>
      <c r="G171" s="7">
        <v>0</v>
      </c>
      <c r="H171" s="7">
        <v>0</v>
      </c>
      <c r="I171" s="30">
        <v>756.1</v>
      </c>
      <c r="J171" s="13">
        <v>0</v>
      </c>
      <c r="K171" s="32"/>
      <c r="L171" s="34">
        <v>756.1</v>
      </c>
    </row>
    <row r="172" spans="1:13" ht="14.4">
      <c r="A172" t="s">
        <v>52</v>
      </c>
      <c r="B172" t="s">
        <v>42</v>
      </c>
      <c r="C172" t="s">
        <v>105</v>
      </c>
      <c r="D172" s="11">
        <v>2902</v>
      </c>
      <c r="E172" s="7">
        <v>716.1</v>
      </c>
      <c r="F172" s="7">
        <v>0</v>
      </c>
      <c r="G172" s="7">
        <v>0</v>
      </c>
      <c r="H172" s="7">
        <v>0</v>
      </c>
      <c r="I172" s="30">
        <v>716.1</v>
      </c>
      <c r="J172" s="13">
        <v>0</v>
      </c>
      <c r="K172" s="72"/>
      <c r="L172" s="34">
        <v>716.1</v>
      </c>
    </row>
    <row r="173" spans="1:13" ht="14.4">
      <c r="A173" s="21" t="s">
        <v>83</v>
      </c>
      <c r="B173" s="21" t="s">
        <v>81</v>
      </c>
      <c r="C173" s="21" t="s">
        <v>107</v>
      </c>
      <c r="D173" s="26">
        <v>2900</v>
      </c>
      <c r="E173" s="7">
        <v>0</v>
      </c>
      <c r="F173" s="7">
        <v>0</v>
      </c>
      <c r="G173" s="7">
        <v>0</v>
      </c>
      <c r="H173" s="7">
        <v>0</v>
      </c>
      <c r="I173" s="30">
        <v>0</v>
      </c>
      <c r="J173" s="13">
        <v>0</v>
      </c>
      <c r="K173" s="31"/>
      <c r="L173" s="34">
        <v>0</v>
      </c>
    </row>
    <row r="174" spans="1:13" ht="14.4">
      <c r="A174" s="21" t="s">
        <v>100</v>
      </c>
      <c r="B174" s="21" t="s">
        <v>99</v>
      </c>
      <c r="C174" s="21" t="s">
        <v>107</v>
      </c>
      <c r="D174" s="26">
        <v>2901</v>
      </c>
      <c r="E174" s="7">
        <v>0</v>
      </c>
      <c r="F174" s="7">
        <v>0</v>
      </c>
      <c r="G174" s="7">
        <v>0</v>
      </c>
      <c r="H174" s="7">
        <v>0</v>
      </c>
      <c r="I174" s="30">
        <v>0</v>
      </c>
      <c r="J174" s="13">
        <v>0</v>
      </c>
      <c r="K174" s="72"/>
      <c r="L174" s="34">
        <v>0</v>
      </c>
    </row>
    <row r="175" spans="1:13" ht="14.4">
      <c r="A175" s="64" t="s">
        <v>50</v>
      </c>
      <c r="B175" s="64" t="s">
        <v>24</v>
      </c>
      <c r="C175" s="64" t="s">
        <v>106</v>
      </c>
      <c r="D175" s="73">
        <v>2902</v>
      </c>
      <c r="E175" s="7">
        <v>0</v>
      </c>
      <c r="F175" s="7">
        <v>0</v>
      </c>
      <c r="G175" s="7">
        <v>0</v>
      </c>
      <c r="H175" s="7">
        <v>0</v>
      </c>
      <c r="I175" s="30">
        <v>0</v>
      </c>
      <c r="J175" s="13">
        <v>0</v>
      </c>
      <c r="K175" s="72"/>
      <c r="L175" s="34">
        <v>0</v>
      </c>
    </row>
    <row r="176" spans="1:13" ht="14.4">
      <c r="A176" s="21" t="s">
        <v>103</v>
      </c>
      <c r="B176" s="21" t="s">
        <v>92</v>
      </c>
      <c r="C176" s="21" t="s">
        <v>107</v>
      </c>
      <c r="D176" s="26">
        <v>2902</v>
      </c>
      <c r="E176" s="7">
        <v>0</v>
      </c>
      <c r="F176" s="7">
        <v>0</v>
      </c>
      <c r="G176" s="7">
        <v>0</v>
      </c>
      <c r="H176" s="7">
        <v>0</v>
      </c>
      <c r="I176" s="30">
        <v>0</v>
      </c>
      <c r="J176" s="13">
        <v>0</v>
      </c>
      <c r="K176" s="31"/>
      <c r="L176" s="34">
        <v>0</v>
      </c>
    </row>
    <row r="177" spans="1:13" ht="14.4">
      <c r="A177" s="21" t="s">
        <v>102</v>
      </c>
      <c r="B177" s="21" t="s">
        <v>101</v>
      </c>
      <c r="C177" s="21" t="s">
        <v>107</v>
      </c>
      <c r="D177" s="26">
        <v>2902</v>
      </c>
      <c r="E177" s="7">
        <v>0</v>
      </c>
      <c r="F177" s="7">
        <v>0</v>
      </c>
      <c r="G177" s="7">
        <v>0</v>
      </c>
      <c r="H177" s="7">
        <v>0</v>
      </c>
      <c r="I177" s="30">
        <v>0</v>
      </c>
      <c r="J177" s="13">
        <v>0</v>
      </c>
      <c r="K177" s="32"/>
      <c r="L177" s="34">
        <v>0</v>
      </c>
    </row>
    <row r="178" spans="1:13">
      <c r="D178" s="11"/>
      <c r="E178" s="70"/>
      <c r="F178" s="70"/>
      <c r="G178" s="70"/>
      <c r="H178" s="70"/>
      <c r="I178" s="68">
        <v>5974.0000000000009</v>
      </c>
      <c r="J178" s="69"/>
      <c r="K178" s="71"/>
      <c r="L178" s="34">
        <v>6974.0000000000009</v>
      </c>
    </row>
    <row r="179" spans="1:13">
      <c r="D179" s="11"/>
      <c r="E179" s="70"/>
      <c r="F179" s="70"/>
      <c r="G179" s="70"/>
      <c r="H179" s="70"/>
      <c r="I179" s="68"/>
      <c r="J179" s="69"/>
      <c r="K179" s="76"/>
      <c r="L179" s="77"/>
    </row>
    <row r="181" spans="1:13" ht="14.4">
      <c r="A181" s="17" t="s">
        <v>125</v>
      </c>
      <c r="B181" s="17"/>
      <c r="J181" s="25" t="s">
        <v>109</v>
      </c>
    </row>
    <row r="182" spans="1:13" ht="14.4" thickBot="1">
      <c r="A182" t="s">
        <v>1</v>
      </c>
      <c r="B182" t="s">
        <v>0</v>
      </c>
      <c r="C182" t="s">
        <v>104</v>
      </c>
      <c r="D182" t="s">
        <v>87</v>
      </c>
      <c r="E182" t="s">
        <v>2</v>
      </c>
      <c r="F182" t="s">
        <v>3</v>
      </c>
      <c r="G182" t="s">
        <v>4</v>
      </c>
      <c r="H182" t="s">
        <v>5</v>
      </c>
      <c r="I182" t="s">
        <v>65</v>
      </c>
      <c r="J182" t="s">
        <v>108</v>
      </c>
      <c r="K182" t="s">
        <v>90</v>
      </c>
      <c r="L182" s="11" t="s">
        <v>64</v>
      </c>
      <c r="M182" t="s">
        <v>113</v>
      </c>
    </row>
    <row r="183" spans="1:13" ht="14.4">
      <c r="A183" t="s">
        <v>89</v>
      </c>
      <c r="B183" t="s">
        <v>88</v>
      </c>
      <c r="C183" t="s">
        <v>105</v>
      </c>
      <c r="D183" s="11">
        <v>2900</v>
      </c>
      <c r="E183" s="7">
        <v>1405.8000000000002</v>
      </c>
      <c r="F183" s="7">
        <v>119.2</v>
      </c>
      <c r="G183" s="7">
        <v>0</v>
      </c>
      <c r="H183" s="7">
        <v>73.180000000000007</v>
      </c>
      <c r="I183" s="30">
        <v>1598.1800000000003</v>
      </c>
      <c r="J183" s="13">
        <v>595</v>
      </c>
      <c r="K183" s="31">
        <v>-1000</v>
      </c>
      <c r="L183" s="33">
        <v>598.18000000000029</v>
      </c>
    </row>
    <row r="184" spans="1:13" ht="14.4">
      <c r="A184" t="s">
        <v>46</v>
      </c>
      <c r="B184" t="s">
        <v>30</v>
      </c>
      <c r="C184" t="s">
        <v>105</v>
      </c>
      <c r="D184" s="11">
        <v>2900</v>
      </c>
      <c r="E184" s="7">
        <v>300.3</v>
      </c>
      <c r="F184" s="7">
        <v>0</v>
      </c>
      <c r="G184" s="7">
        <v>0</v>
      </c>
      <c r="H184" s="7">
        <v>0</v>
      </c>
      <c r="I184" s="30">
        <v>300.3</v>
      </c>
      <c r="J184" s="13">
        <v>0</v>
      </c>
      <c r="K184" s="31"/>
      <c r="L184" s="34">
        <v>300.3</v>
      </c>
    </row>
    <row r="185" spans="1:13" ht="14.4">
      <c r="A185" t="s">
        <v>118</v>
      </c>
      <c r="B185" t="s">
        <v>117</v>
      </c>
      <c r="C185" t="s">
        <v>105</v>
      </c>
      <c r="D185" s="11">
        <v>2900</v>
      </c>
      <c r="E185" s="7">
        <v>456.50000000000006</v>
      </c>
      <c r="F185" s="7">
        <v>0</v>
      </c>
      <c r="G185" s="7">
        <v>0</v>
      </c>
      <c r="H185" s="7">
        <v>0</v>
      </c>
      <c r="I185" s="30">
        <v>456.50000000000006</v>
      </c>
      <c r="J185" s="13">
        <v>0</v>
      </c>
      <c r="K185" s="72"/>
      <c r="L185" s="34">
        <v>456.50000000000006</v>
      </c>
    </row>
    <row r="186" spans="1:13" ht="14.4">
      <c r="A186" t="s">
        <v>55</v>
      </c>
      <c r="B186" t="s">
        <v>45</v>
      </c>
      <c r="C186" t="s">
        <v>105</v>
      </c>
      <c r="D186" s="11">
        <v>2901</v>
      </c>
      <c r="E186" s="7">
        <v>237.60000000000002</v>
      </c>
      <c r="F186" s="7">
        <v>0</v>
      </c>
      <c r="G186" s="7">
        <v>0</v>
      </c>
      <c r="H186" s="7">
        <v>25</v>
      </c>
      <c r="I186" s="30">
        <v>262.60000000000002</v>
      </c>
      <c r="J186" s="13">
        <v>0</v>
      </c>
      <c r="K186" s="31"/>
      <c r="L186" s="34">
        <v>262.60000000000002</v>
      </c>
    </row>
    <row r="187" spans="1:13" ht="14.4">
      <c r="A187" t="s">
        <v>54</v>
      </c>
      <c r="B187" t="s">
        <v>44</v>
      </c>
      <c r="C187" t="s">
        <v>105</v>
      </c>
      <c r="D187" s="11">
        <v>2901</v>
      </c>
      <c r="E187" s="7">
        <v>624.80000000000007</v>
      </c>
      <c r="F187" s="7">
        <v>0</v>
      </c>
      <c r="G187" s="7">
        <v>0</v>
      </c>
      <c r="H187" s="7">
        <v>53</v>
      </c>
      <c r="I187" s="30">
        <v>677.80000000000007</v>
      </c>
      <c r="J187" s="13">
        <v>0</v>
      </c>
      <c r="K187" s="31"/>
      <c r="L187" s="34">
        <v>677.80000000000007</v>
      </c>
    </row>
    <row r="188" spans="1:13" ht="14.4">
      <c r="A188" t="s">
        <v>53</v>
      </c>
      <c r="B188" t="s">
        <v>43</v>
      </c>
      <c r="C188" t="s">
        <v>105</v>
      </c>
      <c r="D188" s="11">
        <v>2901</v>
      </c>
      <c r="E188" s="7">
        <v>818.40000000000009</v>
      </c>
      <c r="F188" s="7">
        <v>0</v>
      </c>
      <c r="G188" s="7">
        <v>0</v>
      </c>
      <c r="H188" s="7">
        <v>24</v>
      </c>
      <c r="I188" s="30">
        <v>842.40000000000009</v>
      </c>
      <c r="J188" s="13">
        <v>0</v>
      </c>
      <c r="K188" s="31"/>
      <c r="L188" s="34">
        <v>842.40000000000009</v>
      </c>
    </row>
    <row r="189" spans="1:13" ht="14.4">
      <c r="A189" t="s">
        <v>51</v>
      </c>
      <c r="B189" t="s">
        <v>41</v>
      </c>
      <c r="C189" t="s">
        <v>105</v>
      </c>
      <c r="D189" s="11">
        <v>2902</v>
      </c>
      <c r="E189" s="7">
        <v>443.3</v>
      </c>
      <c r="F189" s="7">
        <v>0</v>
      </c>
      <c r="G189" s="7">
        <v>17</v>
      </c>
      <c r="H189" s="7">
        <v>11</v>
      </c>
      <c r="I189" s="30">
        <v>471.3</v>
      </c>
      <c r="J189" s="13">
        <v>0</v>
      </c>
      <c r="K189" s="31"/>
      <c r="L189" s="34">
        <v>471.3</v>
      </c>
    </row>
    <row r="190" spans="1:13" ht="14.4">
      <c r="A190" t="s">
        <v>48</v>
      </c>
      <c r="B190" t="s">
        <v>39</v>
      </c>
      <c r="C190" t="s">
        <v>105</v>
      </c>
      <c r="D190" s="11">
        <v>2902</v>
      </c>
      <c r="E190" s="7">
        <v>904.20000000000016</v>
      </c>
      <c r="F190" s="7">
        <v>40</v>
      </c>
      <c r="G190" s="7">
        <v>0</v>
      </c>
      <c r="H190" s="7">
        <v>0</v>
      </c>
      <c r="I190" s="30">
        <v>944.20000000000016</v>
      </c>
      <c r="J190" s="13">
        <v>0</v>
      </c>
      <c r="K190" s="32"/>
      <c r="L190" s="34">
        <v>944.20000000000016</v>
      </c>
    </row>
    <row r="191" spans="1:13" ht="14.4">
      <c r="A191" t="s">
        <v>52</v>
      </c>
      <c r="B191" t="s">
        <v>42</v>
      </c>
      <c r="C191" t="s">
        <v>105</v>
      </c>
      <c r="D191" s="11">
        <v>2902</v>
      </c>
      <c r="E191" s="7">
        <v>790.90000000000009</v>
      </c>
      <c r="F191" s="7">
        <v>12.6</v>
      </c>
      <c r="G191" s="7">
        <v>0</v>
      </c>
      <c r="H191" s="7">
        <v>0</v>
      </c>
      <c r="I191" s="30">
        <v>803.50000000000011</v>
      </c>
      <c r="J191" s="13">
        <v>0</v>
      </c>
      <c r="K191" s="72"/>
      <c r="L191" s="34">
        <v>803.50000000000011</v>
      </c>
    </row>
    <row r="192" spans="1:13" ht="14.4">
      <c r="A192" s="64"/>
      <c r="B192" s="64" t="s">
        <v>122</v>
      </c>
      <c r="C192" s="64" t="s">
        <v>123</v>
      </c>
      <c r="D192" s="73"/>
      <c r="E192" s="7">
        <v>220.00000000000003</v>
      </c>
      <c r="F192" s="7">
        <v>27.2</v>
      </c>
      <c r="G192" s="7">
        <v>0</v>
      </c>
      <c r="H192" s="7">
        <v>0</v>
      </c>
      <c r="I192" s="30">
        <v>247.20000000000002</v>
      </c>
      <c r="J192" s="13">
        <v>0</v>
      </c>
      <c r="K192" s="72">
        <v>-247.2</v>
      </c>
      <c r="L192" s="34">
        <v>0</v>
      </c>
      <c r="M192" t="s">
        <v>124</v>
      </c>
    </row>
    <row r="193" spans="1:13" ht="14.4">
      <c r="A193" s="21" t="s">
        <v>83</v>
      </c>
      <c r="B193" s="21" t="s">
        <v>81</v>
      </c>
      <c r="C193" s="21" t="s">
        <v>107</v>
      </c>
      <c r="D193" s="26">
        <v>2900</v>
      </c>
      <c r="E193" s="7">
        <v>0</v>
      </c>
      <c r="F193" s="7">
        <v>0</v>
      </c>
      <c r="G193" s="7">
        <v>0</v>
      </c>
      <c r="H193" s="7">
        <v>0</v>
      </c>
      <c r="I193" s="30">
        <v>0</v>
      </c>
      <c r="J193" s="13">
        <v>0</v>
      </c>
      <c r="K193" s="31"/>
      <c r="L193" s="34">
        <v>0</v>
      </c>
    </row>
    <row r="194" spans="1:13" ht="14.4">
      <c r="A194" s="21" t="s">
        <v>100</v>
      </c>
      <c r="B194" s="21" t="s">
        <v>99</v>
      </c>
      <c r="C194" s="21" t="s">
        <v>107</v>
      </c>
      <c r="D194" s="26">
        <v>2901</v>
      </c>
      <c r="E194" s="7">
        <v>0</v>
      </c>
      <c r="F194" s="7">
        <v>0</v>
      </c>
      <c r="G194" s="7">
        <v>0</v>
      </c>
      <c r="H194" s="7">
        <v>0</v>
      </c>
      <c r="I194" s="30">
        <v>0</v>
      </c>
      <c r="J194" s="13">
        <v>0</v>
      </c>
      <c r="K194" s="72"/>
      <c r="L194" s="34">
        <v>0</v>
      </c>
    </row>
    <row r="195" spans="1:13" ht="14.4">
      <c r="A195" s="64" t="s">
        <v>50</v>
      </c>
      <c r="B195" s="64" t="s">
        <v>24</v>
      </c>
      <c r="C195" s="64" t="s">
        <v>106</v>
      </c>
      <c r="D195" s="73">
        <v>2902</v>
      </c>
      <c r="E195" s="7">
        <v>0</v>
      </c>
      <c r="F195" s="7">
        <v>0</v>
      </c>
      <c r="G195" s="7">
        <v>0</v>
      </c>
      <c r="H195" s="7">
        <v>0</v>
      </c>
      <c r="I195" s="30">
        <v>0</v>
      </c>
      <c r="J195" s="13">
        <v>0</v>
      </c>
      <c r="K195" s="72"/>
      <c r="L195" s="34">
        <v>0</v>
      </c>
    </row>
    <row r="196" spans="1:13" ht="14.4">
      <c r="A196" s="21" t="s">
        <v>103</v>
      </c>
      <c r="B196" s="21" t="s">
        <v>92</v>
      </c>
      <c r="C196" s="21" t="s">
        <v>107</v>
      </c>
      <c r="D196" s="26">
        <v>2902</v>
      </c>
      <c r="E196" s="7">
        <v>0</v>
      </c>
      <c r="F196" s="7">
        <v>0</v>
      </c>
      <c r="G196" s="7">
        <v>0</v>
      </c>
      <c r="H196" s="7">
        <v>0</v>
      </c>
      <c r="I196" s="30">
        <v>0</v>
      </c>
      <c r="J196" s="13">
        <v>0</v>
      </c>
      <c r="K196" s="31"/>
      <c r="L196" s="34">
        <v>0</v>
      </c>
    </row>
    <row r="197" spans="1:13" ht="14.4">
      <c r="A197" s="21" t="s">
        <v>102</v>
      </c>
      <c r="B197" s="21" t="s">
        <v>101</v>
      </c>
      <c r="C197" s="21" t="s">
        <v>107</v>
      </c>
      <c r="D197" s="26">
        <v>2902</v>
      </c>
      <c r="E197" s="7">
        <v>0</v>
      </c>
      <c r="F197" s="7">
        <v>0</v>
      </c>
      <c r="G197" s="7">
        <v>0</v>
      </c>
      <c r="H197" s="7">
        <v>0</v>
      </c>
      <c r="I197" s="30">
        <v>0</v>
      </c>
      <c r="J197" s="13">
        <v>0</v>
      </c>
      <c r="K197" s="32"/>
      <c r="L197" s="34">
        <v>0</v>
      </c>
    </row>
    <row r="198" spans="1:13">
      <c r="D198" s="11"/>
      <c r="E198" s="70"/>
      <c r="F198" s="70"/>
      <c r="G198" s="70"/>
      <c r="H198" s="70"/>
      <c r="I198" s="68">
        <v>6603.9800000000005</v>
      </c>
      <c r="J198" s="69"/>
      <c r="K198" s="71"/>
      <c r="L198" s="34">
        <v>5356.7800000000007</v>
      </c>
    </row>
    <row r="201" spans="1:13" ht="14.4">
      <c r="A201" s="17" t="s">
        <v>127</v>
      </c>
      <c r="B201" s="17"/>
      <c r="J201" s="25" t="s">
        <v>109</v>
      </c>
    </row>
    <row r="202" spans="1:13" ht="14.4" thickBot="1">
      <c r="A202" t="s">
        <v>1</v>
      </c>
      <c r="B202" t="s">
        <v>0</v>
      </c>
      <c r="C202" t="s">
        <v>104</v>
      </c>
      <c r="D202" t="s">
        <v>87</v>
      </c>
      <c r="E202" t="s">
        <v>2</v>
      </c>
      <c r="F202" t="s">
        <v>3</v>
      </c>
      <c r="G202" t="s">
        <v>4</v>
      </c>
      <c r="H202" t="s">
        <v>5</v>
      </c>
      <c r="I202" t="s">
        <v>65</v>
      </c>
      <c r="J202" t="s">
        <v>108</v>
      </c>
      <c r="K202" t="s">
        <v>90</v>
      </c>
      <c r="L202" s="11" t="s">
        <v>64</v>
      </c>
      <c r="M202" t="s">
        <v>113</v>
      </c>
    </row>
    <row r="203" spans="1:13" ht="14.4">
      <c r="A203" t="s">
        <v>89</v>
      </c>
      <c r="B203" t="s">
        <v>88</v>
      </c>
      <c r="C203" t="s">
        <v>105</v>
      </c>
      <c r="D203" s="11">
        <v>2900</v>
      </c>
      <c r="E203" s="7">
        <v>1334.2999999999997</v>
      </c>
      <c r="F203" s="7">
        <v>219.60000000000002</v>
      </c>
      <c r="G203" s="7">
        <v>0</v>
      </c>
      <c r="H203" s="7">
        <v>18</v>
      </c>
      <c r="I203" s="30">
        <v>1571.8999999999996</v>
      </c>
      <c r="J203" s="13">
        <v>0</v>
      </c>
      <c r="K203" s="31">
        <v>1000</v>
      </c>
      <c r="L203" s="33">
        <v>2571.8999999999996</v>
      </c>
      <c r="M203" t="s">
        <v>126</v>
      </c>
    </row>
    <row r="204" spans="1:13" ht="14.4">
      <c r="A204" t="s">
        <v>46</v>
      </c>
      <c r="B204" t="s">
        <v>30</v>
      </c>
      <c r="C204" t="s">
        <v>105</v>
      </c>
      <c r="D204" s="11">
        <v>2900</v>
      </c>
      <c r="E204" s="7">
        <v>732.60000000000014</v>
      </c>
      <c r="F204" s="7">
        <v>0</v>
      </c>
      <c r="G204" s="7">
        <v>0</v>
      </c>
      <c r="H204" s="7">
        <v>0</v>
      </c>
      <c r="I204" s="30">
        <v>732.60000000000014</v>
      </c>
      <c r="J204" s="13">
        <v>0</v>
      </c>
      <c r="K204" s="31"/>
      <c r="L204" s="34">
        <v>732.60000000000014</v>
      </c>
    </row>
    <row r="205" spans="1:13" ht="14.4">
      <c r="A205" t="s">
        <v>118</v>
      </c>
      <c r="B205" t="s">
        <v>117</v>
      </c>
      <c r="C205" t="s">
        <v>105</v>
      </c>
      <c r="D205" s="11">
        <v>2900</v>
      </c>
      <c r="E205" s="7">
        <v>786.5</v>
      </c>
      <c r="F205" s="7">
        <v>0</v>
      </c>
      <c r="G205" s="7">
        <v>0</v>
      </c>
      <c r="H205" s="7">
        <v>0</v>
      </c>
      <c r="I205" s="30">
        <v>786.5</v>
      </c>
      <c r="J205" s="13">
        <v>0</v>
      </c>
      <c r="K205" s="72"/>
      <c r="L205" s="34">
        <v>786.5</v>
      </c>
    </row>
    <row r="206" spans="1:13" ht="14.4">
      <c r="A206" t="s">
        <v>55</v>
      </c>
      <c r="B206" t="s">
        <v>45</v>
      </c>
      <c r="C206" t="s">
        <v>105</v>
      </c>
      <c r="D206" s="11">
        <v>2901</v>
      </c>
      <c r="E206" s="7">
        <v>611.6</v>
      </c>
      <c r="F206" s="7">
        <v>0</v>
      </c>
      <c r="G206" s="7">
        <v>0</v>
      </c>
      <c r="H206" s="7">
        <v>0</v>
      </c>
      <c r="I206" s="30">
        <v>611.6</v>
      </c>
      <c r="J206" s="13">
        <v>0</v>
      </c>
      <c r="K206" s="31"/>
      <c r="L206" s="34">
        <v>611.6</v>
      </c>
    </row>
    <row r="207" spans="1:13" ht="14.4">
      <c r="A207" t="s">
        <v>54</v>
      </c>
      <c r="B207" t="s">
        <v>44</v>
      </c>
      <c r="C207" t="s">
        <v>105</v>
      </c>
      <c r="D207" s="11">
        <v>2901</v>
      </c>
      <c r="E207" s="7">
        <v>614.90000000000009</v>
      </c>
      <c r="F207" s="7">
        <v>0</v>
      </c>
      <c r="G207" s="7">
        <v>0</v>
      </c>
      <c r="H207" s="7">
        <v>0</v>
      </c>
      <c r="I207" s="30">
        <v>614.90000000000009</v>
      </c>
      <c r="J207" s="13">
        <v>0</v>
      </c>
      <c r="K207" s="31"/>
      <c r="L207" s="34">
        <v>614.90000000000009</v>
      </c>
    </row>
    <row r="208" spans="1:13" ht="14.4">
      <c r="A208" t="s">
        <v>53</v>
      </c>
      <c r="B208" t="s">
        <v>43</v>
      </c>
      <c r="C208" t="s">
        <v>105</v>
      </c>
      <c r="D208" s="11">
        <v>2901</v>
      </c>
      <c r="E208" s="7">
        <v>74.800000000000011</v>
      </c>
      <c r="F208" s="7">
        <v>0</v>
      </c>
      <c r="G208" s="7">
        <v>0</v>
      </c>
      <c r="H208" s="7">
        <v>0</v>
      </c>
      <c r="I208" s="30">
        <v>74.800000000000011</v>
      </c>
      <c r="J208" s="13">
        <v>0</v>
      </c>
      <c r="K208" s="31"/>
      <c r="L208" s="34">
        <v>74.800000000000011</v>
      </c>
    </row>
    <row r="209" spans="1:12" ht="14.4">
      <c r="A209" t="s">
        <v>51</v>
      </c>
      <c r="B209" t="s">
        <v>41</v>
      </c>
      <c r="C209" t="s">
        <v>105</v>
      </c>
      <c r="D209" s="11">
        <v>2902</v>
      </c>
      <c r="E209" s="7">
        <v>810.7</v>
      </c>
      <c r="F209" s="7">
        <v>0</v>
      </c>
      <c r="G209" s="7">
        <v>10</v>
      </c>
      <c r="H209" s="7">
        <v>42</v>
      </c>
      <c r="I209" s="30">
        <v>862.7</v>
      </c>
      <c r="J209" s="13">
        <v>0</v>
      </c>
      <c r="K209" s="31"/>
      <c r="L209" s="34">
        <v>862.7</v>
      </c>
    </row>
    <row r="210" spans="1:12" ht="14.4">
      <c r="A210" t="s">
        <v>48</v>
      </c>
      <c r="B210" t="s">
        <v>39</v>
      </c>
      <c r="C210" t="s">
        <v>105</v>
      </c>
      <c r="D210" s="11">
        <v>2902</v>
      </c>
      <c r="E210" s="7">
        <v>622.6</v>
      </c>
      <c r="F210" s="7">
        <v>0</v>
      </c>
      <c r="G210" s="7">
        <v>0</v>
      </c>
      <c r="H210" s="7">
        <v>6</v>
      </c>
      <c r="I210" s="30">
        <v>628.6</v>
      </c>
      <c r="J210" s="13">
        <v>0</v>
      </c>
      <c r="K210" s="32"/>
      <c r="L210" s="34">
        <v>628.6</v>
      </c>
    </row>
    <row r="211" spans="1:12" ht="14.4">
      <c r="A211" t="s">
        <v>52</v>
      </c>
      <c r="B211" t="s">
        <v>42</v>
      </c>
      <c r="C211" t="s">
        <v>105</v>
      </c>
      <c r="D211" s="11">
        <v>2902</v>
      </c>
      <c r="E211" s="7">
        <v>52.800000000000004</v>
      </c>
      <c r="F211" s="7">
        <v>0</v>
      </c>
      <c r="G211" s="7">
        <v>0</v>
      </c>
      <c r="H211" s="7">
        <v>0</v>
      </c>
      <c r="I211" s="30">
        <v>52.800000000000004</v>
      </c>
      <c r="J211" s="13">
        <v>0</v>
      </c>
      <c r="K211" s="72"/>
      <c r="L211" s="34">
        <v>52.800000000000004</v>
      </c>
    </row>
    <row r="212" spans="1:12" ht="14.4">
      <c r="A212" s="64"/>
      <c r="B212" s="64" t="s">
        <v>122</v>
      </c>
      <c r="C212" s="64" t="s">
        <v>123</v>
      </c>
      <c r="D212" s="73"/>
      <c r="E212" s="7">
        <v>0</v>
      </c>
      <c r="F212" s="7">
        <v>0</v>
      </c>
      <c r="G212" s="7">
        <v>0</v>
      </c>
      <c r="H212" s="7">
        <v>0</v>
      </c>
      <c r="I212" s="30">
        <v>0</v>
      </c>
      <c r="J212" s="13">
        <v>0</v>
      </c>
      <c r="K212" s="72"/>
      <c r="L212" s="34">
        <v>0</v>
      </c>
    </row>
    <row r="213" spans="1:12" ht="14.4">
      <c r="A213" s="21" t="s">
        <v>83</v>
      </c>
      <c r="B213" s="21" t="s">
        <v>81</v>
      </c>
      <c r="C213" s="21" t="s">
        <v>107</v>
      </c>
      <c r="D213" s="26">
        <v>2900</v>
      </c>
      <c r="E213" s="7">
        <v>0</v>
      </c>
      <c r="F213" s="7">
        <v>0</v>
      </c>
      <c r="G213" s="7">
        <v>0</v>
      </c>
      <c r="H213" s="7">
        <v>0</v>
      </c>
      <c r="I213" s="30">
        <v>0</v>
      </c>
      <c r="J213" s="13">
        <v>0</v>
      </c>
      <c r="K213" s="31"/>
      <c r="L213" s="34">
        <v>0</v>
      </c>
    </row>
    <row r="214" spans="1:12" ht="14.4">
      <c r="A214" s="21" t="s">
        <v>100</v>
      </c>
      <c r="B214" s="21" t="s">
        <v>99</v>
      </c>
      <c r="C214" s="21" t="s">
        <v>107</v>
      </c>
      <c r="D214" s="26">
        <v>2901</v>
      </c>
      <c r="E214" s="7">
        <v>0</v>
      </c>
      <c r="F214" s="7">
        <v>0</v>
      </c>
      <c r="G214" s="7">
        <v>0</v>
      </c>
      <c r="H214" s="7">
        <v>0</v>
      </c>
      <c r="I214" s="30">
        <v>0</v>
      </c>
      <c r="J214" s="13">
        <v>0</v>
      </c>
      <c r="K214" s="72"/>
      <c r="L214" s="34">
        <v>0</v>
      </c>
    </row>
    <row r="215" spans="1:12" ht="14.4">
      <c r="A215" s="64" t="s">
        <v>50</v>
      </c>
      <c r="B215" s="64" t="s">
        <v>24</v>
      </c>
      <c r="C215" s="64" t="s">
        <v>106</v>
      </c>
      <c r="D215" s="73">
        <v>2902</v>
      </c>
      <c r="E215" s="7">
        <v>0</v>
      </c>
      <c r="F215" s="7">
        <v>0</v>
      </c>
      <c r="G215" s="7">
        <v>0</v>
      </c>
      <c r="H215" s="7">
        <v>0</v>
      </c>
      <c r="I215" s="30">
        <v>0</v>
      </c>
      <c r="J215" s="13">
        <v>0</v>
      </c>
      <c r="K215" s="72"/>
      <c r="L215" s="34">
        <v>0</v>
      </c>
    </row>
    <row r="216" spans="1:12" ht="14.4">
      <c r="A216" s="21" t="s">
        <v>103</v>
      </c>
      <c r="B216" s="21" t="s">
        <v>92</v>
      </c>
      <c r="C216" s="21" t="s">
        <v>107</v>
      </c>
      <c r="D216" s="26">
        <v>2902</v>
      </c>
      <c r="E216" s="7">
        <v>0</v>
      </c>
      <c r="F216" s="7">
        <v>0</v>
      </c>
      <c r="G216" s="7">
        <v>0</v>
      </c>
      <c r="H216" s="7">
        <v>0</v>
      </c>
      <c r="I216" s="30">
        <v>0</v>
      </c>
      <c r="J216" s="13">
        <v>0</v>
      </c>
      <c r="K216" s="31"/>
      <c r="L216" s="34">
        <v>0</v>
      </c>
    </row>
    <row r="217" spans="1:12" ht="14.4">
      <c r="A217" s="21" t="s">
        <v>102</v>
      </c>
      <c r="B217" s="21" t="s">
        <v>101</v>
      </c>
      <c r="C217" s="21" t="s">
        <v>107</v>
      </c>
      <c r="D217" s="26">
        <v>2902</v>
      </c>
      <c r="E217" s="7">
        <v>0</v>
      </c>
      <c r="F217" s="7">
        <v>0</v>
      </c>
      <c r="G217" s="7">
        <v>0</v>
      </c>
      <c r="H217" s="7">
        <v>0</v>
      </c>
      <c r="I217" s="30">
        <v>0</v>
      </c>
      <c r="J217" s="13">
        <v>0</v>
      </c>
      <c r="K217" s="32"/>
      <c r="L217" s="34">
        <v>0</v>
      </c>
    </row>
    <row r="218" spans="1:12">
      <c r="D218" s="11"/>
      <c r="E218" s="70"/>
      <c r="F218" s="70"/>
      <c r="G218" s="70"/>
      <c r="H218" s="70"/>
      <c r="I218" s="68">
        <v>5936.4000000000005</v>
      </c>
      <c r="J218" s="69"/>
      <c r="K218" s="71"/>
      <c r="L218" s="34">
        <v>6936.4000000000005</v>
      </c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ED5ED7-1DA3-43B3-A23B-7530A51EA2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Consolidado a Pagar</vt:lpstr>
      <vt:lpstr>Por Supervisor</vt:lpstr>
      <vt:lpstr>Pesquisa</vt:lpstr>
      <vt:lpstr>Consolidado gerencial</vt:lpstr>
      <vt:lpstr>Controle mensal</vt:lpstr>
      <vt:lpstr>HISTORICO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Michalski</dc:creator>
  <cp:lastModifiedBy>Ambev</cp:lastModifiedBy>
  <dcterms:created xsi:type="dcterms:W3CDTF">2025-01-28T14:17:47Z</dcterms:created>
  <dcterms:modified xsi:type="dcterms:W3CDTF">2026-09-16T09:59:59Z</dcterms:modified>
</cp:coreProperties>
</file>